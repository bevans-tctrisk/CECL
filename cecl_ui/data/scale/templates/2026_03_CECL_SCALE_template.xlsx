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8" activeTab="8"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78">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47" fillId="0" borderId="0" applyAlignment="1" pivotButton="0" quotePrefix="0" xfId="4">
      <alignment horizontal="left" vertical="center" wrapText="1"/>
    </xf>
    <xf numFmtId="0" fontId="9" fillId="0" borderId="0" pivotButton="0" quotePrefix="0" xfId="16"/>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46" fillId="0" borderId="35" applyAlignment="1" pivotButton="0" quotePrefix="0" xfId="16">
      <alignment horizontal="center"/>
    </xf>
    <xf numFmtId="0" fontId="0" fillId="0" borderId="1" pivotButton="0" quotePrefix="0" xfId="0"/>
    <xf numFmtId="0" fontId="0" fillId="0" borderId="31" pivotButton="0" quotePrefix="0" xfId="0"/>
    <xf numFmtId="0" fontId="0" fillId="0" borderId="0" applyAlignment="1" pivotButton="0" quotePrefix="0" xfId="0">
      <alignment horizontal="left"/>
    </xf>
    <xf numFmtId="0" fontId="0" fillId="0" borderId="0"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4" fillId="0" borderId="34" applyAlignment="1" pivotButton="0" quotePrefix="0" xfId="4">
      <alignment horizontal="center"/>
    </xf>
    <xf numFmtId="0" fontId="9" fillId="0" borderId="0" pivotButton="0" quotePrefix="0" xfId="4"/>
    <xf numFmtId="0" fontId="24" fillId="2" borderId="5" applyAlignment="1" pivotButton="0" quotePrefix="0" xfId="4">
      <alignment horizontal="center"/>
    </xf>
    <xf numFmtId="0" fontId="0" fillId="0" borderId="7" pivotButton="0" quotePrefix="0" xfId="0"/>
    <xf numFmtId="0" fontId="0" fillId="0" borderId="8" pivotButton="0" quotePrefix="0" xfId="0"/>
    <xf numFmtId="0" fontId="24" fillId="0" borderId="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9" fillId="0" borderId="34" applyAlignment="1" pivotButton="0" quotePrefix="0" xfId="4">
      <alignment horizontal="left" wrapText="1"/>
    </xf>
    <xf numFmtId="10" fontId="27" fillId="0" borderId="5" applyAlignment="1" pivotButton="0" quotePrefix="0" xfId="4">
      <alignment horizontal="center"/>
    </xf>
    <xf numFmtId="0" fontId="0" fillId="0" borderId="15" pivotButton="0" quotePrefix="0" xfId="0"/>
    <xf numFmtId="0" fontId="28" fillId="0" borderId="5" applyAlignment="1" pivotButton="0" quotePrefix="0" xfId="4">
      <alignment horizontal="center"/>
    </xf>
    <xf numFmtId="0" fontId="28" fillId="0"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0" fillId="0" borderId="34" applyAlignment="1" pivotButton="0" quotePrefix="0" xfId="0">
      <alignment horizontal="left" wrapText="1" indent="2"/>
    </xf>
    <xf numFmtId="0" fontId="10" fillId="2" borderId="3" applyAlignment="1" pivotButton="0" quotePrefix="0" xfId="0">
      <alignment vertical="top"/>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23" fillId="5" borderId="5" applyAlignment="1" pivotButton="0" quotePrefix="0" xfId="0">
      <alignment vertical="top" wrapText="1"/>
    </xf>
    <xf numFmtId="0" fontId="10" fillId="5" borderId="3" applyAlignment="1" pivotButton="0" quotePrefix="0" xfId="0">
      <alignment horizontal="center"/>
    </xf>
    <xf numFmtId="0" fontId="15" fillId="2" borderId="33" applyAlignment="1" pivotButton="0" quotePrefix="0" xfId="0">
      <alignment horizontal="center"/>
    </xf>
    <xf numFmtId="0" fontId="0" fillId="0" borderId="39" pivotButton="0" quotePrefix="0" xfId="0"/>
    <xf numFmtId="0" fontId="0" fillId="0" borderId="35" applyAlignment="1" pivotButton="0" quotePrefix="0" xfId="0">
      <alignment wrapText="1"/>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20" fillId="0" borderId="0" applyAlignment="1" pivotButton="0" quotePrefix="0" xfId="0">
      <alignment horizontal="left" wrapText="1"/>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s>
  <sheetFormatPr baseColWidth="8" defaultRowHeight="12.75"/>
  <cols>
    <col width="2.7109375" customWidth="1" style="668" min="1" max="1"/>
    <col width="8.7109375" customWidth="1" style="668" min="2" max="2"/>
    <col width="20.85546875" customWidth="1" style="668" min="3" max="3"/>
    <col width="51.28515625" customWidth="1" style="668" min="4" max="4"/>
    <col width="8.7109375" customWidth="1" style="668" min="5" max="5"/>
    <col width="2.7109375" customWidth="1" style="668" min="6" max="6"/>
    <col width="9.140625" customWidth="1" style="668" min="7" max="13"/>
    <col width="9.140625" customWidth="1" style="668" min="14" max="16384"/>
  </cols>
  <sheetData>
    <row r="1">
      <c r="A1" s="271" t="n"/>
      <c r="B1" s="272" t="n"/>
      <c r="C1" s="272" t="n"/>
      <c r="D1" s="272" t="n"/>
      <c r="E1" s="272" t="n"/>
      <c r="F1" s="273" t="n"/>
    </row>
    <row r="2">
      <c r="A2" s="275" t="n"/>
      <c r="F2" s="276" t="n"/>
    </row>
    <row r="3">
      <c r="A3" s="275" t="n"/>
      <c r="F3" s="276" t="n"/>
    </row>
    <row r="4">
      <c r="A4" s="275" t="n"/>
      <c r="F4" s="276" t="n"/>
    </row>
    <row r="5" ht="44.25" customHeight="1" s="690">
      <c r="A5" s="673" t="n"/>
      <c r="F5" s="669" t="n"/>
    </row>
    <row r="6" ht="76.5" customHeight="1" s="690">
      <c r="A6" s="674" t="inlineStr">
        <is>
          <t>Scaled CECL Allowance for Losses Estimator (SCALE)</t>
        </is>
      </c>
      <c r="F6" s="669" t="n"/>
    </row>
    <row r="7" ht="23.25" customHeight="1" s="690">
      <c r="A7" s="670" t="n"/>
      <c r="F7" s="669" t="n"/>
    </row>
    <row r="8" ht="23.25" customHeight="1" s="690">
      <c r="A8" s="670" t="n"/>
      <c r="F8" s="669" t="n"/>
    </row>
    <row r="9" ht="23.25" customHeight="1" s="690">
      <c r="A9" s="670" t="n"/>
      <c r="F9" s="669" t="n"/>
    </row>
    <row r="10" ht="23.25" customHeight="1" s="690">
      <c r="A10" s="670" t="n"/>
      <c r="F10" s="669" t="n"/>
    </row>
    <row r="11" ht="35.25" customHeight="1" s="690">
      <c r="A11" s="275" t="n"/>
      <c r="B11" s="277" t="n"/>
      <c r="C11" s="277" t="n"/>
      <c r="D11" s="277" t="n"/>
      <c r="E11" s="277" t="n"/>
      <c r="F11" s="276" t="n"/>
    </row>
    <row r="12" ht="15" customHeight="1" s="690">
      <c r="A12" s="676" t="inlineStr">
        <is>
          <t xml:space="preserve"> Prepared For:</t>
        </is>
      </c>
      <c r="F12" s="669" t="n"/>
    </row>
    <row r="13" ht="45" customHeight="1" s="690">
      <c r="A13" s="672">
        <f>'Historical Data'!B2</f>
        <v/>
      </c>
      <c r="F13" s="669" t="n"/>
    </row>
    <row r="14" ht="45" customHeight="1" s="690">
      <c r="A14" s="275" t="n"/>
      <c r="B14" s="278" t="n"/>
      <c r="C14" s="278" t="n"/>
      <c r="D14" s="278" t="n"/>
      <c r="E14" s="278" t="n"/>
      <c r="F14" s="276" t="n"/>
    </row>
    <row r="15" ht="45" customHeight="1" s="690">
      <c r="A15" s="667" t="n"/>
      <c r="F15" s="669" t="n"/>
    </row>
    <row r="16" ht="21" customHeight="1" s="690">
      <c r="A16" s="667" t="inlineStr">
        <is>
          <t>For Period Ending</t>
        </is>
      </c>
      <c r="F16" s="669" t="n"/>
    </row>
    <row r="17" ht="24" customHeight="1" s="690">
      <c r="A17" s="675">
        <f>'Calc tab'!AE6</f>
        <v/>
      </c>
      <c r="F17" s="669" t="n"/>
    </row>
    <row r="18" ht="15" customHeight="1" s="690">
      <c r="A18" s="671" t="n"/>
      <c r="F18" s="669" t="n"/>
    </row>
    <row r="19" ht="15" customHeight="1" s="690">
      <c r="A19" s="671" t="inlineStr">
        <is>
          <t>Presented by:</t>
        </is>
      </c>
      <c r="F19" s="669"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Data'!AZ8)&amp;"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90"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81" min="1" max="1"/>
    <col width="3.28515625" customWidth="1" style="681" min="2" max="2"/>
    <col width="8.5703125" customWidth="1" style="681" min="3" max="3"/>
    <col width="10.140625" bestFit="1" customWidth="1" style="681" min="4" max="4"/>
    <col width="8.85546875" customWidth="1" style="681" min="5" max="11"/>
    <col width="9.85546875" customWidth="1" style="681" min="12" max="12"/>
    <col width="3.28515625" customWidth="1" style="681" min="13" max="13"/>
    <col width="3.42578125" customWidth="1" style="681" min="14" max="14"/>
    <col width="8.85546875" customWidth="1" style="681" min="15" max="21"/>
    <col width="8.85546875" customWidth="1" style="681" min="22" max="16384"/>
  </cols>
  <sheetData>
    <row r="1" ht="13.5" customHeight="1" s="690" thickBot="1">
      <c r="A1" s="286" t="n"/>
      <c r="B1" s="287" t="n"/>
      <c r="C1" s="287" t="n"/>
      <c r="D1" s="287" t="n"/>
      <c r="E1" s="287" t="n"/>
      <c r="F1" s="287" t="n"/>
      <c r="G1" s="287" t="n"/>
      <c r="H1" s="287" t="n"/>
      <c r="I1" s="287" t="n"/>
      <c r="J1" s="287" t="n"/>
      <c r="K1" s="287" t="n"/>
      <c r="L1" s="287" t="n"/>
      <c r="M1" s="287" t="n"/>
      <c r="N1" s="288" t="n"/>
    </row>
    <row r="2" ht="20.25" customHeight="1" s="690">
      <c r="A2" s="290" t="n"/>
      <c r="B2" s="677">
        <f>'Historical Data'!B2</f>
        <v/>
      </c>
      <c r="C2" s="678" t="n"/>
      <c r="D2" s="678" t="n"/>
      <c r="E2" s="678" t="n"/>
      <c r="F2" s="678" t="n"/>
      <c r="G2" s="678" t="n"/>
      <c r="H2" s="678" t="n"/>
      <c r="I2" s="678" t="n"/>
      <c r="J2" s="678" t="n"/>
      <c r="K2" s="678" t="n"/>
      <c r="L2" s="678" t="n"/>
      <c r="M2" s="679" t="n"/>
      <c r="N2" s="291" t="n"/>
    </row>
    <row r="3" ht="15.75" customHeight="1" s="690">
      <c r="A3" s="290" t="n"/>
      <c r="B3" s="683">
        <f>Cover!A6</f>
        <v/>
      </c>
      <c r="M3" s="669" t="n"/>
      <c r="N3" s="291" t="n"/>
    </row>
    <row r="4" ht="15.75" customHeight="1" s="690" thickBot="1">
      <c r="A4" s="290" t="n"/>
      <c r="B4" s="686">
        <f>"For Period Ending "&amp;TEXT(Cover!A17,"mm/dd/yyyy")</f>
        <v/>
      </c>
      <c r="C4" s="687" t="n"/>
      <c r="D4" s="687" t="n"/>
      <c r="E4" s="687" t="n"/>
      <c r="F4" s="687" t="n"/>
      <c r="G4" s="687" t="n"/>
      <c r="H4" s="687" t="n"/>
      <c r="I4" s="687" t="n"/>
      <c r="J4" s="687" t="n"/>
      <c r="K4" s="687" t="n"/>
      <c r="L4" s="687" t="n"/>
      <c r="M4" s="688" t="n"/>
      <c r="N4" s="291" t="n"/>
    </row>
    <row r="5" ht="15.75" customHeight="1" s="690">
      <c r="A5" s="290" t="n"/>
      <c r="B5" s="292" t="n"/>
      <c r="C5" s="292" t="n"/>
      <c r="D5" s="292" t="n"/>
      <c r="E5" s="292" t="n"/>
      <c r="F5" s="292" t="n"/>
      <c r="G5" s="292" t="n"/>
      <c r="H5" s="292" t="n"/>
      <c r="I5" s="292" t="n"/>
      <c r="J5" s="292" t="n"/>
      <c r="K5" s="292" t="n"/>
      <c r="L5" s="292" t="n"/>
      <c r="M5" s="292" t="n"/>
      <c r="N5" s="291" t="n"/>
    </row>
    <row r="6" ht="15.75" customHeight="1" s="690" thickBot="1">
      <c r="A6" s="290" t="n"/>
      <c r="B6" s="292" t="n"/>
      <c r="C6" s="292" t="n"/>
      <c r="D6" s="292" t="n"/>
      <c r="E6" s="292" t="n"/>
      <c r="F6" s="292" t="n"/>
      <c r="G6" s="292" t="n"/>
      <c r="H6" s="292" t="n"/>
      <c r="I6" s="292" t="n"/>
      <c r="J6" s="292" t="n"/>
      <c r="K6" s="292" t="n"/>
      <c r="L6" s="292" t="n"/>
      <c r="M6" s="292" t="n"/>
      <c r="N6" s="291" t="n"/>
    </row>
    <row r="7" ht="15.75" customHeight="1" s="690">
      <c r="A7" s="290" t="n"/>
      <c r="B7" s="682" t="n"/>
      <c r="C7" s="678" t="n"/>
      <c r="D7" s="678" t="n"/>
      <c r="E7" s="678" t="n"/>
      <c r="F7" s="678" t="n"/>
      <c r="G7" s="678" t="n"/>
      <c r="H7" s="678" t="n"/>
      <c r="I7" s="678" t="n"/>
      <c r="J7" s="678" t="n"/>
      <c r="K7" s="678" t="n"/>
      <c r="L7" s="678" t="n"/>
      <c r="M7" s="679" t="n"/>
      <c r="N7" s="291" t="n"/>
    </row>
    <row r="8" ht="15.75" customHeight="1" s="690">
      <c r="A8" s="290" t="n"/>
      <c r="B8" s="683" t="inlineStr">
        <is>
          <t>Introduction to the Model</t>
        </is>
      </c>
      <c r="M8" s="669" t="n"/>
      <c r="N8" s="291" t="n"/>
    </row>
    <row r="9" ht="62.25" customHeight="1" s="690">
      <c r="A9" s="290" t="n"/>
      <c r="B9" s="293" t="n"/>
      <c r="C9" s="684"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5" t="n"/>
      <c r="E9" s="685" t="n"/>
      <c r="F9" s="685" t="n"/>
      <c r="G9" s="685" t="n"/>
      <c r="H9" s="685" t="n"/>
      <c r="I9" s="685" t="n"/>
      <c r="J9" s="685" t="n"/>
      <c r="K9" s="685" t="n"/>
      <c r="L9" s="685"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90">
      <c r="A11" s="290" t="n"/>
      <c r="B11" s="293" t="n"/>
      <c r="C11" s="680"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90">
      <c r="A13" s="290" t="n"/>
      <c r="B13" s="293" t="n"/>
      <c r="C13" s="432" t="n"/>
      <c r="D13" s="680"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90">
      <c r="A15" s="290" t="n"/>
      <c r="B15" s="293" t="n"/>
      <c r="C15" s="680"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90">
      <c r="A17" s="290" t="n"/>
      <c r="B17" s="293" t="n"/>
      <c r="C17" s="680"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90">
      <c r="A19" s="290" t="n"/>
      <c r="B19" s="293" t="n"/>
      <c r="C19" s="680"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90">
      <c r="A21" s="290" t="n"/>
      <c r="B21" s="293" t="n"/>
      <c r="C21" s="680"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90" thickBot="1">
      <c r="A22" s="290" t="n"/>
      <c r="B22" s="296" t="n"/>
      <c r="C22" s="297" t="n"/>
      <c r="D22" s="297" t="n"/>
      <c r="E22" s="297" t="n"/>
      <c r="F22" s="297" t="n"/>
      <c r="G22" s="297" t="n"/>
      <c r="H22" s="297" t="n"/>
      <c r="I22" s="297" t="n"/>
      <c r="J22" s="297" t="n"/>
      <c r="K22" s="297" t="n"/>
      <c r="L22" s="297" t="n"/>
      <c r="M22" s="298" t="n"/>
      <c r="N22" s="291" t="n"/>
    </row>
    <row r="23" ht="15.75" customHeight="1" s="690"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90"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90"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B7:M7"/>
    <mergeCell ref="D13:L13"/>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90" min="1" max="1"/>
    <col width="3" customWidth="1" style="690" min="2" max="2"/>
    <col width="74" customWidth="1" style="690" min="3" max="3"/>
    <col width="5" customWidth="1" style="690" min="4" max="4"/>
    <col width="19.140625" bestFit="1" customWidth="1" style="690" min="5" max="5"/>
    <col width="5" customWidth="1" style="690" min="6" max="6"/>
    <col width="13.85546875" customWidth="1" style="690" min="7" max="7"/>
    <col width="5" customWidth="1" style="690" min="8" max="8"/>
    <col width="14.5703125" customWidth="1" style="690" min="9" max="9"/>
    <col width="1.140625" customWidth="1" style="690" min="10" max="10"/>
    <col width="19.140625" customWidth="1" style="690" min="11" max="11"/>
    <col width="5.42578125" customWidth="1" style="690" min="12" max="12"/>
    <col width="14" customWidth="1" style="690" min="13" max="13"/>
    <col width="5" customWidth="1" style="690" min="14" max="14"/>
    <col width="13.85546875" customWidth="1" style="690" min="15" max="15"/>
    <col width="1" customWidth="1" style="690" min="16" max="16"/>
    <col width="17.28515625" customWidth="1" style="690" min="17" max="17"/>
    <col width="5.42578125" customWidth="1" style="690" min="18" max="18"/>
    <col width="14" customWidth="1" style="690" min="19" max="19"/>
    <col width="1" customWidth="1" style="690" min="20" max="20"/>
    <col width="17.28515625" customWidth="1" style="690" min="21" max="21"/>
    <col width="3.7109375" customWidth="1" style="690" min="22" max="22"/>
    <col width="3.42578125" customWidth="1" style="690" min="23" max="23"/>
    <col width="13.140625" customWidth="1" style="690" min="25" max="25"/>
    <col width="2.140625" customWidth="1" style="690" min="26" max="26"/>
  </cols>
  <sheetData>
    <row r="1" ht="15.75" customHeight="1" s="690"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90">
      <c r="A2" s="420" t="n"/>
      <c r="B2" s="371" t="n"/>
      <c r="C2" s="691" t="inlineStr">
        <is>
          <t>CECL Allowances for Credit Losses (ACL) Calculation</t>
        </is>
      </c>
      <c r="D2" s="678" t="n"/>
      <c r="E2" s="678" t="n"/>
      <c r="F2" s="678" t="n"/>
      <c r="G2" s="678" t="n"/>
      <c r="H2" s="678" t="n"/>
      <c r="I2" s="678" t="n"/>
      <c r="J2" s="678" t="n"/>
      <c r="K2" s="678" t="n"/>
      <c r="L2" s="678" t="n"/>
      <c r="M2" s="678" t="n"/>
      <c r="N2" s="678" t="n"/>
      <c r="O2" s="678" t="n"/>
      <c r="P2" s="678" t="n"/>
      <c r="Q2" s="678" t="n"/>
      <c r="R2" s="678" t="n"/>
      <c r="S2" s="678" t="n"/>
      <c r="T2" s="678" t="n"/>
      <c r="U2" s="678" t="n"/>
      <c r="V2" s="679" t="n"/>
      <c r="W2" s="421" t="n"/>
    </row>
    <row r="3" ht="21" customHeight="1" s="690">
      <c r="A3" s="420" t="n"/>
      <c r="B3" s="373" t="n"/>
      <c r="C3" s="694">
        <f>"Prepared For "&amp;'Historical Data'!B2</f>
        <v/>
      </c>
      <c r="V3" s="669" t="n"/>
      <c r="W3" s="421" t="n"/>
    </row>
    <row r="4" ht="21" customHeight="1" s="690">
      <c r="A4" s="420" t="n"/>
      <c r="B4" s="373" t="n"/>
      <c r="C4" s="694">
        <f>"Quarter Ended "&amp; TEXT('Calc tab'!AE6,"m/d/yyyy")</f>
        <v/>
      </c>
      <c r="V4" s="669" t="n"/>
      <c r="W4" s="421" t="n"/>
    </row>
    <row r="5" ht="21.75" customHeight="1" s="690" thickBot="1">
      <c r="A5" s="420" t="n"/>
      <c r="B5" s="710" t="n"/>
      <c r="C5" s="696">
        <f>"Charter Number "&amp;'Historical Data'!B3</f>
        <v/>
      </c>
      <c r="D5" s="687" t="n"/>
      <c r="E5" s="687" t="n"/>
      <c r="F5" s="687" t="n"/>
      <c r="G5" s="687" t="n"/>
      <c r="H5" s="687" t="n"/>
      <c r="I5" s="687" t="n"/>
      <c r="J5" s="687" t="n"/>
      <c r="K5" s="687" t="n"/>
      <c r="L5" s="687" t="n"/>
      <c r="M5" s="687" t="n"/>
      <c r="N5" s="687" t="n"/>
      <c r="O5" s="687" t="n"/>
      <c r="P5" s="687" t="n"/>
      <c r="Q5" s="687" t="n"/>
      <c r="R5" s="687" t="n"/>
      <c r="S5" s="687" t="n"/>
      <c r="T5" s="687" t="n"/>
      <c r="U5" s="687" t="n"/>
      <c r="V5" s="688" t="n"/>
      <c r="W5" s="421" t="n"/>
    </row>
    <row r="6" ht="9.75" customHeight="1" s="690"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90" thickBot="1">
      <c r="A7" s="420" t="n"/>
      <c r="B7" s="371" t="n"/>
      <c r="C7" s="678" t="n"/>
      <c r="D7" s="678" t="n"/>
      <c r="E7" s="678" t="n"/>
      <c r="F7" s="678" t="n"/>
      <c r="G7" s="378" t="n"/>
      <c r="H7" s="379" t="n"/>
      <c r="I7" s="378" t="n"/>
      <c r="J7" s="678" t="n"/>
      <c r="K7" s="678" t="n"/>
      <c r="L7" s="678" t="n"/>
      <c r="M7" s="378" t="n"/>
      <c r="N7" s="678" t="n"/>
      <c r="O7" s="378" t="n"/>
      <c r="P7" s="678" t="n"/>
      <c r="Q7" s="378" t="n"/>
      <c r="R7" s="678" t="n"/>
      <c r="S7" s="378" t="n"/>
      <c r="T7" s="678" t="n"/>
      <c r="U7" s="378" t="n"/>
      <c r="V7" s="679" t="n"/>
      <c r="W7" s="421" t="n"/>
    </row>
    <row r="8" ht="60.75" customHeight="1" s="690"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9"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Data'!AZ145</f>
        <v/>
      </c>
      <c r="N9" s="40" t="n"/>
      <c r="O9" s="43">
        <f>K9+M9</f>
        <v/>
      </c>
      <c r="P9" s="36" t="n"/>
      <c r="Q9" s="41">
        <f>I9*O9</f>
        <v/>
      </c>
      <c r="R9" s="23" t="n"/>
      <c r="S9" s="43">
        <f>'Env Factor by Pool'!I17</f>
        <v/>
      </c>
      <c r="T9" s="36" t="n"/>
      <c r="U9" s="41">
        <f>Q9+(Q9*S9)</f>
        <v/>
      </c>
      <c r="V9" s="669"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Data'!AZ146</f>
        <v/>
      </c>
      <c r="N10" s="40" t="n"/>
      <c r="O10" s="43">
        <f>K10+M10</f>
        <v/>
      </c>
      <c r="P10" s="36" t="n"/>
      <c r="Q10" s="41">
        <f>I10*O10</f>
        <v/>
      </c>
      <c r="R10" s="23" t="n"/>
      <c r="S10" s="43">
        <f>'Env Factor by Pool'!I25</f>
        <v/>
      </c>
      <c r="T10" s="36" t="n"/>
      <c r="U10" s="41">
        <f>Q10+(Q10*S10)</f>
        <v/>
      </c>
      <c r="V10" s="669"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Data'!AZ147</f>
        <v/>
      </c>
      <c r="N11" s="40" t="n"/>
      <c r="O11" s="43">
        <f>K11+M11</f>
        <v/>
      </c>
      <c r="P11" s="36" t="n"/>
      <c r="Q11" s="41">
        <f>I11*O11</f>
        <v/>
      </c>
      <c r="R11" s="23" t="n"/>
      <c r="S11" s="43">
        <f>'Env Factor by Pool'!I33</f>
        <v/>
      </c>
      <c r="T11" s="36" t="n"/>
      <c r="U11" s="41">
        <f>Q11+(Q11*S11)</f>
        <v/>
      </c>
      <c r="V11" s="669"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Data'!AZ148</f>
        <v/>
      </c>
      <c r="N12" s="40" t="n"/>
      <c r="O12" s="43">
        <f>K12+M12</f>
        <v/>
      </c>
      <c r="P12" s="36" t="n"/>
      <c r="Q12" s="41">
        <f>I12*O12</f>
        <v/>
      </c>
      <c r="R12" s="23" t="n"/>
      <c r="S12" s="43">
        <f>'Env Factor by Pool'!I41</f>
        <v/>
      </c>
      <c r="T12" s="36" t="n"/>
      <c r="U12" s="41">
        <f>Q12+(Q12*S12)</f>
        <v/>
      </c>
      <c r="V12" s="669"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Data'!AZ149</f>
        <v/>
      </c>
      <c r="N13" s="40" t="n"/>
      <c r="O13" s="43">
        <f>K13+M13</f>
        <v/>
      </c>
      <c r="P13" s="36" t="n"/>
      <c r="Q13" s="41">
        <f>I13*O13</f>
        <v/>
      </c>
      <c r="R13" s="23" t="n"/>
      <c r="S13" s="43">
        <f>'Env Factor by Pool'!I49</f>
        <v/>
      </c>
      <c r="T13" s="36" t="n"/>
      <c r="U13" s="41">
        <f>Q13+(Q13*S13)</f>
        <v/>
      </c>
      <c r="V13" s="669"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Data'!AZ150</f>
        <v/>
      </c>
      <c r="N14" s="40" t="n"/>
      <c r="O14" s="43">
        <f>K14+M14</f>
        <v/>
      </c>
      <c r="P14" s="36" t="n"/>
      <c r="Q14" s="41">
        <f>I14*O14</f>
        <v/>
      </c>
      <c r="R14" s="23" t="n"/>
      <c r="S14" s="43">
        <f>'Env Factor by Pool'!I57</f>
        <v/>
      </c>
      <c r="T14" s="36" t="n"/>
      <c r="U14" s="41">
        <f>Q14+(Q14*S14)</f>
        <v/>
      </c>
      <c r="V14" s="669"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Data'!AZ151</f>
        <v/>
      </c>
      <c r="N15" s="40" t="n"/>
      <c r="O15" s="43">
        <f>K15+M15</f>
        <v/>
      </c>
      <c r="P15" s="36" t="n"/>
      <c r="Q15" s="41">
        <f>I15*O15</f>
        <v/>
      </c>
      <c r="R15" s="23" t="n"/>
      <c r="S15" s="43">
        <f>'Env Factor by Pool'!I65</f>
        <v/>
      </c>
      <c r="T15" s="36" t="n"/>
      <c r="U15" s="41">
        <f>Q15+(Q15*S15)</f>
        <v/>
      </c>
      <c r="V15" s="669"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Data'!AZ152</f>
        <v/>
      </c>
      <c r="N16" s="40" t="n"/>
      <c r="O16" s="43">
        <f>K16+M16</f>
        <v/>
      </c>
      <c r="P16" s="36" t="n"/>
      <c r="Q16" s="41">
        <f>I16*O16</f>
        <v/>
      </c>
      <c r="R16" s="23" t="n"/>
      <c r="S16" s="43">
        <f>'Env Factor by Pool'!I73</f>
        <v/>
      </c>
      <c r="T16" s="36" t="n"/>
      <c r="U16" s="41">
        <f>Q16+(Q16*S16)</f>
        <v/>
      </c>
      <c r="V16" s="669"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Data'!AZ153</f>
        <v/>
      </c>
      <c r="N17" s="40" t="n"/>
      <c r="O17" s="43">
        <f>K17+M17</f>
        <v/>
      </c>
      <c r="P17" s="36" t="n"/>
      <c r="Q17" s="41">
        <f>I17*O17</f>
        <v/>
      </c>
      <c r="R17" s="23" t="n"/>
      <c r="S17" s="43">
        <f>'Env Factor by Pool'!I81</f>
        <v/>
      </c>
      <c r="T17" s="36" t="n"/>
      <c r="U17" s="41">
        <f>Q17+(Q17*S17)</f>
        <v/>
      </c>
      <c r="V17" s="669"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Data'!AZ154</f>
        <v/>
      </c>
      <c r="N18" s="40" t="n"/>
      <c r="O18" s="320">
        <f>K18+M18</f>
        <v/>
      </c>
      <c r="P18" s="36" t="n"/>
      <c r="Q18" s="314">
        <f>I18*O18</f>
        <v/>
      </c>
      <c r="R18" s="23" t="n"/>
      <c r="S18" s="320">
        <f>'Env Factor by Pool'!I89</f>
        <v/>
      </c>
      <c r="T18" s="36" t="n"/>
      <c r="U18" s="314">
        <f>Q18+(Q18*S18)</f>
        <v/>
      </c>
      <c r="V18" s="669" t="n"/>
      <c r="W18" s="421" t="n"/>
    </row>
    <row r="19" ht="16.5" customHeight="1" s="690"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Data'!AZ155</f>
        <v/>
      </c>
      <c r="N19" s="40" t="n"/>
      <c r="O19" s="321">
        <f>K19+M19</f>
        <v/>
      </c>
      <c r="P19" s="36" t="n"/>
      <c r="Q19" s="316">
        <f>I19*O19</f>
        <v/>
      </c>
      <c r="R19" s="23" t="n"/>
      <c r="S19" s="321">
        <f>'Env Factor by Pool'!I97</f>
        <v/>
      </c>
      <c r="T19" s="36" t="n"/>
      <c r="U19" s="316">
        <f>Q19+(Q19*S19)</f>
        <v/>
      </c>
      <c r="V19" s="669"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Data'!AZ156</f>
        <v/>
      </c>
      <c r="N20" s="40" t="n"/>
      <c r="O20" s="51">
        <f>K20+M20</f>
        <v/>
      </c>
      <c r="P20" s="36" t="n"/>
      <c r="Q20" s="315">
        <f>I20*O20</f>
        <v/>
      </c>
      <c r="R20" s="23" t="n"/>
      <c r="S20" s="51">
        <f>'Env Factor by Pool'!I145</f>
        <v/>
      </c>
      <c r="T20" s="36" t="n"/>
      <c r="U20" s="315">
        <f>Q20+(Q20*S20)</f>
        <v/>
      </c>
      <c r="V20" s="669" t="n"/>
      <c r="W20" s="421" t="n"/>
    </row>
    <row r="21" ht="15.75" customHeight="1" s="690"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Data'!AZ157</f>
        <v/>
      </c>
      <c r="N21" s="40" t="n"/>
      <c r="O21" s="43">
        <f>K21+M21</f>
        <v/>
      </c>
      <c r="P21" s="36" t="n"/>
      <c r="Q21" s="41">
        <f>I21*O21</f>
        <v/>
      </c>
      <c r="R21" s="23" t="n"/>
      <c r="S21" s="43">
        <f>'Env Factor by Pool'!I153</f>
        <v/>
      </c>
      <c r="T21" s="36" t="n"/>
      <c r="U21" s="41">
        <f>Q21+(Q21*S21)</f>
        <v/>
      </c>
      <c r="V21" s="669" t="n"/>
      <c r="W21" s="421" t="n"/>
    </row>
    <row r="22">
      <c r="A22" s="420" t="n"/>
      <c r="B22" s="373" t="n"/>
      <c r="E22" s="11" t="n"/>
      <c r="G22" s="36" t="n"/>
      <c r="H22" s="36" t="n"/>
      <c r="I22" s="36" t="n"/>
      <c r="V22" s="669" t="n"/>
      <c r="W22" s="421" t="n"/>
    </row>
    <row r="23" ht="15.75" customHeight="1" s="690"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90"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90">
      <c r="A25" s="420" t="n"/>
      <c r="B25" s="373" t="n"/>
      <c r="D25" s="36" t="n"/>
      <c r="E25" s="36" t="n"/>
      <c r="F25" s="36" t="n"/>
      <c r="J25" s="36" t="n"/>
      <c r="P25" s="36" t="n"/>
      <c r="Q25" s="75" t="inlineStr">
        <is>
          <t xml:space="preserve">Management Adjustment-Additional Environmental Factor </t>
        </is>
      </c>
      <c r="R25" s="56" t="n"/>
      <c r="S25" s="43">
        <f>'Historical Data'!AZ159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90">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Data'!AZ177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90" thickBot="1">
      <c r="A34" s="420" t="n"/>
      <c r="B34" s="710" t="n"/>
      <c r="C34" s="687"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90"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8" t="n"/>
      <c r="D36" s="678" t="n"/>
      <c r="E36" s="678" t="n"/>
      <c r="F36" s="678" t="n"/>
      <c r="G36" s="678" t="n"/>
      <c r="H36" s="678" t="n"/>
      <c r="I36" s="678" t="n"/>
      <c r="J36" s="678" t="n"/>
      <c r="K36" s="678" t="n"/>
      <c r="L36" s="678" t="n"/>
      <c r="M36" s="678" t="n"/>
      <c r="N36" s="678" t="n"/>
      <c r="O36" s="678" t="n"/>
      <c r="P36" s="678" t="n"/>
      <c r="Q36" s="678" t="n"/>
      <c r="R36" s="678" t="n"/>
      <c r="S36" s="678" t="n"/>
      <c r="T36" s="678" t="n"/>
      <c r="U36" s="678" t="n"/>
      <c r="V36" s="679" t="n"/>
      <c r="W36" s="426" t="n"/>
    </row>
    <row r="37">
      <c r="A37" s="420" t="n"/>
      <c r="B37" s="373" t="n"/>
      <c r="C37" s="692" t="inlineStr">
        <is>
          <t>Explanation of ACL Calculation</t>
        </is>
      </c>
      <c r="D37" s="693" t="n"/>
      <c r="E37" s="693" t="n"/>
      <c r="F37" s="693" t="n"/>
      <c r="G37" s="693" t="n"/>
      <c r="H37" s="693" t="n"/>
      <c r="I37" s="693" t="n"/>
      <c r="J37" s="693" t="n"/>
      <c r="K37" s="693" t="n"/>
      <c r="L37" s="693" t="n"/>
      <c r="M37" s="693" t="n"/>
      <c r="N37" s="693" t="n"/>
      <c r="O37" s="693" t="n"/>
      <c r="P37" s="693" t="n"/>
      <c r="Q37" s="693" t="n"/>
      <c r="R37" s="693" t="n"/>
      <c r="S37" s="693" t="n"/>
      <c r="T37" s="693" t="n"/>
      <c r="U37" s="693" t="n"/>
      <c r="V37" s="669" t="n"/>
      <c r="W37" s="426" t="n"/>
    </row>
    <row r="38">
      <c r="A38" s="420" t="n"/>
      <c r="B38" s="373" t="n"/>
      <c r="V38" s="669" t="n"/>
      <c r="W38" s="426" t="n"/>
    </row>
    <row r="39">
      <c r="A39" s="420" t="n"/>
      <c r="B39" s="373" t="n"/>
      <c r="C39" s="689" t="inlineStr">
        <is>
          <t>The calculation of the credit union’s ACL includes multiple components that combine to create a valid estimate of anticipated losses over the remaining life of loans in the portfolio.  Those components as shown in the report above.</t>
        </is>
      </c>
      <c r="V39" s="669" t="n"/>
      <c r="W39" s="426" t="n"/>
    </row>
    <row r="40">
      <c r="A40" s="420" t="n"/>
      <c r="B40" s="373" t="n"/>
      <c r="V40" s="669" t="n"/>
      <c r="W40" s="426" t="n"/>
    </row>
    <row r="41">
      <c r="A41" s="420" t="n"/>
      <c r="B41" s="373" t="n"/>
      <c r="C41" s="689" t="inlineStr">
        <is>
          <t>Portfolio Segment:  Loans are presented in groups, or pools, consistent with the presentation on the quarterly NCUA 5300 Call Report in this column.</t>
        </is>
      </c>
      <c r="V41" s="669" t="n"/>
      <c r="W41" s="426" t="n"/>
    </row>
    <row r="42">
      <c r="A42" s="420" t="n"/>
      <c r="B42" s="373" t="n"/>
      <c r="V42" s="669" t="n"/>
      <c r="W42" s="426" t="n"/>
    </row>
    <row r="43">
      <c r="A43" s="420" t="n"/>
      <c r="B43" s="373" t="n"/>
      <c r="C43" s="689" t="inlineStr">
        <is>
          <t xml:space="preserve">End of Period Loan Balance: Loan balances for each identified pool as shown in the NCUA 5300 Call reports for the end of the most recent quarter are listed in this column. </t>
        </is>
      </c>
      <c r="V43" s="669" t="n"/>
      <c r="W43" s="426" t="n"/>
    </row>
    <row r="44">
      <c r="A44" s="420" t="n"/>
      <c r="B44" s="373" t="n"/>
      <c r="V44" s="669" t="n"/>
      <c r="W44" s="426" t="n"/>
    </row>
    <row r="45">
      <c r="A45" s="420" t="n"/>
      <c r="B45" s="373" t="n"/>
      <c r="C45" s="689" t="inlineStr">
        <is>
          <t>Loans Assessed on Individual Basis:  Loan that have been identified by credit union management as deteriorated in credit quality are listed by pool in this column.</t>
        </is>
      </c>
      <c r="V45" s="669" t="n"/>
      <c r="W45" s="426" t="n"/>
    </row>
    <row r="46">
      <c r="A46" s="420" t="n"/>
      <c r="B46" s="373" t="n"/>
      <c r="V46" s="669" t="n"/>
      <c r="W46" s="426" t="n"/>
    </row>
    <row r="47">
      <c r="A47" s="420" t="n"/>
      <c r="B47" s="373" t="n"/>
      <c r="C47" s="689" t="inlineStr">
        <is>
          <t>Loans Assessed on Pooled Basis:  Individually assessed loans are subtracted from the End of Period loan balances for each pool and are displayed in this column.</t>
        </is>
      </c>
      <c r="V47" s="669" t="n"/>
      <c r="W47" s="426" t="n"/>
    </row>
    <row r="48">
      <c r="A48" s="420" t="n"/>
      <c r="B48" s="373" t="n"/>
      <c r="V48" s="669" t="n"/>
      <c r="W48" s="426" t="n"/>
    </row>
    <row r="49">
      <c r="A49" s="420" t="n"/>
      <c r="B49" s="373" t="n"/>
      <c r="C49" s="695"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9" t="n"/>
      <c r="W49" s="426" t="n"/>
    </row>
    <row r="50">
      <c r="A50" s="420" t="n"/>
      <c r="B50" s="373" t="n"/>
      <c r="V50" s="669" t="n"/>
      <c r="W50" s="426" t="n"/>
    </row>
    <row r="51">
      <c r="A51" s="420" t="n"/>
      <c r="B51" s="373" t="n"/>
      <c r="C51" s="689" t="inlineStr">
        <is>
          <t>Management Adjustment: Any adjustments to the loss rates for any pool, indicated by management judgement, are shown in this column.</t>
        </is>
      </c>
      <c r="V51" s="669" t="n"/>
      <c r="W51" s="426" t="n"/>
    </row>
    <row r="52">
      <c r="A52" s="420" t="n"/>
      <c r="B52" s="373" t="n"/>
      <c r="V52" s="669" t="n"/>
      <c r="W52" s="426" t="n"/>
    </row>
    <row r="53">
      <c r="A53" s="420" t="n"/>
      <c r="B53" s="373" t="n"/>
      <c r="C53" s="689" t="inlineStr">
        <is>
          <t>Life of Loan Loss Rate: The Lifetime Loss Rate and the Management Adjustments for each pool are totaled and displayed in this column.</t>
        </is>
      </c>
      <c r="V53" s="669" t="n"/>
      <c r="W53" s="426" t="n"/>
    </row>
    <row r="54">
      <c r="A54" s="420" t="n"/>
      <c r="B54" s="373" t="n"/>
      <c r="V54" s="669" t="n"/>
      <c r="W54" s="426" t="n"/>
    </row>
    <row r="55">
      <c r="A55" s="420" t="n"/>
      <c r="B55" s="373" t="n"/>
      <c r="C55" s="689" t="inlineStr">
        <is>
          <t>CECL ACL Base: The loss rate is multiplied times the Loans Assessed on Individual Basis to calculate the base ACL for each pool.  The dollar amounts are shown in this column.</t>
        </is>
      </c>
      <c r="V55" s="669" t="n"/>
      <c r="W55" s="426" t="n"/>
    </row>
    <row r="56">
      <c r="A56" s="420" t="n"/>
      <c r="B56" s="373" t="n"/>
      <c r="V56" s="669" t="n"/>
      <c r="W56" s="426" t="n"/>
    </row>
    <row r="57">
      <c r="A57" s="420" t="n"/>
      <c r="B57" s="373" t="n"/>
      <c r="C57" s="689"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9" t="n"/>
      <c r="W57" s="426" t="n"/>
    </row>
    <row r="58">
      <c r="A58" s="420" t="n"/>
      <c r="B58" s="373" t="n"/>
      <c r="V58" s="669" t="n"/>
      <c r="W58" s="426" t="n"/>
    </row>
    <row r="59">
      <c r="A59" s="420" t="n"/>
      <c r="B59" s="373" t="n"/>
      <c r="C59" s="689" t="inlineStr">
        <is>
          <t>CECL ACL Final:  The Adjustment for Qualitative Factors percentage is multiplied by the CECL ALC base the resulting amount is added to the base to arrive at the CECL ACL Final.  Dollar amounts for each pool is shown in this column.</t>
        </is>
      </c>
      <c r="V59" s="669" t="n"/>
      <c r="W59" s="426" t="n"/>
    </row>
    <row r="60">
      <c r="A60" s="420" t="n"/>
      <c r="B60" s="373" t="n"/>
      <c r="V60" s="669" t="n"/>
      <c r="W60" s="426" t="n"/>
    </row>
    <row r="61">
      <c r="A61" s="420" t="n"/>
      <c r="B61" s="373" t="n"/>
      <c r="C61" s="689"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9" t="n"/>
      <c r="W61" s="426" t="n"/>
    </row>
    <row r="62">
      <c r="A62" s="420" t="n"/>
      <c r="B62" s="373" t="n"/>
      <c r="V62" s="669" t="n"/>
      <c r="W62" s="426" t="n"/>
    </row>
    <row r="63">
      <c r="A63" s="420" t="n"/>
      <c r="B63" s="373" t="n"/>
      <c r="C63" s="689" t="inlineStr">
        <is>
          <t>Expected Losses on Loans Assessed on Individual Basis:  All loans with deteriorated loan quality are assessed using the appropriate assessment method as shown on page 6.  The total indicated dollar amount are risk is shown in this cell.</t>
        </is>
      </c>
      <c r="V63" s="669" t="n"/>
      <c r="W63" s="426" t="n"/>
    </row>
    <row r="64">
      <c r="A64" s="420" t="n"/>
      <c r="B64" s="373" t="n"/>
      <c r="V64" s="669" t="n"/>
      <c r="W64" s="426" t="n"/>
    </row>
    <row r="65">
      <c r="A65" s="420" t="n"/>
      <c r="B65" s="373" t="n"/>
      <c r="C65" s="689" t="inlineStr">
        <is>
          <t>Total Expected Losses on Loans: Each loss allowance calculation is summed and shown in this cell.</t>
        </is>
      </c>
      <c r="V65" s="669" t="n"/>
      <c r="W65" s="426" t="n"/>
    </row>
    <row r="66">
      <c r="A66" s="420" t="n"/>
      <c r="B66" s="373" t="n"/>
      <c r="V66" s="669" t="n"/>
      <c r="W66" s="426" t="n"/>
    </row>
    <row r="67">
      <c r="A67" s="420" t="n"/>
      <c r="B67" s="373" t="n"/>
      <c r="C67" s="689" t="inlineStr">
        <is>
          <t>Current ACL Balance:  The current ACL balance, as displayed on the GL, is show in this cell</t>
        </is>
      </c>
      <c r="V67" s="669" t="n"/>
      <c r="W67" s="426" t="n"/>
    </row>
    <row r="68">
      <c r="A68" s="420" t="n"/>
      <c r="B68" s="373" t="n"/>
      <c r="V68" s="669" t="n"/>
      <c r="W68" s="426" t="n"/>
    </row>
    <row r="69">
      <c r="A69" s="420" t="n"/>
      <c r="B69" s="373" t="n"/>
      <c r="C69" s="689" t="inlineStr">
        <is>
          <t>Adjustment:  Any indicated adjustment to the ACL is shown in this cell.</t>
        </is>
      </c>
      <c r="V69" s="669" t="n"/>
      <c r="W69" s="426" t="n"/>
    </row>
    <row r="70">
      <c r="A70" s="420" t="n"/>
      <c r="B70" s="373" t="n"/>
      <c r="V70" s="669" t="n"/>
      <c r="W70" s="426" t="n"/>
    </row>
    <row r="71">
      <c r="A71" s="420" t="n"/>
      <c r="B71" s="373" t="n"/>
      <c r="C71" s="689" t="inlineStr">
        <is>
          <t>ACL/Total Loans:  This cells shows the percentage of total loan portfolio that is indicated in the ACL.</t>
        </is>
      </c>
      <c r="V71" s="669" t="n"/>
      <c r="W71" s="426" t="n"/>
    </row>
    <row r="72" ht="15.75" customHeight="1" s="690" thickBot="1">
      <c r="A72" s="420" t="n"/>
      <c r="B72" s="710" t="n"/>
      <c r="C72" s="687" t="n"/>
      <c r="D72" s="687" t="n"/>
      <c r="E72" s="687" t="n"/>
      <c r="F72" s="687" t="n"/>
      <c r="G72" s="687" t="n"/>
      <c r="H72" s="687" t="n"/>
      <c r="I72" s="687" t="n"/>
      <c r="J72" s="687" t="n"/>
      <c r="K72" s="687" t="n"/>
      <c r="L72" s="687" t="n"/>
      <c r="M72" s="687" t="n"/>
      <c r="N72" s="687" t="n"/>
      <c r="O72" s="687" t="n"/>
      <c r="P72" s="687" t="n"/>
      <c r="Q72" s="687" t="n"/>
      <c r="R72" s="687" t="n"/>
      <c r="S72" s="687" t="n"/>
      <c r="T72" s="687" t="n"/>
      <c r="U72" s="687" t="n"/>
      <c r="V72" s="688" t="n"/>
      <c r="W72" s="426" t="n"/>
    </row>
    <row r="73" ht="15.75" customHeight="1" s="690"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8" t="n"/>
      <c r="D74" s="678" t="n"/>
      <c r="E74" s="678" t="n"/>
      <c r="F74" s="678" t="n"/>
      <c r="G74" s="678" t="n"/>
      <c r="H74" s="678" t="n"/>
      <c r="I74" s="678" t="n"/>
      <c r="J74" s="678" t="n"/>
      <c r="K74" s="678" t="n"/>
      <c r="L74" s="678" t="n"/>
      <c r="M74" s="678" t="n"/>
      <c r="N74" s="678" t="n"/>
      <c r="O74" s="678" t="n"/>
      <c r="P74" s="678" t="n"/>
      <c r="Q74" s="678" t="n"/>
      <c r="R74" s="678" t="n"/>
      <c r="S74" s="678" t="n"/>
      <c r="T74" s="678" t="n"/>
      <c r="U74" s="678" t="n"/>
      <c r="V74" s="679" t="n"/>
      <c r="W74" s="426" t="n"/>
    </row>
    <row r="75">
      <c r="A75" s="420" t="n"/>
      <c r="B75" s="373" t="n"/>
      <c r="V75" s="669" t="n"/>
      <c r="W75" s="426" t="n"/>
    </row>
    <row r="76">
      <c r="A76" s="420" t="n"/>
      <c r="B76" s="373" t="n"/>
      <c r="V76" s="669" t="n"/>
      <c r="W76" s="426" t="n"/>
    </row>
    <row r="77" ht="15.75" customHeight="1" s="690" thickBot="1">
      <c r="A77" s="420" t="n"/>
      <c r="B77" s="710">
        <f>Cover!B35</f>
        <v/>
      </c>
      <c r="C77" s="687" t="n"/>
      <c r="D77" s="687" t="n"/>
      <c r="E77" s="687" t="n"/>
      <c r="F77" s="687" t="n"/>
      <c r="G77" s="687" t="n"/>
      <c r="H77" s="687" t="n"/>
      <c r="I77" s="687" t="n"/>
      <c r="J77" s="687" t="n"/>
      <c r="K77" s="687" t="n"/>
      <c r="L77" s="687" t="n"/>
      <c r="M77" s="687" t="n"/>
      <c r="N77" s="687" t="n"/>
      <c r="O77" s="687" t="n"/>
      <c r="P77" s="687" t="n"/>
      <c r="Q77" s="687" t="n"/>
      <c r="R77" s="687" t="n"/>
      <c r="S77" s="687" t="n"/>
      <c r="T77" s="687" t="n"/>
      <c r="U77" s="307" t="inlineStr">
        <is>
          <t>Confidential</t>
        </is>
      </c>
      <c r="V77" s="688" t="n"/>
      <c r="W77" s="426" t="n"/>
    </row>
    <row r="78" ht="15.75" customHeight="1" s="690"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8" min="1" max="1"/>
    <col width="27.28515625" bestFit="1" customWidth="1" style="698" min="2" max="2"/>
    <col width="32.28515625" customWidth="1" style="698" min="3" max="3"/>
    <col width="73" customWidth="1" style="698" min="4" max="4"/>
    <col width="32.28515625" customWidth="1" style="698" min="5" max="6"/>
    <col width="9.140625" customWidth="1" style="698" min="7" max="7"/>
    <col width="18.7109375" bestFit="1" customWidth="1" style="201" min="8" max="8"/>
    <col width="9.140625" customWidth="1" style="201" min="9" max="9"/>
    <col width="9.140625" customWidth="1" style="698" min="10" max="21"/>
    <col width="9.140625" customWidth="1" style="698" min="22" max="16384"/>
  </cols>
  <sheetData>
    <row r="1" ht="18" customHeight="1" s="690">
      <c r="B1" s="712">
        <f>'Historical Data'!B2</f>
        <v/>
      </c>
      <c r="C1" s="678" t="n"/>
      <c r="D1" s="678" t="n"/>
      <c r="E1" s="678" t="n"/>
      <c r="F1" s="679" t="n"/>
    </row>
    <row r="2" ht="15.75" customHeight="1" s="690">
      <c r="B2" s="705" t="inlineStr">
        <is>
          <t>Environmental Factor for PLL</t>
        </is>
      </c>
      <c r="F2" s="669" t="n"/>
    </row>
    <row r="3" ht="15" customHeight="1" s="690">
      <c r="B3" s="697">
        <f>"For Period Ending "&amp;TEXT('Historical Data'!AZ8,"mm/dd/yyyy")</f>
        <v/>
      </c>
      <c r="F3" s="669" t="n"/>
      <c r="J3" s="134" t="n"/>
      <c r="K3" s="134" t="n"/>
      <c r="L3" s="134" t="n"/>
      <c r="M3" s="134" t="n"/>
    </row>
    <row r="4" ht="15.75" customHeight="1" s="690" thickBot="1">
      <c r="B4" s="135" t="n"/>
      <c r="C4" s="136" t="n"/>
      <c r="D4" s="136" t="n"/>
      <c r="E4" s="136" t="n"/>
      <c r="F4" s="137" t="n"/>
      <c r="J4" s="134" t="n"/>
      <c r="K4" s="134" t="n"/>
      <c r="L4" s="134" t="n"/>
      <c r="M4" s="134" t="n"/>
    </row>
    <row r="5" ht="15" customHeight="1" s="690">
      <c r="B5" s="706" t="inlineStr">
        <is>
          <t>Economic Stress Index Calculation</t>
        </is>
      </c>
      <c r="C5" s="707" t="n"/>
      <c r="D5" s="707" t="n"/>
      <c r="E5" s="707" t="n"/>
      <c r="F5" s="704" t="n"/>
      <c r="J5" s="134" t="n"/>
      <c r="K5" s="134" t="n"/>
      <c r="L5" s="134" t="n"/>
      <c r="M5" s="134" t="n"/>
    </row>
    <row r="6" ht="15" customHeight="1" s="690">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90" thickBot="1">
      <c r="B7" s="141">
        <f>'Historical Data'!B4</f>
        <v/>
      </c>
      <c r="C7" s="142">
        <f>'Historical Data'!AZ139</f>
        <v/>
      </c>
      <c r="D7" s="781">
        <f>'Historical Data'!AZ140</f>
        <v/>
      </c>
      <c r="E7" s="781">
        <f>'Historical Data'!AZ141</f>
        <v/>
      </c>
      <c r="F7" s="782">
        <f>'Historical Data'!AZ142</f>
        <v/>
      </c>
      <c r="H7" s="202" t="n"/>
      <c r="M7" s="134" t="n"/>
    </row>
    <row r="8" ht="15" customHeight="1" s="690">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90" thickBot="1">
      <c r="B9" s="187">
        <f>'Historical Data'!B5</f>
        <v/>
      </c>
      <c r="C9" s="180">
        <f>C7</f>
        <v/>
      </c>
      <c r="D9" s="148">
        <f>E7/F7</f>
        <v/>
      </c>
      <c r="E9" s="148">
        <f>1/D7</f>
        <v/>
      </c>
      <c r="F9" s="149">
        <f>SUM(C9:E9)</f>
        <v/>
      </c>
      <c r="G9" s="145" t="n"/>
      <c r="H9" s="203" t="n"/>
      <c r="I9" s="203" t="n"/>
      <c r="J9" s="151" t="n"/>
      <c r="K9" s="134" t="n"/>
      <c r="L9" s="134" t="n"/>
      <c r="M9" s="134" t="n"/>
    </row>
    <row r="10" ht="6" customHeight="1" s="690" thickBot="1">
      <c r="B10" s="152" t="n"/>
      <c r="C10" s="154" t="n"/>
      <c r="D10" s="153" t="n"/>
      <c r="E10" s="153" t="n"/>
      <c r="F10" s="150" t="n"/>
      <c r="G10" s="145" t="n"/>
      <c r="H10" s="783" t="n"/>
      <c r="I10" s="783" t="n"/>
      <c r="J10" s="145" t="n"/>
      <c r="M10" s="134" t="n"/>
    </row>
    <row r="11" ht="15.75" customHeight="1" s="690" thickBot="1">
      <c r="B11" s="699">
        <f>'Scale Calculation'!C9</f>
        <v/>
      </c>
      <c r="C11" s="700" t="n"/>
      <c r="D11" s="700" t="n"/>
      <c r="E11" s="700" t="n"/>
      <c r="F11" s="701" t="n"/>
      <c r="G11" s="145" t="n"/>
      <c r="M11" s="134" t="n"/>
    </row>
    <row r="12" ht="15.75" customHeight="1" s="690" thickBot="1">
      <c r="B12" s="702" t="inlineStr">
        <is>
          <t>Delinquency Variance</t>
        </is>
      </c>
      <c r="C12" s="701" t="n"/>
      <c r="D12" s="174" t="n"/>
      <c r="E12" s="703" t="inlineStr">
        <is>
          <t>Economic Stress</t>
        </is>
      </c>
      <c r="F12" s="704"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8"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8" t="n"/>
    </row>
    <row r="15" ht="18.75" customHeight="1" s="690" thickBot="1">
      <c r="B15" s="711">
        <f>"Environmental  Factor-"&amp;B11</f>
        <v/>
      </c>
      <c r="C15" s="700" t="n"/>
      <c r="D15" s="700" t="n"/>
      <c r="E15" s="700" t="n"/>
      <c r="F15" s="701" t="n"/>
    </row>
    <row r="16" ht="12.75" customHeight="1" s="690">
      <c r="B16" s="709">
        <f>C14+F14</f>
        <v/>
      </c>
      <c r="C16" s="678" t="n"/>
      <c r="D16" s="678" t="n"/>
      <c r="E16" s="678" t="n"/>
      <c r="F16" s="679" t="n"/>
      <c r="K16" s="160" t="n"/>
    </row>
    <row r="17" ht="13.5" customHeight="1" s="690" thickBot="1">
      <c r="B17" s="710" t="n"/>
      <c r="C17" s="687" t="n"/>
      <c r="D17" s="687" t="n"/>
      <c r="E17" s="687" t="n"/>
      <c r="F17" s="688" t="n"/>
      <c r="H17" s="201" t="inlineStr">
        <is>
          <t>Environmental Factor</t>
        </is>
      </c>
      <c r="I17" s="208">
        <f>B16</f>
        <v/>
      </c>
    </row>
    <row r="18" ht="6" customFormat="1" customHeight="1" s="160" thickBot="1">
      <c r="H18" s="207" t="n"/>
      <c r="I18" s="207" t="n"/>
      <c r="K18" s="698" t="n"/>
    </row>
    <row r="19" ht="15.75" customHeight="1" s="690" thickBot="1">
      <c r="B19" s="699">
        <f>'Scale Calculation'!C10</f>
        <v/>
      </c>
      <c r="C19" s="700" t="n"/>
      <c r="D19" s="700" t="n"/>
      <c r="E19" s="700" t="n"/>
      <c r="F19" s="701" t="n"/>
      <c r="G19" s="145" t="n"/>
      <c r="M19" s="134" t="n"/>
    </row>
    <row r="20" ht="15.75" customHeight="1" s="690" thickBot="1">
      <c r="B20" s="702">
        <f>$B$12</f>
        <v/>
      </c>
      <c r="C20" s="701" t="n"/>
      <c r="D20" s="174" t="n"/>
      <c r="E20" s="703" t="inlineStr">
        <is>
          <t>Economic Stress</t>
        </is>
      </c>
      <c r="F20" s="704" t="n"/>
    </row>
    <row r="21" ht="14.25" customFormat="1" customHeight="1" s="157">
      <c r="B21" s="155">
        <f>B13</f>
        <v/>
      </c>
      <c r="C21" s="156" t="inlineStr">
        <is>
          <t>Score</t>
        </is>
      </c>
      <c r="D21" s="175" t="n"/>
      <c r="E21" s="155" t="inlineStr">
        <is>
          <t>Actual</t>
        </is>
      </c>
      <c r="F21" s="156" t="inlineStr">
        <is>
          <t>Score</t>
        </is>
      </c>
      <c r="H21" s="205" t="n"/>
      <c r="I21" s="205" t="n"/>
      <c r="K21" s="698"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8" t="n"/>
    </row>
    <row r="23" ht="15.75" customHeight="1" s="690" thickBot="1">
      <c r="B23" s="699">
        <f>"Environmental  Factor-"&amp;B19</f>
        <v/>
      </c>
      <c r="C23" s="700" t="n"/>
      <c r="D23" s="700" t="n"/>
      <c r="E23" s="700" t="n"/>
      <c r="F23" s="701" t="n"/>
      <c r="G23" s="145" t="n"/>
      <c r="M23" s="134" t="n"/>
    </row>
    <row r="24" ht="12.75" customHeight="1" s="690">
      <c r="B24" s="709">
        <f>C22+F22</f>
        <v/>
      </c>
      <c r="C24" s="678" t="n"/>
      <c r="D24" s="678" t="n"/>
      <c r="E24" s="678" t="n"/>
      <c r="F24" s="679" t="n"/>
      <c r="K24" s="160" t="n"/>
    </row>
    <row r="25" ht="13.5" customHeight="1" s="690" thickBot="1">
      <c r="B25" s="710" t="n"/>
      <c r="C25" s="687" t="n"/>
      <c r="D25" s="687" t="n"/>
      <c r="E25" s="687" t="n"/>
      <c r="F25" s="688" t="n"/>
      <c r="H25" s="201" t="inlineStr">
        <is>
          <t>Environmental Factor</t>
        </is>
      </c>
      <c r="I25" s="208">
        <f>B24</f>
        <v/>
      </c>
    </row>
    <row r="26" ht="6" customFormat="1" customHeight="1" s="160" thickBot="1">
      <c r="H26" s="207" t="n"/>
      <c r="I26" s="207" t="n"/>
      <c r="K26" s="698" t="n"/>
    </row>
    <row r="27" ht="15.75" customHeight="1" s="690" thickBot="1">
      <c r="B27" s="699">
        <f>'Scale Calculation'!C11</f>
        <v/>
      </c>
      <c r="C27" s="700" t="n"/>
      <c r="D27" s="700" t="n"/>
      <c r="E27" s="700" t="n"/>
      <c r="F27" s="701" t="n"/>
      <c r="G27" s="145" t="n"/>
      <c r="M27" s="134" t="n"/>
    </row>
    <row r="28" ht="15.75" customHeight="1" s="690" thickBot="1">
      <c r="B28" s="702">
        <f>$B$12</f>
        <v/>
      </c>
      <c r="C28" s="701" t="n"/>
      <c r="D28" s="174" t="n"/>
      <c r="E28" s="703" t="inlineStr">
        <is>
          <t>Economic Stress</t>
        </is>
      </c>
      <c r="F28" s="704" t="n"/>
    </row>
    <row r="29" ht="14.25" customFormat="1" customHeight="1" s="157">
      <c r="B29" s="155">
        <f>B13</f>
        <v/>
      </c>
      <c r="C29" s="156" t="inlineStr">
        <is>
          <t>Score</t>
        </is>
      </c>
      <c r="D29" s="175" t="n"/>
      <c r="E29" s="155" t="inlineStr">
        <is>
          <t>Actual</t>
        </is>
      </c>
      <c r="F29" s="156" t="inlineStr">
        <is>
          <t>Score</t>
        </is>
      </c>
      <c r="H29" s="205" t="n"/>
      <c r="I29" s="205" t="n"/>
      <c r="K29" s="698"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8" t="n"/>
    </row>
    <row r="31" ht="15.75" customHeight="1" s="690" thickBot="1">
      <c r="B31" s="699">
        <f>"Environmental  Factor-"&amp;B27</f>
        <v/>
      </c>
      <c r="C31" s="700" t="n"/>
      <c r="D31" s="700" t="n"/>
      <c r="E31" s="700" t="n"/>
      <c r="F31" s="701" t="n"/>
      <c r="G31" s="145" t="n"/>
      <c r="M31" s="134" t="n"/>
    </row>
    <row r="32" ht="12.75" customHeight="1" s="690">
      <c r="B32" s="709">
        <f>C30+F30</f>
        <v/>
      </c>
      <c r="C32" s="678" t="n"/>
      <c r="D32" s="678" t="n"/>
      <c r="E32" s="678" t="n"/>
      <c r="F32" s="679" t="n"/>
      <c r="K32" s="160" t="n"/>
    </row>
    <row r="33" ht="13.5" customHeight="1" s="690" thickBot="1">
      <c r="B33" s="710" t="n"/>
      <c r="C33" s="687" t="n"/>
      <c r="D33" s="687" t="n"/>
      <c r="E33" s="687" t="n"/>
      <c r="F33" s="688" t="n"/>
      <c r="H33" s="201" t="inlineStr">
        <is>
          <t>Environmental Factor</t>
        </is>
      </c>
      <c r="I33" s="208">
        <f>B32</f>
        <v/>
      </c>
    </row>
    <row r="34" ht="6" customFormat="1" customHeight="1" s="160" thickBot="1">
      <c r="H34" s="207" t="n"/>
      <c r="I34" s="207" t="n"/>
      <c r="K34" s="698" t="n"/>
    </row>
    <row r="35" ht="15.75" customHeight="1" s="690" thickBot="1">
      <c r="B35" s="699">
        <f>'Scale Calculation'!C12</f>
        <v/>
      </c>
      <c r="C35" s="700" t="n"/>
      <c r="D35" s="700" t="n"/>
      <c r="E35" s="700" t="n"/>
      <c r="F35" s="701" t="n"/>
      <c r="G35" s="145" t="n"/>
      <c r="M35" s="134" t="n"/>
    </row>
    <row r="36" ht="15.75" customHeight="1" s="690" thickBot="1">
      <c r="B36" s="702">
        <f>$B$12</f>
        <v/>
      </c>
      <c r="C36" s="701" t="n"/>
      <c r="D36" s="174" t="n"/>
      <c r="E36" s="703" t="inlineStr">
        <is>
          <t>Economic Stress</t>
        </is>
      </c>
      <c r="F36" s="704" t="n"/>
    </row>
    <row r="37" ht="14.25" customFormat="1" customHeight="1" s="157">
      <c r="B37" s="155">
        <f>B21</f>
        <v/>
      </c>
      <c r="C37" s="156" t="inlineStr">
        <is>
          <t>Score</t>
        </is>
      </c>
      <c r="D37" s="175" t="n"/>
      <c r="E37" s="155" t="inlineStr">
        <is>
          <t>Actual</t>
        </is>
      </c>
      <c r="F37" s="156" t="inlineStr">
        <is>
          <t>Score</t>
        </is>
      </c>
      <c r="H37" s="205" t="n"/>
      <c r="I37" s="205" t="n"/>
      <c r="K37" s="698"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8" t="n"/>
    </row>
    <row r="39" ht="15.75" customHeight="1" s="690" thickBot="1">
      <c r="B39" s="699">
        <f>"Environmental  Factor-"&amp;B35</f>
        <v/>
      </c>
      <c r="C39" s="700" t="n"/>
      <c r="D39" s="700" t="n"/>
      <c r="E39" s="700" t="n"/>
      <c r="F39" s="701" t="n"/>
      <c r="G39" s="145" t="n"/>
      <c r="M39" s="134" t="n"/>
    </row>
    <row r="40" ht="12.75" customHeight="1" s="690">
      <c r="B40" s="709">
        <f>C38+F38</f>
        <v/>
      </c>
      <c r="C40" s="678" t="n"/>
      <c r="D40" s="678" t="n"/>
      <c r="E40" s="678" t="n"/>
      <c r="F40" s="679" t="n"/>
      <c r="K40" s="160" t="n"/>
    </row>
    <row r="41" ht="13.5" customHeight="1" s="690" thickBot="1">
      <c r="B41" s="710" t="n"/>
      <c r="C41" s="687" t="n"/>
      <c r="D41" s="687" t="n"/>
      <c r="E41" s="687" t="n"/>
      <c r="F41" s="688" t="n"/>
      <c r="H41" s="201" t="inlineStr">
        <is>
          <t>Environmental Factor</t>
        </is>
      </c>
      <c r="I41" s="208">
        <f>B40</f>
        <v/>
      </c>
    </row>
    <row r="42" ht="6" customFormat="1" customHeight="1" s="160" thickBot="1">
      <c r="H42" s="207" t="n"/>
      <c r="I42" s="207" t="n"/>
      <c r="K42" s="698" t="n"/>
    </row>
    <row r="43" ht="15.75" customHeight="1" s="690" thickBot="1">
      <c r="B43" s="699">
        <f>'Scale Calculation'!C13</f>
        <v/>
      </c>
      <c r="C43" s="700" t="n"/>
      <c r="D43" s="700" t="n"/>
      <c r="E43" s="700" t="n"/>
      <c r="F43" s="701" t="n"/>
      <c r="G43" s="145" t="n"/>
      <c r="M43" s="134" t="n"/>
    </row>
    <row r="44" ht="15.75" customHeight="1" s="690" thickBot="1">
      <c r="B44" s="702">
        <f>$B$12</f>
        <v/>
      </c>
      <c r="C44" s="701" t="n"/>
      <c r="D44" s="174" t="n"/>
      <c r="E44" s="703" t="inlineStr">
        <is>
          <t>Economic Stress</t>
        </is>
      </c>
      <c r="F44" s="704" t="n"/>
    </row>
    <row r="45" ht="14.25" customFormat="1" customHeight="1" s="157">
      <c r="B45" s="155">
        <f>B13</f>
        <v/>
      </c>
      <c r="C45" s="156" t="inlineStr">
        <is>
          <t>Score</t>
        </is>
      </c>
      <c r="D45" s="175" t="n"/>
      <c r="E45" s="155" t="inlineStr">
        <is>
          <t>Actual</t>
        </is>
      </c>
      <c r="F45" s="156" t="inlineStr">
        <is>
          <t>Score</t>
        </is>
      </c>
      <c r="H45" s="205" t="n"/>
      <c r="I45" s="205" t="n"/>
      <c r="K45" s="698"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8" t="n"/>
    </row>
    <row r="47" ht="15.75" customHeight="1" s="690" thickBot="1">
      <c r="B47" s="699">
        <f>"Environmental  Factor-"&amp;B43</f>
        <v/>
      </c>
      <c r="C47" s="700" t="n"/>
      <c r="D47" s="700" t="n"/>
      <c r="E47" s="700" t="n"/>
      <c r="F47" s="701" t="n"/>
      <c r="G47" s="145" t="n"/>
      <c r="M47" s="134" t="n"/>
    </row>
    <row r="48" ht="12.75" customHeight="1" s="690">
      <c r="B48" s="709">
        <f>C46+F46</f>
        <v/>
      </c>
      <c r="C48" s="678" t="n"/>
      <c r="D48" s="678" t="n"/>
      <c r="E48" s="678" t="n"/>
      <c r="F48" s="679" t="n"/>
      <c r="K48" s="160" t="n"/>
    </row>
    <row r="49" ht="13.5" customHeight="1" s="690" thickBot="1">
      <c r="B49" s="710" t="n"/>
      <c r="C49" s="687" t="n"/>
      <c r="D49" s="687" t="n"/>
      <c r="E49" s="687" t="n"/>
      <c r="F49" s="688" t="n"/>
      <c r="H49" s="201" t="inlineStr">
        <is>
          <t>Environmental Factor</t>
        </is>
      </c>
      <c r="I49" s="208">
        <f>B48</f>
        <v/>
      </c>
    </row>
    <row r="50" ht="6" customHeight="1" s="690" thickBot="1"/>
    <row r="51" ht="15.75" customHeight="1" s="690" thickBot="1">
      <c r="B51" s="699">
        <f>'Scale Calculation'!C14</f>
        <v/>
      </c>
      <c r="C51" s="700" t="n"/>
      <c r="D51" s="700" t="n"/>
      <c r="E51" s="700" t="n"/>
      <c r="F51" s="701" t="n"/>
      <c r="G51" s="145" t="n"/>
      <c r="M51" s="134" t="n"/>
    </row>
    <row r="52" ht="15.75" customHeight="1" s="690" thickBot="1">
      <c r="B52" s="702">
        <f>$B$12</f>
        <v/>
      </c>
      <c r="C52" s="701" t="n"/>
      <c r="D52" s="174" t="n"/>
      <c r="E52" s="703" t="inlineStr">
        <is>
          <t>Economic Stress</t>
        </is>
      </c>
      <c r="F52" s="704" t="n"/>
    </row>
    <row r="53" ht="14.25" customFormat="1" customHeight="1" s="157">
      <c r="B53" s="155">
        <f>B13</f>
        <v/>
      </c>
      <c r="C53" s="156" t="inlineStr">
        <is>
          <t>Score</t>
        </is>
      </c>
      <c r="D53" s="175" t="n"/>
      <c r="E53" s="155" t="inlineStr">
        <is>
          <t>Actual</t>
        </is>
      </c>
      <c r="F53" s="156" t="inlineStr">
        <is>
          <t>Score</t>
        </is>
      </c>
      <c r="H53" s="205" t="n"/>
      <c r="I53" s="205" t="n"/>
      <c r="K53" s="698"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8" t="n"/>
    </row>
    <row r="55" ht="15.75" customHeight="1" s="690" thickBot="1">
      <c r="B55" s="699">
        <f>"Environmental  Factor-"&amp;B51</f>
        <v/>
      </c>
      <c r="C55" s="700" t="n"/>
      <c r="D55" s="700" t="n"/>
      <c r="E55" s="700" t="n"/>
      <c r="F55" s="701" t="n"/>
      <c r="G55" s="145" t="n"/>
      <c r="M55" s="134" t="n"/>
    </row>
    <row r="56" ht="12.75" customHeight="1" s="690">
      <c r="B56" s="709">
        <f>C54+F54</f>
        <v/>
      </c>
      <c r="C56" s="678" t="n"/>
      <c r="D56" s="678" t="n"/>
      <c r="E56" s="678" t="n"/>
      <c r="F56" s="679" t="n"/>
      <c r="K56" s="160" t="n"/>
    </row>
    <row r="57" ht="13.5" customHeight="1" s="690" thickBot="1">
      <c r="B57" s="710" t="n"/>
      <c r="C57" s="687" t="n"/>
      <c r="D57" s="687" t="n"/>
      <c r="E57" s="687" t="n"/>
      <c r="F57" s="688" t="n"/>
      <c r="H57" s="201" t="inlineStr">
        <is>
          <t>Environmental Factor</t>
        </is>
      </c>
      <c r="I57" s="208">
        <f>B56</f>
        <v/>
      </c>
    </row>
    <row r="58" ht="6" customHeight="1" s="690" thickBot="1"/>
    <row r="59" ht="15.75" customHeight="1" s="690" thickBot="1">
      <c r="B59" s="699">
        <f>'Scale Calculation'!C15</f>
        <v/>
      </c>
      <c r="C59" s="700" t="n"/>
      <c r="D59" s="700" t="n"/>
      <c r="E59" s="700" t="n"/>
      <c r="F59" s="701" t="n"/>
      <c r="G59" s="145" t="n"/>
      <c r="M59" s="134" t="n"/>
    </row>
    <row r="60" ht="15.75" customHeight="1" s="690" thickBot="1">
      <c r="B60" s="702">
        <f>$B$12</f>
        <v/>
      </c>
      <c r="C60" s="701" t="n"/>
      <c r="D60" s="174" t="n"/>
      <c r="E60" s="703" t="inlineStr">
        <is>
          <t>Economic Stress</t>
        </is>
      </c>
      <c r="F60" s="704" t="n"/>
    </row>
    <row r="61" ht="14.25" customFormat="1" customHeight="1" s="157">
      <c r="B61" s="155">
        <f>B13</f>
        <v/>
      </c>
      <c r="C61" s="156" t="inlineStr">
        <is>
          <t>Score</t>
        </is>
      </c>
      <c r="D61" s="175" t="n"/>
      <c r="E61" s="155" t="inlineStr">
        <is>
          <t>Actual</t>
        </is>
      </c>
      <c r="F61" s="156" t="inlineStr">
        <is>
          <t>Score</t>
        </is>
      </c>
      <c r="H61" s="205" t="n"/>
      <c r="I61" s="205" t="n"/>
      <c r="K61" s="698"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8" t="n"/>
    </row>
    <row r="63" ht="15.75" customHeight="1" s="690" thickBot="1">
      <c r="B63" s="699">
        <f>"Environmental  Factor-"&amp;B59</f>
        <v/>
      </c>
      <c r="C63" s="700" t="n"/>
      <c r="D63" s="700" t="n"/>
      <c r="E63" s="700" t="n"/>
      <c r="F63" s="701" t="n"/>
      <c r="G63" s="145" t="n"/>
      <c r="M63" s="134" t="n"/>
    </row>
    <row r="64" ht="12.75" customHeight="1" s="690">
      <c r="B64" s="709">
        <f>C62+F62</f>
        <v/>
      </c>
      <c r="C64" s="678" t="n"/>
      <c r="D64" s="678" t="n"/>
      <c r="E64" s="678" t="n"/>
      <c r="F64" s="679" t="n"/>
      <c r="K64" s="160" t="n"/>
    </row>
    <row r="65" ht="13.5" customHeight="1" s="690" thickBot="1">
      <c r="B65" s="710" t="n"/>
      <c r="C65" s="687" t="n"/>
      <c r="D65" s="687" t="n"/>
      <c r="E65" s="687" t="n"/>
      <c r="F65" s="688" t="n"/>
      <c r="H65" s="201" t="inlineStr">
        <is>
          <t>Environmental Factor</t>
        </is>
      </c>
      <c r="I65" s="208">
        <f>B64</f>
        <v/>
      </c>
    </row>
    <row r="66" ht="6" customHeight="1" s="690" thickBot="1"/>
    <row r="67" ht="15.75" customHeight="1" s="690" thickBot="1">
      <c r="B67" s="699">
        <f>'Scale Calculation'!C16</f>
        <v/>
      </c>
      <c r="C67" s="700" t="n"/>
      <c r="D67" s="700" t="n"/>
      <c r="E67" s="700" t="n"/>
      <c r="F67" s="701" t="n"/>
      <c r="G67" s="145" t="n"/>
      <c r="M67" s="134" t="n"/>
    </row>
    <row r="68" ht="15.75" customHeight="1" s="690" thickBot="1">
      <c r="B68" s="702">
        <f>$B$12</f>
        <v/>
      </c>
      <c r="C68" s="701" t="n"/>
      <c r="D68" s="174" t="n"/>
      <c r="E68" s="703" t="inlineStr">
        <is>
          <t>Economic Stress</t>
        </is>
      </c>
      <c r="F68" s="704" t="n"/>
    </row>
    <row r="69" ht="14.25" customFormat="1" customHeight="1" s="157">
      <c r="B69" s="155">
        <f>B53</f>
        <v/>
      </c>
      <c r="C69" s="156" t="inlineStr">
        <is>
          <t>Score</t>
        </is>
      </c>
      <c r="D69" s="175" t="n"/>
      <c r="E69" s="155" t="inlineStr">
        <is>
          <t>Actual</t>
        </is>
      </c>
      <c r="F69" s="156" t="inlineStr">
        <is>
          <t>Score</t>
        </is>
      </c>
      <c r="H69" s="205" t="n"/>
      <c r="I69" s="205" t="n"/>
      <c r="K69" s="698"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8" t="n"/>
    </row>
    <row r="71" ht="15.75" customHeight="1" s="690" thickBot="1">
      <c r="B71" s="699">
        <f>"Environmental  Factor-"&amp;B67</f>
        <v/>
      </c>
      <c r="C71" s="700" t="n"/>
      <c r="D71" s="700" t="n"/>
      <c r="E71" s="700" t="n"/>
      <c r="F71" s="701" t="n"/>
      <c r="G71" s="145" t="n"/>
      <c r="M71" s="134" t="n"/>
    </row>
    <row r="72" ht="12.75" customHeight="1" s="690">
      <c r="B72" s="709">
        <f>C70+F70</f>
        <v/>
      </c>
      <c r="C72" s="678" t="n"/>
      <c r="D72" s="678" t="n"/>
      <c r="E72" s="678" t="n"/>
      <c r="F72" s="679" t="n"/>
      <c r="K72" s="160" t="n"/>
    </row>
    <row r="73" ht="13.5" customHeight="1" s="690" thickBot="1">
      <c r="B73" s="710" t="n"/>
      <c r="C73" s="687" t="n"/>
      <c r="D73" s="687" t="n"/>
      <c r="E73" s="687" t="n"/>
      <c r="F73" s="688" t="n"/>
      <c r="H73" s="201" t="inlineStr">
        <is>
          <t>Environmental Factor</t>
        </is>
      </c>
      <c r="I73" s="208">
        <f>B72</f>
        <v/>
      </c>
    </row>
    <row r="74" ht="6" customFormat="1" customHeight="1" s="160" thickBot="1">
      <c r="H74" s="207" t="n"/>
      <c r="I74" s="207" t="n"/>
      <c r="K74" s="698" t="n"/>
    </row>
    <row r="75" ht="15.75" customHeight="1" s="690" thickBot="1">
      <c r="B75" s="699">
        <f>'Scale Calculation'!C17</f>
        <v/>
      </c>
      <c r="C75" s="700" t="n"/>
      <c r="D75" s="700" t="n"/>
      <c r="E75" s="700" t="n"/>
      <c r="F75" s="701" t="n"/>
      <c r="G75" s="145" t="n"/>
      <c r="M75" s="134" t="n"/>
    </row>
    <row r="76" ht="15.75" customHeight="1" s="690" thickBot="1">
      <c r="B76" s="702">
        <f>$B$12</f>
        <v/>
      </c>
      <c r="C76" s="701" t="n"/>
      <c r="D76" s="174" t="n"/>
      <c r="E76" s="703" t="inlineStr">
        <is>
          <t>Economic Stress</t>
        </is>
      </c>
      <c r="F76" s="704" t="n"/>
    </row>
    <row r="77" ht="14.25" customFormat="1" customHeight="1" s="157">
      <c r="B77" s="155">
        <f>B13</f>
        <v/>
      </c>
      <c r="C77" s="156" t="inlineStr">
        <is>
          <t>Score</t>
        </is>
      </c>
      <c r="D77" s="175" t="n"/>
      <c r="E77" s="155" t="inlineStr">
        <is>
          <t>Actual</t>
        </is>
      </c>
      <c r="F77" s="156" t="inlineStr">
        <is>
          <t>Score</t>
        </is>
      </c>
      <c r="H77" s="205" t="n"/>
      <c r="I77" s="205" t="n"/>
      <c r="K77" s="698"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8" t="n"/>
    </row>
    <row r="79" ht="15.75" customHeight="1" s="690" thickBot="1">
      <c r="B79" s="699">
        <f>"Environmental  Factor-"&amp;B75</f>
        <v/>
      </c>
      <c r="C79" s="700" t="n"/>
      <c r="D79" s="700" t="n"/>
      <c r="E79" s="700" t="n"/>
      <c r="F79" s="701" t="n"/>
      <c r="G79" s="145" t="n"/>
      <c r="M79" s="134" t="n"/>
    </row>
    <row r="80" ht="12.75" customHeight="1" s="690">
      <c r="B80" s="709">
        <f>C78+F78</f>
        <v/>
      </c>
      <c r="C80" s="678" t="n"/>
      <c r="D80" s="678" t="n"/>
      <c r="E80" s="678" t="n"/>
      <c r="F80" s="679" t="n"/>
      <c r="K80" s="160" t="n"/>
    </row>
    <row r="81" ht="13.5" customHeight="1" s="690" thickBot="1">
      <c r="B81" s="710" t="n"/>
      <c r="C81" s="687" t="n"/>
      <c r="D81" s="687" t="n"/>
      <c r="E81" s="687" t="n"/>
      <c r="F81" s="688" t="n"/>
      <c r="H81" s="201" t="inlineStr">
        <is>
          <t>Environmental Factor</t>
        </is>
      </c>
      <c r="I81" s="208">
        <f>B80</f>
        <v/>
      </c>
    </row>
    <row r="82" ht="6" customHeight="1" s="690" thickBot="1"/>
    <row r="83" ht="15.75" customHeight="1" s="690" thickBot="1">
      <c r="B83" s="699">
        <f>'Scale Calculation'!C18</f>
        <v/>
      </c>
      <c r="C83" s="700" t="n"/>
      <c r="D83" s="700" t="n"/>
      <c r="E83" s="700" t="n"/>
      <c r="F83" s="701" t="n"/>
      <c r="G83" s="145" t="n"/>
      <c r="M83" s="134" t="n"/>
    </row>
    <row r="84" ht="15.75" customHeight="1" s="690" thickBot="1">
      <c r="B84" s="702">
        <f>$B$12</f>
        <v/>
      </c>
      <c r="C84" s="701" t="n"/>
      <c r="D84" s="174" t="n"/>
      <c r="E84" s="703" t="inlineStr">
        <is>
          <t>Economic Stress</t>
        </is>
      </c>
      <c r="F84" s="704" t="n"/>
    </row>
    <row r="85" ht="14.25" customFormat="1" customHeight="1" s="157">
      <c r="B85" s="155">
        <f>B13</f>
        <v/>
      </c>
      <c r="C85" s="156" t="inlineStr">
        <is>
          <t>Score</t>
        </is>
      </c>
      <c r="D85" s="175" t="n"/>
      <c r="E85" s="155" t="inlineStr">
        <is>
          <t>Actual</t>
        </is>
      </c>
      <c r="F85" s="156" t="inlineStr">
        <is>
          <t>Score</t>
        </is>
      </c>
      <c r="H85" s="205" t="n"/>
      <c r="I85" s="205" t="n"/>
      <c r="K85" s="698"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8" t="n"/>
    </row>
    <row r="87" ht="15.75" customHeight="1" s="690" thickBot="1">
      <c r="B87" s="699">
        <f>"Environmental  Factor-"&amp;B83</f>
        <v/>
      </c>
      <c r="C87" s="700" t="n"/>
      <c r="D87" s="700" t="n"/>
      <c r="E87" s="700" t="n"/>
      <c r="F87" s="701" t="n"/>
      <c r="G87" s="145" t="n"/>
      <c r="M87" s="134" t="n"/>
    </row>
    <row r="88" ht="12.75" customHeight="1" s="690">
      <c r="B88" s="709">
        <f>C86+F86</f>
        <v/>
      </c>
      <c r="C88" s="678" t="n"/>
      <c r="D88" s="678" t="n"/>
      <c r="E88" s="678" t="n"/>
      <c r="F88" s="679" t="n"/>
      <c r="K88" s="160" t="n"/>
    </row>
    <row r="89" ht="13.5" customHeight="1" s="690" thickBot="1">
      <c r="B89" s="710" t="n"/>
      <c r="C89" s="687" t="n"/>
      <c r="D89" s="687" t="n"/>
      <c r="E89" s="687" t="n"/>
      <c r="F89" s="688" t="n"/>
      <c r="H89" s="201" t="inlineStr">
        <is>
          <t>Environmental Factor</t>
        </is>
      </c>
      <c r="I89" s="208">
        <f>B88</f>
        <v/>
      </c>
    </row>
    <row r="90" ht="6" customHeight="1" s="690" thickBot="1"/>
    <row r="91" ht="15.75" customHeight="1" s="690" thickBot="1">
      <c r="B91" s="699">
        <f>'Scale Calculation'!C19</f>
        <v/>
      </c>
      <c r="C91" s="700" t="n"/>
      <c r="D91" s="700" t="n"/>
      <c r="E91" s="700" t="n"/>
      <c r="F91" s="701" t="n"/>
      <c r="G91" s="145" t="n"/>
      <c r="M91" s="134" t="n"/>
    </row>
    <row r="92" ht="15.75" customHeight="1" s="690" thickBot="1">
      <c r="B92" s="702">
        <f>$B$12</f>
        <v/>
      </c>
      <c r="C92" s="701" t="n"/>
      <c r="D92" s="174" t="n"/>
      <c r="E92" s="703" t="inlineStr">
        <is>
          <t>Economic Stress</t>
        </is>
      </c>
      <c r="F92" s="704" t="n"/>
    </row>
    <row r="93" ht="14.25" customFormat="1" customHeight="1" s="157">
      <c r="B93" s="155">
        <f>B13</f>
        <v/>
      </c>
      <c r="C93" s="156" t="inlineStr">
        <is>
          <t>Score</t>
        </is>
      </c>
      <c r="D93" s="175" t="n"/>
      <c r="E93" s="155" t="inlineStr">
        <is>
          <t>Actual</t>
        </is>
      </c>
      <c r="F93" s="156" t="inlineStr">
        <is>
          <t>Score</t>
        </is>
      </c>
      <c r="H93" s="205" t="n"/>
      <c r="I93" s="205" t="n"/>
      <c r="K93" s="698"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8" t="n"/>
    </row>
    <row r="95" ht="15.75" customHeight="1" s="690" thickBot="1">
      <c r="B95" s="699">
        <f>"Environmental  Factor-"&amp;B91</f>
        <v/>
      </c>
      <c r="C95" s="700" t="n"/>
      <c r="D95" s="700" t="n"/>
      <c r="E95" s="700" t="n"/>
      <c r="F95" s="701" t="n"/>
      <c r="G95" s="145" t="n"/>
      <c r="M95" s="134" t="n"/>
    </row>
    <row r="96" ht="12.75" customHeight="1" s="690">
      <c r="B96" s="709">
        <f>C94+F94</f>
        <v/>
      </c>
      <c r="C96" s="678" t="n"/>
      <c r="D96" s="678" t="n"/>
      <c r="E96" s="678" t="n"/>
      <c r="F96" s="679" t="n"/>
      <c r="K96" s="160" t="n"/>
    </row>
    <row r="97" ht="13.5" customHeight="1" s="690" thickBot="1">
      <c r="B97" s="710" t="n"/>
      <c r="C97" s="687" t="n"/>
      <c r="D97" s="687" t="n"/>
      <c r="E97" s="687" t="n"/>
      <c r="F97" s="688" t="n"/>
      <c r="H97" s="201" t="inlineStr">
        <is>
          <t>Environmental Factor</t>
        </is>
      </c>
      <c r="I97" s="208">
        <f>B96</f>
        <v/>
      </c>
    </row>
    <row r="98" hidden="1" s="690"/>
    <row r="99" ht="6" customHeight="1" s="690" thickBot="1"/>
    <row r="100" hidden="1" ht="15.75" customHeight="1" s="690" thickBot="1">
      <c r="B100" s="699">
        <f>'Scale Calculation'!#REF!</f>
        <v/>
      </c>
      <c r="C100" s="700" t="n"/>
      <c r="D100" s="700" t="n"/>
      <c r="E100" s="700" t="n"/>
      <c r="F100" s="701" t="n"/>
      <c r="G100" s="145" t="n"/>
      <c r="M100" s="134" t="n"/>
    </row>
    <row r="101" hidden="1" ht="15.75" customHeight="1" s="690" thickBot="1">
      <c r="B101" s="702" t="inlineStr">
        <is>
          <t>Delinquency</t>
        </is>
      </c>
      <c r="C101" s="701" t="n"/>
      <c r="D101" s="174" t="n"/>
      <c r="E101" s="703" t="inlineStr">
        <is>
          <t>Economic Stress</t>
        </is>
      </c>
      <c r="F101" s="704"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8"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8" t="n"/>
    </row>
    <row r="104" hidden="1" ht="15.75" customHeight="1" s="690" thickBot="1">
      <c r="B104" s="699">
        <f>"Environmental  Factor-"&amp;B100</f>
        <v/>
      </c>
      <c r="C104" s="700" t="n"/>
      <c r="D104" s="700" t="n"/>
      <c r="E104" s="700" t="n"/>
      <c r="F104" s="701" t="n"/>
      <c r="G104" s="145" t="n"/>
      <c r="M104" s="134" t="n"/>
    </row>
    <row r="105" hidden="1" ht="12.75" customHeight="1" s="690">
      <c r="B105" s="709">
        <f>C103+F103</f>
        <v/>
      </c>
      <c r="C105" s="678" t="n"/>
      <c r="D105" s="678" t="n"/>
      <c r="E105" s="678" t="n"/>
      <c r="F105" s="679" t="n"/>
      <c r="K105" s="160" t="n"/>
    </row>
    <row r="106" hidden="1" ht="13.5" customHeight="1" s="690" thickBot="1">
      <c r="B106" s="710" t="n"/>
      <c r="C106" s="687" t="n"/>
      <c r="D106" s="687" t="n"/>
      <c r="E106" s="687" t="n"/>
      <c r="F106" s="688" t="n"/>
      <c r="H106" s="201" t="inlineStr">
        <is>
          <t>Environmental Factor</t>
        </is>
      </c>
      <c r="I106" s="208">
        <f>B105</f>
        <v/>
      </c>
    </row>
    <row r="107" hidden="1" ht="6" customHeight="1" s="690" thickBot="1"/>
    <row r="108" hidden="1" ht="15.75" customHeight="1" s="690" thickBot="1">
      <c r="B108" s="699">
        <f>'Scale Calculation'!#REF!</f>
        <v/>
      </c>
      <c r="C108" s="700" t="n"/>
      <c r="D108" s="700" t="n"/>
      <c r="E108" s="700" t="n"/>
      <c r="F108" s="701" t="n"/>
      <c r="G108" s="145" t="n"/>
      <c r="M108" s="134" t="n"/>
    </row>
    <row r="109" hidden="1" ht="15.75" customHeight="1" s="690" thickBot="1">
      <c r="B109" s="702" t="inlineStr">
        <is>
          <t>Delinquency</t>
        </is>
      </c>
      <c r="C109" s="701" t="n"/>
      <c r="D109" s="174" t="n"/>
      <c r="E109" s="703" t="inlineStr">
        <is>
          <t>Economic Stress</t>
        </is>
      </c>
      <c r="F109" s="704"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8"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8" t="n"/>
    </row>
    <row r="112" hidden="1" ht="15.75" customHeight="1" s="690" thickBot="1">
      <c r="B112" s="699">
        <f>"Environmental  Factor-"&amp;B108</f>
        <v/>
      </c>
      <c r="C112" s="700" t="n"/>
      <c r="D112" s="700" t="n"/>
      <c r="E112" s="700" t="n"/>
      <c r="F112" s="701" t="n"/>
      <c r="G112" s="145" t="n"/>
      <c r="M112" s="134" t="n"/>
    </row>
    <row r="113" hidden="1" ht="12.75" customHeight="1" s="690">
      <c r="B113" s="709">
        <f>C111+F111</f>
        <v/>
      </c>
      <c r="C113" s="678" t="n"/>
      <c r="D113" s="678" t="n"/>
      <c r="E113" s="678" t="n"/>
      <c r="F113" s="679" t="n"/>
      <c r="K113" s="160" t="n"/>
    </row>
    <row r="114" hidden="1" ht="13.5" customHeight="1" s="690" thickBot="1">
      <c r="B114" s="710" t="n"/>
      <c r="C114" s="687" t="n"/>
      <c r="D114" s="687" t="n"/>
      <c r="E114" s="687" t="n"/>
      <c r="F114" s="688" t="n"/>
      <c r="H114" s="201" t="inlineStr">
        <is>
          <t>Environmental Factor</t>
        </is>
      </c>
      <c r="I114" s="208">
        <f>B113</f>
        <v/>
      </c>
    </row>
    <row r="115" hidden="1" ht="6" customHeight="1" s="690" thickBot="1"/>
    <row r="116" hidden="1" ht="15.75" customHeight="1" s="690" thickBot="1">
      <c r="B116" s="699">
        <f>'Scale Calculation'!#REF!</f>
        <v/>
      </c>
      <c r="C116" s="700" t="n"/>
      <c r="D116" s="700" t="n"/>
      <c r="E116" s="700" t="n"/>
      <c r="F116" s="701" t="n"/>
      <c r="G116" s="145" t="n"/>
      <c r="M116" s="134" t="n"/>
    </row>
    <row r="117" hidden="1" ht="15.75" customHeight="1" s="690" thickBot="1">
      <c r="B117" s="702" t="inlineStr">
        <is>
          <t>Delinquency</t>
        </is>
      </c>
      <c r="C117" s="701" t="n"/>
      <c r="D117" s="174" t="n"/>
      <c r="E117" s="703" t="inlineStr">
        <is>
          <t>Economic Stress</t>
        </is>
      </c>
      <c r="F117" s="704"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8"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8" t="n"/>
    </row>
    <row r="120" hidden="1" ht="15.75" customHeight="1" s="690" thickBot="1">
      <c r="B120" s="699">
        <f>"Environmental  Factor-"&amp;B116</f>
        <v/>
      </c>
      <c r="C120" s="700" t="n"/>
      <c r="D120" s="700" t="n"/>
      <c r="E120" s="700" t="n"/>
      <c r="F120" s="701" t="n"/>
      <c r="G120" s="145" t="n"/>
      <c r="M120" s="134" t="n"/>
    </row>
    <row r="121" hidden="1" ht="12.75" customHeight="1" s="690">
      <c r="B121" s="709">
        <f>C119+F119</f>
        <v/>
      </c>
      <c r="C121" s="678" t="n"/>
      <c r="D121" s="678" t="n"/>
      <c r="E121" s="678" t="n"/>
      <c r="F121" s="679" t="n"/>
      <c r="K121" s="160" t="n"/>
    </row>
    <row r="122" hidden="1" ht="13.5" customHeight="1" s="690" thickBot="1">
      <c r="B122" s="710" t="n"/>
      <c r="C122" s="687" t="n"/>
      <c r="D122" s="687" t="n"/>
      <c r="E122" s="687" t="n"/>
      <c r="F122" s="688" t="n"/>
      <c r="H122" s="201" t="inlineStr">
        <is>
          <t>Environmental Factor</t>
        </is>
      </c>
      <c r="I122" s="208">
        <f>B121</f>
        <v/>
      </c>
    </row>
    <row r="123" hidden="1" ht="6" customHeight="1" s="690" thickBot="1"/>
    <row r="124" hidden="1" ht="15.75" customHeight="1" s="690" thickBot="1">
      <c r="B124" s="699">
        <f>'Scale Calculation'!#REF!</f>
        <v/>
      </c>
      <c r="C124" s="700" t="n"/>
      <c r="D124" s="700" t="n"/>
      <c r="E124" s="700" t="n"/>
      <c r="F124" s="701" t="n"/>
      <c r="G124" s="145" t="n"/>
      <c r="M124" s="134" t="n"/>
    </row>
    <row r="125" hidden="1" ht="15.75" customHeight="1" s="690" thickBot="1">
      <c r="B125" s="702" t="inlineStr">
        <is>
          <t>Delinquency</t>
        </is>
      </c>
      <c r="C125" s="701" t="n"/>
      <c r="D125" s="174" t="n"/>
      <c r="E125" s="703" t="inlineStr">
        <is>
          <t>Economic Stress</t>
        </is>
      </c>
      <c r="F125" s="704"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8"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8" t="n"/>
    </row>
    <row r="128" hidden="1" ht="15.75" customHeight="1" s="690" thickBot="1">
      <c r="B128" s="699">
        <f>"Environmental  Factor-"&amp;B124</f>
        <v/>
      </c>
      <c r="C128" s="700" t="n"/>
      <c r="D128" s="700" t="n"/>
      <c r="E128" s="700" t="n"/>
      <c r="F128" s="701" t="n"/>
      <c r="G128" s="145" t="n"/>
      <c r="M128" s="134" t="n"/>
    </row>
    <row r="129" hidden="1" ht="12.75" customHeight="1" s="690">
      <c r="B129" s="709">
        <f>C127+F127</f>
        <v/>
      </c>
      <c r="C129" s="678" t="n"/>
      <c r="D129" s="678" t="n"/>
      <c r="E129" s="678" t="n"/>
      <c r="F129" s="679" t="n"/>
      <c r="K129" s="160" t="n"/>
    </row>
    <row r="130" hidden="1" ht="13.5" customHeight="1" s="690" thickBot="1">
      <c r="B130" s="710" t="n"/>
      <c r="C130" s="687" t="n"/>
      <c r="D130" s="687" t="n"/>
      <c r="E130" s="687" t="n"/>
      <c r="F130" s="688" t="n"/>
      <c r="H130" s="201" t="inlineStr">
        <is>
          <t>Environmental Factor</t>
        </is>
      </c>
      <c r="I130" s="208">
        <f>B129</f>
        <v/>
      </c>
    </row>
    <row r="131" hidden="1" ht="6" customHeight="1" s="690" thickBot="1"/>
    <row r="132" hidden="1" ht="15.75" customHeight="1" s="690" thickBot="1">
      <c r="B132" s="699">
        <f>'Scale Calculation'!#REF!</f>
        <v/>
      </c>
      <c r="C132" s="700" t="n"/>
      <c r="D132" s="700" t="n"/>
      <c r="E132" s="700" t="n"/>
      <c r="F132" s="701" t="n"/>
      <c r="G132" s="145" t="n"/>
      <c r="M132" s="134" t="n"/>
    </row>
    <row r="133" hidden="1" ht="15.75" customHeight="1" s="690" thickBot="1">
      <c r="B133" s="702" t="inlineStr">
        <is>
          <t>Delinquency</t>
        </is>
      </c>
      <c r="C133" s="701" t="n"/>
      <c r="D133" s="174" t="n"/>
      <c r="E133" s="703" t="inlineStr">
        <is>
          <t>Economic Stress</t>
        </is>
      </c>
      <c r="F133" s="704"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8"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8" t="n"/>
    </row>
    <row r="136" hidden="1" ht="15.75" customHeight="1" s="690" thickBot="1">
      <c r="B136" s="699">
        <f>"Environmental  Factor-"&amp;B132</f>
        <v/>
      </c>
      <c r="C136" s="700" t="n"/>
      <c r="D136" s="700" t="n"/>
      <c r="E136" s="700" t="n"/>
      <c r="F136" s="701" t="n"/>
      <c r="G136" s="145" t="n"/>
      <c r="M136" s="134" t="n"/>
    </row>
    <row r="137" hidden="1" ht="12.75" customHeight="1" s="690">
      <c r="B137" s="709">
        <f>C135+F135</f>
        <v/>
      </c>
      <c r="C137" s="678" t="n"/>
      <c r="D137" s="678" t="n"/>
      <c r="E137" s="678" t="n"/>
      <c r="F137" s="679" t="n"/>
      <c r="K137" s="160" t="n"/>
    </row>
    <row r="138" hidden="1" ht="13.5" customHeight="1" s="690" thickBot="1">
      <c r="B138" s="710" t="n"/>
      <c r="C138" s="687" t="n"/>
      <c r="D138" s="687" t="n"/>
      <c r="E138" s="687" t="n"/>
      <c r="F138" s="688" t="n"/>
      <c r="H138" s="201" t="inlineStr">
        <is>
          <t>Environmental Factor</t>
        </is>
      </c>
      <c r="I138" s="208">
        <f>B137</f>
        <v/>
      </c>
    </row>
    <row r="139" ht="15.75" customHeight="1" s="690" thickBot="1">
      <c r="B139" s="699">
        <f>'Scale Calculation'!C20</f>
        <v/>
      </c>
      <c r="C139" s="700" t="n"/>
      <c r="D139" s="700" t="n"/>
      <c r="E139" s="700" t="n"/>
      <c r="F139" s="701" t="n"/>
      <c r="G139" s="145" t="n"/>
      <c r="M139" s="134" t="n"/>
    </row>
    <row r="140" ht="15.75" customHeight="1" s="690" thickBot="1">
      <c r="B140" s="702">
        <f>$B$12</f>
        <v/>
      </c>
      <c r="C140" s="701" t="n"/>
      <c r="D140" s="174" t="n"/>
      <c r="E140" s="703" t="inlineStr">
        <is>
          <t>Economic Stress</t>
        </is>
      </c>
      <c r="F140" s="704" t="n"/>
    </row>
    <row r="141" ht="14.25" customFormat="1" customHeight="1" s="157">
      <c r="B141" s="155">
        <f>B125</f>
        <v/>
      </c>
      <c r="C141" s="156" t="inlineStr">
        <is>
          <t>Score</t>
        </is>
      </c>
      <c r="D141" s="175" t="n"/>
      <c r="E141" s="155" t="inlineStr">
        <is>
          <t>Actual</t>
        </is>
      </c>
      <c r="F141" s="156" t="inlineStr">
        <is>
          <t>Score</t>
        </is>
      </c>
      <c r="H141" s="205" t="n"/>
      <c r="I141" s="205" t="n"/>
      <c r="K141" s="698"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8" t="n"/>
    </row>
    <row r="143" ht="15.75" customHeight="1" s="690" thickBot="1">
      <c r="B143" s="699">
        <f>"Environmental  Factor-"&amp;B139</f>
        <v/>
      </c>
      <c r="C143" s="700" t="n"/>
      <c r="D143" s="700" t="n"/>
      <c r="E143" s="700" t="n"/>
      <c r="F143" s="701" t="n"/>
      <c r="G143" s="145" t="n"/>
      <c r="M143" s="134" t="n"/>
    </row>
    <row r="144" ht="12.75" customHeight="1" s="690">
      <c r="B144" s="709">
        <f>C142+F142</f>
        <v/>
      </c>
      <c r="C144" s="678" t="n"/>
      <c r="D144" s="678" t="n"/>
      <c r="E144" s="678" t="n"/>
      <c r="F144" s="679" t="n"/>
      <c r="K144" s="160" t="n"/>
    </row>
    <row r="145" ht="13.5" customHeight="1" s="690" thickBot="1">
      <c r="B145" s="710" t="n"/>
      <c r="C145" s="687" t="n"/>
      <c r="D145" s="687" t="n"/>
      <c r="E145" s="687" t="n"/>
      <c r="F145" s="688" t="n"/>
      <c r="H145" s="201" t="inlineStr">
        <is>
          <t>Environmental Factor</t>
        </is>
      </c>
      <c r="I145" s="208">
        <f>B144</f>
        <v/>
      </c>
    </row>
    <row r="146" ht="6" customFormat="1" customHeight="1" s="160" thickBot="1">
      <c r="H146" s="207" t="n"/>
      <c r="I146" s="207" t="n"/>
      <c r="K146" s="698" t="n"/>
    </row>
    <row r="147" ht="15.75" customHeight="1" s="690" thickBot="1">
      <c r="B147" s="699">
        <f>'Scale Calculation'!C21</f>
        <v/>
      </c>
      <c r="C147" s="700" t="n"/>
      <c r="D147" s="700" t="n"/>
      <c r="E147" s="700" t="n"/>
      <c r="F147" s="701" t="n"/>
      <c r="G147" s="145" t="n"/>
      <c r="M147" s="134" t="n"/>
    </row>
    <row r="148" ht="15.75" customHeight="1" s="690" thickBot="1">
      <c r="B148" s="702">
        <f>$B$12</f>
        <v/>
      </c>
      <c r="C148" s="701" t="n"/>
      <c r="D148" s="174" t="n"/>
      <c r="E148" s="703" t="inlineStr">
        <is>
          <t>Economic Stress</t>
        </is>
      </c>
      <c r="F148" s="704" t="n"/>
    </row>
    <row r="149" ht="14.25" customFormat="1" customHeight="1" s="157">
      <c r="B149" s="155">
        <f>B133</f>
        <v/>
      </c>
      <c r="C149" s="156" t="inlineStr">
        <is>
          <t>Score</t>
        </is>
      </c>
      <c r="D149" s="175" t="n"/>
      <c r="E149" s="155" t="inlineStr">
        <is>
          <t>Actual</t>
        </is>
      </c>
      <c r="F149" s="156" t="inlineStr">
        <is>
          <t>Score</t>
        </is>
      </c>
      <c r="H149" s="205" t="n"/>
      <c r="I149" s="205" t="n"/>
      <c r="K149" s="698"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8" t="n"/>
    </row>
    <row r="151" ht="15.75" customHeight="1" s="690" thickBot="1">
      <c r="B151" s="699">
        <f>"Environmental  Factor-"&amp;B147</f>
        <v/>
      </c>
      <c r="C151" s="700" t="n"/>
      <c r="D151" s="700" t="n"/>
      <c r="E151" s="700" t="n"/>
      <c r="F151" s="701" t="n"/>
      <c r="G151" s="145" t="n"/>
      <c r="M151" s="134" t="n"/>
    </row>
    <row r="152" ht="12.75" customHeight="1" s="690">
      <c r="B152" s="709">
        <f>C150+F150</f>
        <v/>
      </c>
      <c r="C152" s="678" t="n"/>
      <c r="D152" s="678" t="n"/>
      <c r="E152" s="678" t="n"/>
      <c r="F152" s="679" t="n"/>
      <c r="K152" s="160" t="n"/>
    </row>
    <row r="153" ht="13.5" customHeight="1" s="690" thickBot="1">
      <c r="B153" s="710" t="n"/>
      <c r="C153" s="687" t="n"/>
      <c r="D153" s="687" t="n"/>
      <c r="E153" s="687" t="n"/>
      <c r="F153" s="688" t="n"/>
      <c r="H153" s="201" t="inlineStr">
        <is>
          <t>Environmental Factor</t>
        </is>
      </c>
      <c r="I153" s="208">
        <f>B152</f>
        <v/>
      </c>
    </row>
    <row r="154" ht="6" customFormat="1" customHeight="1" s="160">
      <c r="H154" s="207" t="n"/>
      <c r="I154" s="207" t="n"/>
      <c r="K154" s="698" t="n"/>
    </row>
    <row r="155" ht="6" customHeight="1" s="690"/>
    <row r="156" ht="6" customHeight="1" s="690" thickBot="1"/>
    <row r="157" ht="15.75" customHeight="1" s="690">
      <c r="B157" s="210" t="inlineStr">
        <is>
          <t>Delinquency</t>
        </is>
      </c>
      <c r="C157" s="211" t="n"/>
      <c r="D157" s="211" t="n"/>
      <c r="E157" s="211" t="n"/>
      <c r="F157" s="212" t="n"/>
    </row>
    <row r="158" ht="12" customHeight="1" s="690">
      <c r="B158" s="708" t="inlineStr">
        <is>
          <t>Reported Delinquency percentage for the Credit Union during the same period.  Higher delinquent percentages are predictive of increasing losses.</t>
        </is>
      </c>
      <c r="F158" s="669" t="n"/>
    </row>
    <row r="159" ht="12" customHeight="1" s="690">
      <c r="B159" s="161" t="n"/>
      <c r="F159" s="140" t="n"/>
    </row>
    <row r="160">
      <c r="B160" s="162" t="inlineStr">
        <is>
          <t xml:space="preserve">Economic Stress Score: </t>
        </is>
      </c>
      <c r="F160" s="140" t="n"/>
    </row>
    <row r="161" ht="39.75" customHeight="1" s="690">
      <c r="B161" s="70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9" t="n"/>
    </row>
    <row r="162" ht="13.5" customHeight="1" s="690" thickBot="1">
      <c r="B162" s="152" t="n"/>
      <c r="C162" s="153" t="n"/>
      <c r="D162" s="153" t="n"/>
      <c r="E162" s="153" t="n"/>
      <c r="F162" s="150" t="n"/>
    </row>
    <row r="163">
      <c r="B163" s="698"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E84:F84"/>
    <mergeCell ref="B1:F1"/>
    <mergeCell ref="B32:F33"/>
    <mergeCell ref="B148:C148"/>
    <mergeCell ref="B44:C44"/>
    <mergeCell ref="B87:F87"/>
    <mergeCell ref="E133:F133"/>
    <mergeCell ref="B147:F147"/>
    <mergeCell ref="B16:F17"/>
    <mergeCell ref="B56:F57"/>
    <mergeCell ref="B28:C28"/>
    <mergeCell ref="B128:F128"/>
    <mergeCell ref="B144:F145"/>
    <mergeCell ref="B92:C92"/>
    <mergeCell ref="B121:F122"/>
    <mergeCell ref="B139:F139"/>
    <mergeCell ref="E125:F125"/>
    <mergeCell ref="B133:C133"/>
    <mergeCell ref="B76:C76"/>
    <mergeCell ref="B20:C20"/>
    <mergeCell ref="B63:F63"/>
    <mergeCell ref="B105:F106"/>
    <mergeCell ref="B109:C109"/>
    <mergeCell ref="B91:F91"/>
    <mergeCell ref="B100:F100"/>
    <mergeCell ref="E140:F140"/>
    <mergeCell ref="B151:F151"/>
    <mergeCell ref="E28:F28"/>
    <mergeCell ref="B67:F67"/>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8" min="1" max="2"/>
    <col width="27.28515625" customWidth="1" style="698" min="3" max="6"/>
    <col width="3.140625" customWidth="1" style="698" min="7" max="7"/>
    <col width="2.7109375" customWidth="1" style="698" min="8" max="8"/>
    <col width="12.7109375" customWidth="1" style="698" min="9" max="9"/>
    <col width="11.85546875" customWidth="1" style="201" min="10" max="10"/>
    <col width="9.140625" customWidth="1" style="201" min="11" max="11"/>
    <col width="16" customWidth="1" style="201" min="12" max="12"/>
    <col width="9.140625" customWidth="1" style="201" min="13" max="13"/>
    <col width="9.140625" customWidth="1" style="698" min="14" max="14"/>
    <col width="18" bestFit="1" customWidth="1" style="698" min="15" max="15"/>
    <col width="12.5703125" customWidth="1" style="698" min="16" max="16"/>
    <col width="14.85546875" bestFit="1" customWidth="1" style="698" min="17" max="17"/>
    <col width="11.42578125" customWidth="1" style="698" min="18" max="18"/>
    <col width="17.5703125" bestFit="1" customWidth="1" style="698" min="19" max="19"/>
    <col width="12.140625" customWidth="1" style="698" min="20" max="20"/>
    <col width="6.7109375" customWidth="1" style="698" min="21" max="21"/>
    <col width="10.140625" customWidth="1" style="698" min="22" max="22"/>
    <col width="7.5703125" customWidth="1" style="698" min="23" max="23"/>
    <col width="10.140625" customWidth="1" style="698" min="24" max="24"/>
    <col width="7.5703125" customWidth="1" style="698" min="25" max="25"/>
    <col width="10.140625" customWidth="1" style="698" min="26" max="26"/>
    <col width="7.5703125" customWidth="1" style="698" min="27" max="27"/>
    <col width="9.140625" customWidth="1" style="698" min="28" max="34"/>
    <col width="9.140625" customWidth="1" style="698" min="35" max="16384"/>
  </cols>
  <sheetData>
    <row r="1" ht="13.5" customHeight="1" s="690" thickBot="1">
      <c r="A1" s="347" t="n"/>
      <c r="B1" s="348" t="n"/>
      <c r="C1" s="348" t="n"/>
      <c r="D1" s="348" t="n"/>
      <c r="E1" s="348" t="n"/>
      <c r="F1" s="348" t="n"/>
      <c r="G1" s="348" t="n"/>
      <c r="H1" s="349" t="n"/>
    </row>
    <row r="2" ht="18" customHeight="1" s="690">
      <c r="A2" s="345" t="n"/>
      <c r="B2" s="784">
        <f>'Historical Data'!B2</f>
        <v/>
      </c>
      <c r="C2" s="678" t="n"/>
      <c r="D2" s="678" t="n"/>
      <c r="E2" s="678" t="n"/>
      <c r="F2" s="678" t="n"/>
      <c r="G2" s="679" t="n"/>
      <c r="H2" s="785" t="n"/>
      <c r="I2" s="786" t="n"/>
      <c r="J2" s="787" t="n"/>
      <c r="K2" s="787" t="n"/>
      <c r="L2" s="787" t="n"/>
      <c r="M2" s="787" t="n"/>
      <c r="N2" s="786" t="n"/>
      <c r="O2" s="786" t="n"/>
      <c r="P2" s="786" t="n"/>
      <c r="Q2" s="786" t="n"/>
      <c r="R2" s="786" t="n"/>
      <c r="S2" s="786" t="n"/>
      <c r="T2" s="786" t="n"/>
    </row>
    <row r="3" ht="15.75" customHeight="1" s="690">
      <c r="A3" s="345" t="n"/>
      <c r="B3" s="788" t="inlineStr">
        <is>
          <t>Environmental Factor Ranges</t>
        </is>
      </c>
      <c r="G3" s="669" t="n"/>
      <c r="H3" s="789" t="n"/>
      <c r="I3" s="790" t="n"/>
      <c r="J3" s="791" t="n"/>
      <c r="K3" s="791" t="n"/>
      <c r="L3" s="791" t="n"/>
      <c r="M3" s="791" t="n"/>
      <c r="N3" s="790" t="n"/>
      <c r="O3" s="790" t="n"/>
      <c r="P3" s="790" t="n"/>
      <c r="Q3" s="790" t="n"/>
      <c r="R3" s="790" t="n"/>
      <c r="S3" s="790" t="n"/>
      <c r="T3" s="790" t="n"/>
    </row>
    <row r="4" ht="15" customHeight="1" s="690" thickBot="1">
      <c r="A4" s="345" t="n"/>
      <c r="B4" s="792">
        <f>"For Period Ending "&amp;TEXT('Historical Data'!AZ8,"mm/dd/yyyy")</f>
        <v/>
      </c>
      <c r="C4" s="687" t="n"/>
      <c r="D4" s="687" t="n"/>
      <c r="E4" s="687" t="n"/>
      <c r="F4" s="687" t="n"/>
      <c r="G4" s="688" t="n"/>
      <c r="H4" s="793" t="n"/>
      <c r="I4" s="794" t="n"/>
      <c r="J4" s="795" t="n"/>
      <c r="K4" s="795" t="n"/>
      <c r="L4" s="795" t="n"/>
      <c r="M4" s="795" t="n"/>
      <c r="N4" s="794" t="n"/>
      <c r="O4" s="794" t="n"/>
      <c r="P4" s="794" t="n"/>
      <c r="Q4" s="794" t="n"/>
      <c r="R4" s="794" t="n"/>
      <c r="S4" s="794" t="n"/>
      <c r="T4" s="794" t="n"/>
    </row>
    <row r="5" ht="16.5" customHeight="1" s="690"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90">
      <c r="A6" s="345" t="n"/>
      <c r="B6" s="720" t="inlineStr">
        <is>
          <t>Environmental Factor Scale Table</t>
        </is>
      </c>
      <c r="C6" s="678" t="n"/>
      <c r="D6" s="678" t="n"/>
      <c r="E6" s="678" t="n"/>
      <c r="F6" s="678" t="n"/>
      <c r="G6" s="679"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90" thickBot="1">
      <c r="A7" s="345" t="n"/>
      <c r="B7" s="697" t="inlineStr">
        <is>
          <t>Delinquency</t>
        </is>
      </c>
      <c r="D7" s="669" t="n"/>
      <c r="E7" s="719" t="inlineStr">
        <is>
          <t>Economic Stress Score</t>
        </is>
      </c>
      <c r="G7" s="669" t="n"/>
      <c r="H7" s="353" t="n"/>
      <c r="J7" s="364" t="inlineStr">
        <is>
          <t>Delinquency</t>
        </is>
      </c>
      <c r="L7" s="201" t="inlineStr">
        <is>
          <t>Economic stress</t>
        </is>
      </c>
      <c r="M7" s="221" t="n"/>
      <c r="N7" s="161" t="n"/>
      <c r="O7" s="463" t="n"/>
    </row>
    <row r="8" ht="16.5" customHeight="1" s="690"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90"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90"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90"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90"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90"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90"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90"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90"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90"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90"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90"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90"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90"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90"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90"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90"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90"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90" thickBot="1" thickTop="1">
      <c r="A26" s="345" t="n"/>
      <c r="B26" s="152" t="n"/>
      <c r="C26" s="435" t="n"/>
      <c r="D26" s="172" t="n"/>
      <c r="E26" s="173" t="n"/>
      <c r="F26" s="437" t="n"/>
      <c r="G26" s="172" t="n"/>
      <c r="H26" s="353" t="n"/>
      <c r="J26" s="222" t="n"/>
      <c r="K26" s="222" t="n"/>
      <c r="L26" s="222" t="n"/>
      <c r="M26" s="222" t="n"/>
    </row>
    <row r="27" ht="13.5" customHeight="1" s="690"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90">
      <c r="A29" s="345" t="n"/>
      <c r="B29" s="161" t="n"/>
      <c r="C29" s="716" t="inlineStr">
        <is>
          <t xml:space="preserve">Discussion of Environmental Factor </t>
        </is>
      </c>
      <c r="D29" s="693" t="n"/>
      <c r="E29" s="693" t="n"/>
      <c r="F29" s="693" t="n"/>
      <c r="G29" s="140" t="n"/>
      <c r="H29" s="353" t="n"/>
    </row>
    <row r="30">
      <c r="A30" s="345" t="n"/>
      <c r="B30" s="161" t="n"/>
      <c r="G30" s="140" t="n"/>
      <c r="H30" s="353" t="n"/>
    </row>
    <row r="31" ht="50.25" customHeight="1" s="690">
      <c r="A31" s="345" t="n"/>
      <c r="B31" s="161" t="n"/>
      <c r="C31" s="71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90">
      <c r="A33" s="345" t="n"/>
      <c r="B33" s="161" t="n"/>
      <c r="C33" s="71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90">
      <c r="A35" s="345" t="n"/>
      <c r="B35" s="161" t="n"/>
      <c r="C35" s="71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18" t="inlineStr">
        <is>
          <t>Delinquency:</t>
        </is>
      </c>
      <c r="G37" s="140" t="n"/>
      <c r="H37" s="353" t="n"/>
    </row>
    <row r="38">
      <c r="A38" s="345" t="n"/>
      <c r="B38" s="161" t="n"/>
      <c r="G38" s="140" t="n"/>
      <c r="H38" s="353" t="n"/>
    </row>
    <row r="39" ht="51.75" customHeight="1" s="690">
      <c r="A39" s="345" t="n"/>
      <c r="B39" s="161" t="n"/>
      <c r="C39" s="71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18" t="inlineStr">
        <is>
          <t xml:space="preserve">Economic Stress Score: </t>
        </is>
      </c>
      <c r="G41" s="140" t="n"/>
      <c r="H41" s="353" t="n"/>
    </row>
    <row r="42">
      <c r="A42" s="345" t="n"/>
      <c r="B42" s="161" t="n"/>
      <c r="G42" s="140" t="n"/>
      <c r="H42" s="353" t="n"/>
    </row>
    <row r="43" ht="39.75" customHeight="1" s="690">
      <c r="A43" s="345" t="n"/>
      <c r="B43" s="161" t="n"/>
      <c r="C43" s="71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90" thickBot="1">
      <c r="A44" s="345" t="n"/>
      <c r="B44" s="152" t="n"/>
      <c r="C44" s="153" t="n"/>
      <c r="D44" s="153" t="n"/>
      <c r="E44" s="153" t="n"/>
      <c r="F44" s="153" t="n"/>
      <c r="G44" s="150" t="n"/>
      <c r="H44" s="353" t="n"/>
    </row>
    <row r="45" ht="13.5" customHeight="1" s="690"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90" thickBot="1">
      <c r="A49" s="345" t="n"/>
      <c r="B49" s="152">
        <f>Cover!B35</f>
        <v/>
      </c>
      <c r="C49" s="153" t="n"/>
      <c r="D49" s="153" t="n"/>
      <c r="E49" s="153" t="n"/>
      <c r="F49" s="153" t="n"/>
      <c r="G49" s="346" t="inlineStr">
        <is>
          <t>Confidential</t>
        </is>
      </c>
      <c r="H49" s="353" t="n"/>
    </row>
    <row r="50" ht="13.5" customHeight="1" s="690"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23" min="1" max="1"/>
    <col width="21.42578125" bestFit="1" customWidth="1" style="722" min="2" max="2"/>
    <col width="15" bestFit="1" customWidth="1" style="723" min="3" max="3"/>
    <col width="80.7109375" bestFit="1" customWidth="1" style="723" min="4" max="4"/>
    <col width="28.140625" bestFit="1" customWidth="1" style="723" min="5" max="5"/>
    <col width="14.140625" customWidth="1" style="723" min="6" max="6"/>
    <col width="18.85546875" customWidth="1" style="796" min="7" max="7"/>
    <col width="20.5703125" customWidth="1" style="796" min="8" max="8"/>
    <col width="21.42578125" customWidth="1" style="796" min="9" max="9"/>
    <col width="34.42578125" customWidth="1" style="796" min="10" max="10"/>
    <col width="16.85546875" bestFit="1" customWidth="1" style="723" min="11" max="11"/>
    <col width="14.28515625" bestFit="1" customWidth="1" style="797" min="12" max="12"/>
    <col width="11" bestFit="1" customWidth="1" style="726" min="13" max="13"/>
    <col width="23.140625" bestFit="1" customWidth="1" style="723" min="14" max="14"/>
    <col width="16.5703125" customWidth="1" style="723" min="15" max="15"/>
    <col width="23.140625" customWidth="1" style="723" min="16" max="16"/>
    <col width="32.28515625" bestFit="1" customWidth="1" style="797" min="17" max="17"/>
    <col width="9.140625" customWidth="1" style="723" min="18" max="24"/>
    <col width="9.140625" customWidth="1" style="723" min="25" max="16384"/>
  </cols>
  <sheetData>
    <row r="1" ht="23.25" customHeight="1" s="690">
      <c r="A1" s="727">
        <f>'Historical Data'!B2</f>
        <v/>
      </c>
    </row>
    <row r="2" ht="16.5" customHeight="1" s="690" thickBot="1">
      <c r="A2" s="721" t="inlineStr">
        <is>
          <t>Impaired Loans  Loans Report</t>
        </is>
      </c>
    </row>
    <row r="3" ht="16.5" customHeight="1" s="690" thickBot="1" thickTop="1">
      <c r="A3" s="723" t="inlineStr">
        <is>
          <t xml:space="preserve">Report for Period Ending </t>
        </is>
      </c>
      <c r="B3" s="431">
        <f>'Historical Data'!AZ8</f>
        <v/>
      </c>
    </row>
    <row r="4" ht="14.25" customHeight="1" s="690" thickBot="1" thickTop="1">
      <c r="A4" s="105" t="inlineStr">
        <is>
          <t>Impairment Type</t>
        </is>
      </c>
      <c r="B4" s="369" t="inlineStr">
        <is>
          <t xml:space="preserve">Provision Percentage </t>
        </is>
      </c>
      <c r="G4" s="723" t="n"/>
      <c r="H4" s="723" t="n"/>
      <c r="I4" s="723" t="n"/>
      <c r="J4" s="723" t="n"/>
      <c r="L4" s="798">
        <f>A4</f>
        <v/>
      </c>
      <c r="M4" s="107" t="n"/>
      <c r="N4" s="224">
        <f>"Sum of "&amp;N27</f>
        <v/>
      </c>
      <c r="O4" s="799" t="n"/>
      <c r="P4" s="799">
        <f>"Sum of "&amp;P27</f>
        <v/>
      </c>
      <c r="Q4" s="800">
        <f>"Sum of "&amp;Q27</f>
        <v/>
      </c>
    </row>
    <row r="5" ht="14.25" customHeight="1" s="690" thickBot="1" thickTop="1">
      <c r="A5" s="365" t="inlineStr">
        <is>
          <t>Delinquent Loans</t>
        </is>
      </c>
      <c r="B5" s="366" t="n">
        <v>0.25</v>
      </c>
      <c r="G5" s="723" t="n"/>
      <c r="H5" s="723" t="n"/>
      <c r="I5" s="723" t="n"/>
      <c r="J5" s="723" t="n"/>
      <c r="L5" s="801">
        <f>IF(A5=0,"",A5)</f>
        <v/>
      </c>
      <c r="M5" s="109" t="n"/>
      <c r="N5" s="802">
        <f>IF(A5=0,"",SUMIF($A$28:$A$412,L5,$N$28:$N$412))</f>
        <v/>
      </c>
      <c r="O5" s="111" t="n"/>
      <c r="P5" s="802">
        <f>IF(A5=0,"",SUMIF($A$28:$A$412,L5,$P$28:$P$412))</f>
        <v/>
      </c>
      <c r="Q5" s="803">
        <f>IF(A5=0,"",SUMIF($A$28:$A$412,L5,$Q$28:$Q$412))</f>
        <v/>
      </c>
    </row>
    <row r="6" ht="14.25" customHeight="1" s="690" thickBot="1" thickTop="1">
      <c r="A6" s="365" t="inlineStr">
        <is>
          <t>Known Losses</t>
        </is>
      </c>
      <c r="B6" s="366" t="n">
        <v>1</v>
      </c>
      <c r="G6" s="723" t="n"/>
      <c r="H6" s="723" t="n"/>
      <c r="I6" s="723" t="n"/>
      <c r="J6" s="723" t="n"/>
      <c r="L6" s="801">
        <f>IF(A6=0,"",A6)</f>
        <v/>
      </c>
      <c r="M6" s="109" t="n"/>
      <c r="N6" s="802">
        <f>IF(A6=0,"",SUMIF($A$28:$A$412,L6,$N$28:$N$412))</f>
        <v/>
      </c>
      <c r="O6" s="111" t="n"/>
      <c r="P6" s="802">
        <f>IF(A6=0,"",SUMIF($A$28:$A$412,L6,$P$28:$P$412))</f>
        <v/>
      </c>
      <c r="Q6" s="803">
        <f>IF(A6=0,"",SUMIF($A$28:$A$412,L6,$Q$28:$Q$412))</f>
        <v/>
      </c>
    </row>
    <row r="7" ht="16.5" customHeight="1" s="690" thickBot="1" thickTop="1">
      <c r="A7" s="365" t="inlineStr">
        <is>
          <t>Repossessions</t>
        </is>
      </c>
      <c r="B7" s="366" t="n">
        <v>1</v>
      </c>
      <c r="H7" s="723" t="n"/>
      <c r="I7" s="723" t="n"/>
      <c r="J7" s="723" t="n"/>
      <c r="L7" s="801">
        <f>IF(A7=0,"",A7)</f>
        <v/>
      </c>
      <c r="M7" s="109" t="n"/>
      <c r="N7" s="802">
        <f>IF(A7=0,"",SUMIF($A$28:$A$412,L7,$N$28:$N$412))</f>
        <v/>
      </c>
      <c r="O7" s="111" t="n"/>
      <c r="P7" s="802">
        <f>IF(A7=0,"",SUMIF($A$28:$A$412,L7,$P$28:$P$412))</f>
        <v/>
      </c>
      <c r="Q7" s="803">
        <f>IF(A7=0,"",SUMIF($A$28:$A$412,L7,$Q$28:$Q$412))</f>
        <v/>
      </c>
    </row>
    <row r="8" ht="16.5" customHeight="1" s="690" thickBot="1" thickTop="1">
      <c r="A8" s="365" t="inlineStr">
        <is>
          <t>Foreclosed Real Estate</t>
        </is>
      </c>
      <c r="B8" s="366" t="n">
        <v>1</v>
      </c>
      <c r="H8" s="723" t="n"/>
      <c r="I8" s="723" t="n"/>
      <c r="J8" s="723" t="n"/>
      <c r="L8" s="801">
        <f>IF(A8=0,"",A8)</f>
        <v/>
      </c>
      <c r="M8" s="109" t="n"/>
      <c r="N8" s="802">
        <f>IF(A8=0,"",SUMIF($A$28:$A$412,L8,$N$28:$N$412))</f>
        <v/>
      </c>
      <c r="O8" s="111" t="n"/>
      <c r="P8" s="802">
        <f>IF(A8=0,"",SUMIF($A$28:$A$412,L8,$P$28:$P$412))</f>
        <v/>
      </c>
      <c r="Q8" s="803">
        <f>IF(A8=0,"",SUMIF($A$28:$A$412,L8,$Q$28:$Q$412))</f>
        <v/>
      </c>
    </row>
    <row r="9" ht="16.5" customHeight="1" s="690" thickBot="1" thickTop="1">
      <c r="A9" s="365" t="inlineStr">
        <is>
          <t>Other Individually Identified Loans</t>
        </is>
      </c>
      <c r="B9" s="366" t="n">
        <v>1</v>
      </c>
      <c r="H9" s="723" t="n"/>
      <c r="I9" s="723" t="n"/>
      <c r="J9" s="723" t="n"/>
      <c r="L9" s="801">
        <f>IF(A9=0,"",A9)</f>
        <v/>
      </c>
      <c r="M9" s="109" t="n"/>
      <c r="N9" s="802">
        <f>IF(A9=0,"",SUMIF($A$28:$A$412,L9,$N$28:$N$412))</f>
        <v/>
      </c>
      <c r="O9" s="111" t="n"/>
      <c r="P9" s="802">
        <f>IF(A9=0,"",SUMIF($A$28:$A$412,L9,$P$28:$P$412))</f>
        <v/>
      </c>
      <c r="Q9" s="803">
        <f>IF(A9=0,"",SUMIF($A$28:$A$412,L9,$Q$28:$Q$412))</f>
        <v/>
      </c>
    </row>
    <row r="10" ht="16.5" customHeight="1" s="690" thickBot="1" thickTop="1">
      <c r="A10" s="365" t="n"/>
      <c r="B10" s="366" t="n"/>
      <c r="H10" s="723" t="n"/>
      <c r="I10" s="723" t="n"/>
      <c r="J10" s="723"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90" thickTop="1">
      <c r="B24" s="184" t="n"/>
      <c r="L24" s="798" t="inlineStr">
        <is>
          <t>Total</t>
        </is>
      </c>
      <c r="M24" s="107" t="n"/>
      <c r="N24" s="811">
        <f>SUM(N5:N10)</f>
        <v/>
      </c>
      <c r="O24" s="811" t="n"/>
      <c r="P24" s="799">
        <f>SUM(P5:P10)</f>
        <v/>
      </c>
      <c r="Q24" s="800">
        <f>SUM(Q5:Q10)</f>
        <v/>
      </c>
    </row>
    <row r="25" ht="15.75" customHeight="1" s="690" thickBot="1"/>
    <row r="26" ht="13.5" customHeight="1" s="690"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8">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8">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8">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8">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8">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8">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8">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8">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8">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8">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8">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8">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8">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8">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8">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8">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8">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8">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8">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8">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8">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8">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8">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8">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8">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8">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8">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8">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8">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8">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8">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8">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8">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8">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8">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8">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8">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8">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8">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8">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8">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8">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8">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8">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8">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8">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8">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8">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8">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8">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8">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8">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8">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8">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8">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8">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8">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8">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8">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8">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8">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8">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8">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8">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8">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8">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8">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8">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8">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8">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8">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8">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8">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8">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8">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8">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8">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8">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8">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8">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8">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8">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8">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8">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8">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8">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8">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8">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8">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90" min="4" max="4"/>
    <col width="22" bestFit="1" customWidth="1" style="690" min="5" max="5"/>
    <col width="22.5703125" bestFit="1" customWidth="1" style="690" min="6" max="7"/>
    <col width="22" bestFit="1" customWidth="1" style="690" min="8" max="9"/>
    <col width="22.5703125" bestFit="1" customWidth="1" style="690" min="10" max="11"/>
    <col width="22" bestFit="1" customWidth="1" style="690" min="12" max="12"/>
    <col width="22.5703125" bestFit="1" customWidth="1" style="690" min="13" max="13"/>
    <col width="20.42578125" bestFit="1" customWidth="1" style="690" min="14" max="14"/>
    <col width="22" bestFit="1" customWidth="1" style="690" min="15" max="15"/>
    <col width="22.5703125" bestFit="1" customWidth="1" style="690" min="16" max="17"/>
    <col width="22" bestFit="1" customWidth="1" style="690" min="18" max="18"/>
    <col width="22.5703125" bestFit="1" customWidth="1" style="690" min="19" max="19"/>
    <col width="24" bestFit="1" customWidth="1" style="690" min="20" max="20"/>
    <col width="23.42578125" bestFit="1" customWidth="1" style="690" min="21" max="21"/>
    <col width="22.5703125" bestFit="1" customWidth="1" style="690" min="22" max="22"/>
    <col width="23.42578125" bestFit="1" customWidth="1" style="690" min="23" max="24"/>
    <col width="22.5703125" bestFit="1" customWidth="1" style="690" min="25" max="25"/>
    <col width="23.42578125" bestFit="1" customWidth="1" style="690" min="26" max="26"/>
    <col width="23" bestFit="1" customWidth="1" style="690" min="27" max="27"/>
    <col width="22" bestFit="1" customWidth="1" style="690" min="28" max="31"/>
    <col width="14" customWidth="1" style="4" min="32" max="32"/>
    <col width="16.5703125" customWidth="1" style="4" min="33" max="33"/>
    <col width="20.7109375" customWidth="1" style="821" min="34" max="34"/>
    <col width="18.28515625" bestFit="1" customWidth="1" style="690" min="35" max="35"/>
    <col width="16.28515625" bestFit="1" customWidth="1" style="690"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90">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Data'!AZ8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90">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90">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90">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90">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90">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90">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90"/>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90"/>
    <row r="40" ht="30" customHeight="1" s="690">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90">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90">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90">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90">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90">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90">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90"/>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90"/>
    <row r="73" hidden="1" s="690"/>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90"/>
    <row r="91" ht="30" customHeight="1" s="690">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90">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90">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90">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90">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90">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90">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workbookViewId="0">
      <selection activeCell="I10" sqref="I10"/>
    </sheetView>
  </sheetViews>
  <sheetFormatPr baseColWidth="8" defaultColWidth="9.140625"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3.5703125" customWidth="1" style="660" min="7" max="7"/>
    <col width="9.140625" customWidth="1" style="660" min="8" max="14"/>
    <col width="9.140625" customWidth="1" style="660" min="15" max="16384"/>
  </cols>
  <sheetData>
    <row r="5" ht="45.75" customHeight="1" s="690">
      <c r="A5" s="664" t="n"/>
    </row>
    <row r="6" ht="76.5" customHeight="1" s="690">
      <c r="A6" s="471" t="n"/>
      <c r="B6" s="471" t="n"/>
      <c r="C6" s="471" t="n"/>
      <c r="D6" s="471" t="n"/>
      <c r="E6" s="471" t="n"/>
      <c r="F6" s="471" t="n"/>
      <c r="J6" s="472" t="n"/>
      <c r="K6" s="472" t="n"/>
    </row>
    <row r="7" ht="23.25" customHeight="1" s="690">
      <c r="A7" s="665" t="n"/>
    </row>
    <row r="9" ht="23.25" customHeight="1" s="690">
      <c r="A9" s="665" t="n"/>
    </row>
    <row r="13" ht="65.45" customHeight="1" s="690">
      <c r="A13" s="661" t="inlineStr">
        <is>
          <t>Scaled CECL Allowance for Losses Estimator 
(SCALE)</t>
        </is>
      </c>
    </row>
    <row r="14">
      <c r="A14" s="663" t="n"/>
    </row>
    <row r="15" ht="45" customHeight="1" s="690">
      <c r="A15" s="666">
        <f>Cover!A13</f>
        <v/>
      </c>
    </row>
    <row r="16" ht="45" customHeight="1" s="690">
      <c r="A16" s="659">
        <f>Cover!A17</f>
        <v/>
      </c>
    </row>
    <row r="17" ht="21" customHeight="1" s="690">
      <c r="A17" s="473" t="n"/>
      <c r="B17" s="662"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90"/>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90"/>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tabSelected="1" workbookViewId="0">
      <selection activeCell="J20" sqref="J20"/>
    </sheetView>
  </sheetViews>
  <sheetFormatPr baseColWidth="8" defaultRowHeight="15"/>
  <cols>
    <col width="29.5703125" bestFit="1" customWidth="1" style="690" min="2" max="2"/>
    <col width="12.85546875" bestFit="1" customWidth="1" style="690" min="3" max="3"/>
  </cols>
  <sheetData>
    <row r="1" ht="21" customHeight="1" s="690">
      <c r="A1" s="694" t="inlineStr">
        <is>
          <t>CECL Allowances for Credit Losses (ACL) Calculation</t>
        </is>
      </c>
      <c r="H1" s="199" t="n"/>
      <c r="I1" s="199" t="n"/>
      <c r="J1" s="199" t="n"/>
      <c r="K1" s="199" t="n"/>
      <c r="L1" s="199" t="n"/>
      <c r="M1" s="199" t="n"/>
      <c r="N1" s="199" t="n"/>
      <c r="O1" s="199" t="n"/>
      <c r="P1" s="199" t="n"/>
      <c r="Q1" s="199" t="n"/>
      <c r="R1" s="199" t="n"/>
      <c r="S1" s="199" t="n"/>
    </row>
    <row r="2" ht="21" customHeight="1" s="690">
      <c r="A2" s="694">
        <f>"Prepared For "&amp;'Cover-Vizo'!A15</f>
        <v/>
      </c>
      <c r="H2" s="199" t="n"/>
      <c r="I2" s="199" t="n"/>
      <c r="J2" s="199" t="n"/>
      <c r="K2" s="199" t="n"/>
      <c r="L2" s="199" t="n"/>
      <c r="M2" s="199" t="n"/>
      <c r="N2" s="199" t="n"/>
      <c r="O2" s="199" t="n"/>
      <c r="P2" s="199" t="n"/>
      <c r="Q2" s="199" t="n"/>
      <c r="R2" s="199" t="n"/>
      <c r="S2" s="199" t="n"/>
    </row>
    <row r="3" ht="21" customHeight="1" s="690">
      <c r="A3" s="694">
        <f>"Quarter Ended "&amp;TEXT('Cover-Vizo'!A16,"m/d/yyyy")</f>
        <v/>
      </c>
      <c r="H3" s="199" t="n"/>
      <c r="I3" s="199" t="n"/>
      <c r="J3" s="199" t="n"/>
      <c r="K3" s="199" t="n"/>
      <c r="L3" s="199" t="n"/>
      <c r="M3" s="199" t="n"/>
      <c r="N3" s="199" t="n"/>
      <c r="O3" s="199" t="n"/>
      <c r="P3" s="199" t="n"/>
      <c r="Q3" s="199" t="n"/>
      <c r="R3" s="199" t="n"/>
      <c r="S3" s="199" t="n"/>
    </row>
    <row r="7" ht="15.75" customHeight="1" s="690">
      <c r="B7" s="478" t="inlineStr">
        <is>
          <t>Executive Summary</t>
        </is>
      </c>
      <c r="C7" s="479" t="n"/>
    </row>
    <row r="8" ht="6" customHeight="1" s="690">
      <c r="B8" s="480" t="n"/>
      <c r="C8" s="481" t="n"/>
    </row>
    <row r="9" ht="15.75" customHeight="1" s="690">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90">
      <c r="B15" s="482" t="inlineStr">
        <is>
          <t>Prior ACL</t>
        </is>
      </c>
      <c r="C15" s="483">
        <f>OFFSET('Calc tab'!AE6,0,-1)</f>
        <v/>
      </c>
    </row>
    <row r="16">
      <c r="B16" s="484" t="inlineStr">
        <is>
          <t>Total Expected Losses on Loans</t>
        </is>
      </c>
      <c r="C16" s="484">
        <f>OFFSET('Historical Data'!AZ2,0,-1)</f>
        <v/>
      </c>
    </row>
    <row r="17">
      <c r="B17" s="484" t="inlineStr">
        <is>
          <t>Current ACL Balance</t>
        </is>
      </c>
      <c r="C17" s="484">
        <f>OFFSET('Historical Data'!AZ3,0,-1)</f>
        <v/>
      </c>
    </row>
    <row r="18">
      <c r="B18" s="484" t="inlineStr">
        <is>
          <t xml:space="preserve">Adjustment </t>
        </is>
      </c>
      <c r="C18" s="484">
        <f>OFFSET('Historical Data'!AZ4,0,-1)</f>
        <v/>
      </c>
    </row>
    <row r="19">
      <c r="B19" s="484" t="inlineStr">
        <is>
          <t>ACL/Total Loans</t>
        </is>
      </c>
      <c r="C19" s="22">
        <f>OFFSET('Historical Data'!AZ5,0,-1)</f>
        <v/>
      </c>
    </row>
    <row r="21" ht="15.75" customHeight="1" s="690">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s>
  <sheetFormatPr baseColWidth="8" defaultRowHeight="15"/>
  <cols>
    <col width="82.7109375" customWidth="1" style="690" min="1" max="1"/>
    <col width="0.42578125" customWidth="1" style="690" min="2" max="2"/>
    <col width="16.140625" customWidth="1" style="690" min="3" max="3"/>
    <col width="2.140625" customWidth="1" style="690" min="4" max="4"/>
    <col width="13.85546875" customWidth="1" style="690" min="5" max="5"/>
    <col width="2.5703125" customWidth="1" style="690" min="6" max="6"/>
    <col width="14.5703125" customWidth="1" style="690" min="7" max="7"/>
    <col width="0.5703125" customWidth="1" style="690" min="8" max="8"/>
    <col width="14.5703125" customWidth="1" style="690" min="9" max="9"/>
    <col width="3.5703125" customWidth="1" style="690" min="10" max="10"/>
    <col width="14" customWidth="1" style="690" min="11" max="11"/>
    <col width="2.42578125" customWidth="1" style="690" min="12" max="12"/>
    <col width="13.85546875" customWidth="1" style="690" min="13" max="13"/>
    <col width="0.42578125" customWidth="1" style="690" min="14" max="14"/>
    <col width="15.42578125" customWidth="1" style="690" min="15" max="15"/>
    <col width="3.7109375" customWidth="1" style="690" min="16" max="16"/>
    <col width="14" customWidth="1" style="690" min="17" max="17"/>
    <col width="0.5703125" customWidth="1" style="690" min="18" max="18"/>
    <col width="16" customWidth="1" style="690" min="19" max="19"/>
    <col width="3.7109375" customWidth="1" style="690" min="20" max="20"/>
    <col width="3.42578125" customWidth="1" style="690" min="21" max="21"/>
    <col width="13.140625" customWidth="1" style="690" min="23" max="23"/>
    <col width="2.140625" customWidth="1" style="690" min="24" max="24"/>
  </cols>
  <sheetData>
    <row r="2" ht="21" customHeight="1" s="690">
      <c r="A2" s="694" t="inlineStr">
        <is>
          <t>CECL Allowances for Credit Losses (ACL) Calculation</t>
        </is>
      </c>
    </row>
    <row r="3" ht="21" customHeight="1" s="690">
      <c r="A3" s="694">
        <f>"Prepared For "&amp;'Cover-Vizo'!A15</f>
        <v/>
      </c>
    </row>
    <row r="4" ht="21" customHeight="1" s="690">
      <c r="A4" s="694">
        <f>"Quarter Ended "&amp;TEXT('Cover-Vizo'!A16,"m/d/yyyy")</f>
        <v/>
      </c>
    </row>
    <row r="5" ht="21" customHeight="1" s="690">
      <c r="A5" s="694" t="n"/>
    </row>
    <row r="6" ht="9.75" customHeight="1" s="690">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90">
      <c r="E7" s="56" t="n"/>
      <c r="F7" s="57" t="n"/>
      <c r="G7" s="56" t="n"/>
      <c r="K7" s="56" t="n"/>
      <c r="M7" s="56" t="n"/>
      <c r="O7" s="56" t="n"/>
      <c r="Q7" s="56" t="n"/>
      <c r="S7" s="56" t="n"/>
    </row>
    <row r="8" ht="63" customHeight="1" s="690">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90">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90">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90">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90">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90">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90">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90">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90">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90">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90">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90">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90">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90">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Data'!AZ159</f>
        <v/>
      </c>
      <c r="R25" s="496" t="n"/>
      <c r="S25" s="504">
        <f>G23*Q25</f>
        <v/>
      </c>
      <c r="T25" s="36" t="n"/>
      <c r="U25" s="36" t="n"/>
    </row>
    <row r="26" ht="15.75" customHeight="1" s="690">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Data'!AZ177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90">
      <c r="B1" s="730">
        <f>"Prepared For "&amp;'Cover-Vizo'!A15</f>
        <v/>
      </c>
    </row>
    <row r="2" ht="15.75" customHeight="1" s="690">
      <c r="B2" s="728" t="inlineStr">
        <is>
          <t>Environmental Factor for PLL</t>
        </is>
      </c>
    </row>
    <row r="3" ht="15" customHeight="1" s="690">
      <c r="B3" s="731">
        <f>"Quarter Ended "&amp;TEXT('Cover-Vizo'!A16,"m/d/yyyy")</f>
        <v/>
      </c>
      <c r="J3" s="512" t="n"/>
      <c r="K3" s="512" t="n"/>
      <c r="L3" s="512" t="n"/>
      <c r="M3" s="512" t="n"/>
    </row>
    <row r="4" ht="15" customHeight="1" s="690">
      <c r="B4" s="731" t="n"/>
      <c r="C4" s="731" t="n"/>
      <c r="D4" s="731" t="n"/>
      <c r="E4" s="731" t="n"/>
      <c r="F4" s="731" t="n"/>
      <c r="J4" s="512" t="n"/>
      <c r="K4" s="512" t="n"/>
      <c r="L4" s="512" t="n"/>
      <c r="M4" s="512" t="n"/>
    </row>
    <row r="5" ht="23.25" customHeight="1" s="690">
      <c r="B5" s="513" t="inlineStr">
        <is>
          <t>Economic Stress Index Calculation</t>
        </is>
      </c>
      <c r="C5" s="514" t="n"/>
      <c r="D5" s="514" t="n"/>
      <c r="E5" s="514" t="n"/>
      <c r="F5" s="514" t="n"/>
      <c r="J5" s="512" t="n"/>
      <c r="K5" s="512" t="n"/>
      <c r="L5" s="512" t="n"/>
      <c r="M5" s="512" t="n"/>
    </row>
    <row r="6" ht="30" customHeight="1" s="690">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90">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90">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90">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90">
      <c r="C10" s="525" t="n"/>
      <c r="G10" s="522" t="n"/>
      <c r="H10" s="783" t="n"/>
      <c r="I10" s="783" t="n"/>
      <c r="J10" s="522" t="n"/>
      <c r="M10" s="512" t="n"/>
    </row>
    <row r="11" ht="6" customHeight="1" s="690">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90">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90">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90">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90">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90">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90">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90">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90">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90">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90">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90">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90">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90">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90"/>
    <row r="27" ht="15.75" customHeight="1" s="690"/>
    <row r="28" ht="12" customHeight="1" s="690">
      <c r="B28" t="inlineStr">
        <is>
          <t>See Appendix for detailed descriptions.</t>
        </is>
      </c>
    </row>
    <row r="29" ht="12" customHeight="1" s="690"/>
    <row r="88">
      <c r="B88" s="536" t="n"/>
      <c r="C88" s="536" t="n"/>
      <c r="D88" s="536" t="n"/>
      <c r="E88" s="536" t="n"/>
    </row>
    <row r="89" ht="31.5" customHeight="1" s="690">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90"/>
    <row r="111" ht="15" customHeight="1" s="690"/>
    <row r="112" ht="15" customHeight="1" s="690"/>
    <row r="113" ht="15" customHeight="1" s="690"/>
    <row r="114" ht="15" customHeight="1" s="690"/>
    <row r="115" ht="15" customHeight="1" s="690"/>
    <row r="116" ht="15" customHeight="1" s="690"/>
    <row r="117" ht="15" customHeight="1" s="690"/>
    <row r="118" ht="15" customHeight="1" s="690"/>
    <row r="119" ht="15" customHeight="1" s="690"/>
    <row r="120" ht="15" customHeight="1" s="690"/>
    <row r="121" ht="15" customHeight="1" s="690"/>
    <row r="122" ht="15" customHeight="1" s="690"/>
    <row r="123" ht="15" customHeight="1" s="690"/>
    <row r="124" ht="15" customHeight="1" s="690"/>
    <row r="125" ht="15" customHeight="1" s="690"/>
    <row r="126" ht="15" customHeight="1" s="690"/>
    <row r="127" ht="15" customHeight="1" s="690"/>
    <row r="128" ht="15" customHeight="1" s="690"/>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90">
      <c r="A1" s="732">
        <f>"Prepared For "&amp;'Cover-Vizo'!A15</f>
        <v/>
      </c>
      <c r="K1" s="732" t="n"/>
      <c r="L1" s="732">
        <f>A1</f>
        <v/>
      </c>
    </row>
    <row r="2" ht="15.75" customHeight="1" s="690">
      <c r="A2" s="728" t="inlineStr">
        <is>
          <t>Impaired Loans  Report Data Entry</t>
        </is>
      </c>
      <c r="K2" s="728" t="n"/>
      <c r="L2" s="728" t="inlineStr">
        <is>
          <t>Impaired Loans Calculation</t>
        </is>
      </c>
    </row>
    <row r="3" ht="14.45" customHeight="1" s="690">
      <c r="A3" s="738" t="n"/>
      <c r="K3" s="738" t="n"/>
      <c r="L3" s="532" t="n"/>
      <c r="M3" s="532" t="n"/>
      <c r="N3" s="532" t="n"/>
    </row>
    <row r="4" ht="38.45" customHeight="1" s="690">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90">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90">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90">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90">
      <c r="A1" s="587" t="inlineStr">
        <is>
          <t>Appendix</t>
        </is>
      </c>
    </row>
    <row r="2" ht="23.25" customHeight="1" s="690">
      <c r="A2" s="589" t="inlineStr">
        <is>
          <t>SCALE CECL Model</t>
        </is>
      </c>
      <c r="B2" s="590" t="n"/>
      <c r="C2" s="590" t="n"/>
      <c r="D2" s="590" t="n"/>
      <c r="E2" s="590" t="n"/>
      <c r="F2" s="590" t="n"/>
      <c r="G2" s="590" t="n"/>
      <c r="H2" s="590" t="n"/>
      <c r="I2" s="590" t="n"/>
      <c r="J2" s="590" t="n"/>
      <c r="K2" s="590" t="n"/>
    </row>
    <row r="3" ht="62.25" customHeight="1" s="690">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90">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90">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90">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90">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90">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90">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90"/>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15.75" customFormat="1" customHeight="1" s="57">
      <c r="A19" s="605"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15.75" customFormat="1" customHeight="1" s="57">
      <c r="A23" s="605" t="inlineStr">
        <is>
          <t>Final CECL ACL :  The Adjustment for Qualitative Factors percentage multiplied by the CECL ALC base. The result is added to the base.</t>
        </is>
      </c>
    </row>
    <row r="24" ht="15.75" customFormat="1" customHeight="1" s="57">
      <c r="A24" s="602" t="n"/>
    </row>
    <row r="25" ht="38.45" customFormat="1" customHeight="1" s="57">
      <c r="A25" s="606"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90">
      <c r="A37" s="598" t="inlineStr">
        <is>
          <t>Environmental Factor for PLL</t>
        </is>
      </c>
    </row>
    <row r="38" hidden="1" ht="18.75" customHeight="1" s="690">
      <c r="A38" s="598" t="n"/>
    </row>
    <row r="39" ht="15.75" customHeight="1" s="690">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90">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90">
      <c r="A49" s="609" t="inlineStr">
        <is>
          <t xml:space="preserve">Economic Stress Score: </t>
        </is>
      </c>
      <c r="B49" s="610" t="n"/>
      <c r="C49" s="610" t="n"/>
      <c r="D49" s="610" t="n"/>
    </row>
    <row r="50" ht="59.45" customHeight="1" s="690">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90">
      <c r="A1" s="850" t="inlineStr">
        <is>
          <t>Environmental Factor Ranges</t>
        </is>
      </c>
      <c r="G1" s="851" t="n"/>
      <c r="H1" s="851" t="n"/>
      <c r="I1" s="852" t="n"/>
      <c r="J1" s="852" t="n"/>
      <c r="K1" s="852" t="n"/>
      <c r="L1" s="852" t="n"/>
      <c r="M1" s="851" t="n"/>
      <c r="N1" s="851" t="n"/>
      <c r="O1" s="851" t="n"/>
      <c r="P1" s="851" t="n"/>
      <c r="Q1" s="851" t="n"/>
      <c r="R1" s="851" t="n"/>
      <c r="S1" s="851" t="n"/>
    </row>
    <row r="2" ht="15" customHeight="1" s="690">
      <c r="A2" s="853">
        <f>"Quarter Ended "&amp;TEXT('Cover-Vizo'!A16,"m/d/yyyy")</f>
        <v/>
      </c>
      <c r="G2" s="854" t="n"/>
      <c r="H2" s="854" t="n"/>
      <c r="I2" s="855" t="n"/>
      <c r="J2" s="855" t="n"/>
      <c r="K2" s="855" t="n"/>
      <c r="L2" s="855" t="n"/>
      <c r="M2" s="854" t="n"/>
      <c r="N2" s="854" t="n"/>
      <c r="O2" s="854" t="n"/>
      <c r="P2" s="854" t="n"/>
      <c r="Q2" s="854" t="n"/>
      <c r="R2" s="854" t="n"/>
      <c r="S2" s="854" t="n"/>
    </row>
    <row r="3" ht="15" customHeight="1" s="690">
      <c r="A3" s="746" t="n"/>
      <c r="M3" s="512" t="n"/>
    </row>
    <row r="4" ht="15" customHeight="1" s="690">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90"/>
    <row r="28" ht="57.6" customHeight="1" s="690">
      <c r="B28" s="530" t="n"/>
      <c r="C28" s="530" t="n"/>
      <c r="D28" s="530" t="n"/>
      <c r="E28" s="530" t="n"/>
    </row>
    <row r="29" hidden="1" ht="7.15" customHeight="1" s="690"/>
    <row r="30" ht="43.9" customHeight="1" s="690">
      <c r="B30" s="530" t="n"/>
      <c r="C30" s="530" t="n"/>
      <c r="D30" s="530" t="n"/>
      <c r="E30" s="530" t="n"/>
    </row>
    <row r="31" hidden="1" ht="13.15" customHeight="1" s="690"/>
    <row r="32" ht="85.90000000000001" customHeight="1" s="690">
      <c r="B32" s="530" t="n"/>
      <c r="C32" s="530" t="n"/>
      <c r="D32" s="530" t="n"/>
      <c r="E32" s="530" t="n"/>
    </row>
    <row r="33" hidden="1" ht="13.15" customHeight="1" s="690"/>
    <row r="34" ht="7.15" customHeight="1" s="690"/>
    <row r="35">
      <c r="B35" s="610" t="n"/>
      <c r="C35" s="610" t="n"/>
      <c r="D35" s="610" t="n"/>
      <c r="E35" s="610" t="n"/>
    </row>
    <row r="36" hidden="1" ht="13.15" customHeight="1" s="690"/>
    <row r="37" ht="58.9" customHeight="1" s="690">
      <c r="B37" s="530" t="n"/>
      <c r="C37" s="530" t="n"/>
      <c r="D37" s="530" t="n"/>
      <c r="E37" s="530" t="n"/>
    </row>
    <row r="38" hidden="1" ht="13.15" customHeight="1" s="690"/>
    <row r="39" ht="6.6" customHeight="1" s="690"/>
    <row r="40">
      <c r="B40" s="610" t="n"/>
      <c r="C40" s="610" t="n"/>
      <c r="D40" s="610" t="n"/>
      <c r="E40" s="610" t="n"/>
    </row>
    <row r="41" hidden="1" ht="13.15" customHeight="1" s="690"/>
    <row r="42" ht="44.45" customHeight="1" s="690">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90" min="4" max="31"/>
    <col width="22.42578125" customWidth="1" style="4" min="32" max="33"/>
    <col width="22.42578125" customWidth="1" style="821" min="34" max="34"/>
    <col width="18.28515625" customWidth="1" style="690" min="35" max="35"/>
    <col width="16.28515625" customWidth="1" style="690"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90">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90">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90">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90">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90">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90">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90">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90">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90">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90"/>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90">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90">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90">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90">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90">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90">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90"/>
    <row r="77" hidden="1" s="690"/>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90"/>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90">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90">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90">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90">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90">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90">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s>
  <sheetFormatPr baseColWidth="8" defaultRowHeight="15"/>
  <cols>
    <col width="80.7109375" bestFit="1" customWidth="1" style="690" min="1" max="1"/>
    <col width="29.28515625" bestFit="1" customWidth="1" style="690" min="2" max="2"/>
    <col width="20" bestFit="1" customWidth="1" style="690" min="3" max="3"/>
    <col width="16.7109375" bestFit="1" customWidth="1" style="690" min="4" max="4"/>
    <col width="18.5703125" bestFit="1" customWidth="1" style="690" min="5" max="5"/>
    <col width="28" bestFit="1" customWidth="1" style="690" min="6" max="6"/>
  </cols>
  <sheetData>
    <row r="1" ht="15.75" customHeight="1" s="690" thickBot="1">
      <c r="D1" t="inlineStr">
        <is>
          <t>Default Mgmt Adj</t>
        </is>
      </c>
    </row>
    <row r="2" ht="19.5" customHeight="1" s="690" thickBot="1" thickTop="1">
      <c r="A2" s="453" t="inlineStr">
        <is>
          <t xml:space="preserve">Management Adjustment </t>
        </is>
      </c>
      <c r="B2" s="453" t="n"/>
      <c r="D2" s="454" t="n">
        <v>0.0011</v>
      </c>
      <c r="E2" s="3" t="inlineStr">
        <is>
          <t>Yes</t>
        </is>
      </c>
    </row>
    <row r="3" ht="16.5" customHeight="1" s="690"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90" thickBot="1" thickTop="1">
      <c r="A4" s="265">
        <f>'Scale Calculation'!C9</f>
        <v/>
      </c>
      <c r="B4" s="457">
        <f>IF(C4+F4=0,D4,C4)</f>
        <v/>
      </c>
      <c r="C4" s="454" t="n">
        <v>0</v>
      </c>
      <c r="D4" s="457">
        <f>IF(E4=$E$2,$D$2,0)</f>
        <v/>
      </c>
      <c r="E4" s="454" t="inlineStr">
        <is>
          <t>No</t>
        </is>
      </c>
      <c r="F4" s="457">
        <f>'Scale Calculation'!K9</f>
        <v/>
      </c>
    </row>
    <row r="5" ht="16.5" customHeight="1" s="690" thickBot="1" thickTop="1">
      <c r="A5" s="265">
        <f>'Scale Calculation'!C10</f>
        <v/>
      </c>
      <c r="B5" s="457">
        <f>IF(C5+F5=0,D5,C5)</f>
        <v/>
      </c>
      <c r="C5" s="454" t="n">
        <v>0</v>
      </c>
      <c r="D5" s="457">
        <f>IF(E5=$E$2,$D$2,0)</f>
        <v/>
      </c>
      <c r="E5" s="454" t="inlineStr">
        <is>
          <t>No</t>
        </is>
      </c>
      <c r="F5" s="457">
        <f>'Scale Calculation'!K10</f>
        <v/>
      </c>
    </row>
    <row r="6" ht="16.5" customHeight="1" s="690" thickBot="1" thickTop="1">
      <c r="A6" s="265">
        <f>'Scale Calculation'!C11</f>
        <v/>
      </c>
      <c r="B6" s="457">
        <f>IF(C6+F6=0,D6,C6)</f>
        <v/>
      </c>
      <c r="C6" s="454" t="n">
        <v>0</v>
      </c>
      <c r="D6" s="457">
        <f>IF(E6=$E$2,$D$2,0)</f>
        <v/>
      </c>
      <c r="E6" s="454" t="inlineStr">
        <is>
          <t>No</t>
        </is>
      </c>
      <c r="F6" s="457">
        <f>'Scale Calculation'!K11</f>
        <v/>
      </c>
    </row>
    <row r="7" ht="16.5" customHeight="1" s="690" thickBot="1" thickTop="1">
      <c r="A7" s="265">
        <f>'Scale Calculation'!C12</f>
        <v/>
      </c>
      <c r="B7" s="457">
        <f>IF(C7+F7=0,D7,C7)</f>
        <v/>
      </c>
      <c r="C7" s="454" t="n">
        <v>0</v>
      </c>
      <c r="D7" s="457">
        <f>IF(E7=$E$2,$D$2,0)</f>
        <v/>
      </c>
      <c r="E7" s="454" t="inlineStr">
        <is>
          <t>No</t>
        </is>
      </c>
      <c r="F7" s="457">
        <f>'Scale Calculation'!K12</f>
        <v/>
      </c>
    </row>
    <row r="8" ht="16.5" customHeight="1" s="690" thickBot="1" thickTop="1">
      <c r="A8" s="265">
        <f>'Scale Calculation'!C13</f>
        <v/>
      </c>
      <c r="B8" s="457">
        <f>IF(C8+F8=0,D8,C8)</f>
        <v/>
      </c>
      <c r="C8" s="454" t="n">
        <v>0</v>
      </c>
      <c r="D8" s="457">
        <f>IF(E8=$E$2,$D$2,0)</f>
        <v/>
      </c>
      <c r="E8" s="454" t="inlineStr">
        <is>
          <t>No</t>
        </is>
      </c>
      <c r="F8" s="457">
        <f>'Scale Calculation'!K13</f>
        <v/>
      </c>
    </row>
    <row r="9" ht="16.5" customHeight="1" s="690" thickBot="1" thickTop="1">
      <c r="A9" s="265">
        <f>'Scale Calculation'!C14</f>
        <v/>
      </c>
      <c r="B9" s="457">
        <f>IF(C9+F9=0,D9,C9)</f>
        <v/>
      </c>
      <c r="C9" s="454" t="n">
        <v>0</v>
      </c>
      <c r="D9" s="457">
        <f>IF(E9=$E$2,$D$2,0)</f>
        <v/>
      </c>
      <c r="E9" s="454" t="inlineStr">
        <is>
          <t>No</t>
        </is>
      </c>
      <c r="F9" s="457">
        <f>'Scale Calculation'!K14</f>
        <v/>
      </c>
    </row>
    <row r="10" ht="16.5" customHeight="1" s="690" thickBot="1" thickTop="1">
      <c r="A10" s="265">
        <f>'Scale Calculation'!C15</f>
        <v/>
      </c>
      <c r="B10" s="457">
        <f>IF(C10+F10=0,D10,C10)</f>
        <v/>
      </c>
      <c r="C10" s="454" t="n">
        <v>0</v>
      </c>
      <c r="D10" s="457">
        <f>IF(E10=$E$2,$D$2,0)</f>
        <v/>
      </c>
      <c r="E10" s="454" t="inlineStr">
        <is>
          <t>No</t>
        </is>
      </c>
      <c r="F10" s="457">
        <f>'Scale Calculation'!K15</f>
        <v/>
      </c>
    </row>
    <row r="11" ht="16.5" customHeight="1" s="690" thickBot="1" thickTop="1">
      <c r="A11" s="265">
        <f>'Scale Calculation'!C16</f>
        <v/>
      </c>
      <c r="B11" s="457">
        <f>IF(C11+F11=0,D11,C11)</f>
        <v/>
      </c>
      <c r="C11" s="454" t="n">
        <v>0</v>
      </c>
      <c r="D11" s="457">
        <f>IF(E11=$E$2,$D$2,0)</f>
        <v/>
      </c>
      <c r="E11" s="454" t="inlineStr">
        <is>
          <t>No</t>
        </is>
      </c>
      <c r="F11" s="457">
        <f>'Scale Calculation'!K16</f>
        <v/>
      </c>
    </row>
    <row r="12" ht="16.5" customHeight="1" s="690" thickBot="1" thickTop="1">
      <c r="A12" s="265">
        <f>'Scale Calculation'!C17</f>
        <v/>
      </c>
      <c r="B12" s="457">
        <f>IF(C12+F12=0,D12,C12)</f>
        <v/>
      </c>
      <c r="C12" s="454" t="n">
        <v>0</v>
      </c>
      <c r="D12" s="457">
        <f>IF(E12=$E$2,$D$2,0)</f>
        <v/>
      </c>
      <c r="E12" s="454" t="inlineStr">
        <is>
          <t>Yes</t>
        </is>
      </c>
      <c r="F12" s="457">
        <f>'Scale Calculation'!K17</f>
        <v/>
      </c>
    </row>
    <row r="13" ht="16.5" customHeight="1" s="690" thickBot="1" thickTop="1">
      <c r="A13" s="265">
        <f>'Scale Calculation'!C18</f>
        <v/>
      </c>
      <c r="B13" s="457">
        <f>IF(C13+F13=0,D13,C13)</f>
        <v/>
      </c>
      <c r="C13" s="454" t="n">
        <v>0</v>
      </c>
      <c r="D13" s="457">
        <f>IF(E13=$E$2,$D$2,0)</f>
        <v/>
      </c>
      <c r="E13" s="454" t="inlineStr">
        <is>
          <t>Yes</t>
        </is>
      </c>
      <c r="F13" s="457">
        <f>'Scale Calculation'!K18</f>
        <v/>
      </c>
    </row>
    <row r="14" ht="16.5" customHeight="1" s="690" thickBot="1" thickTop="1">
      <c r="A14" s="265">
        <f>'Scale Calculation'!C19</f>
        <v/>
      </c>
      <c r="B14" s="457">
        <f>IF(C14+F14=0,D14,C14)</f>
        <v/>
      </c>
      <c r="C14" s="454" t="n">
        <v>0</v>
      </c>
      <c r="D14" s="457">
        <f>IF(E14=$E$2,$D$2,0)</f>
        <v/>
      </c>
      <c r="E14" s="454" t="inlineStr">
        <is>
          <t>No</t>
        </is>
      </c>
      <c r="F14" s="457">
        <f>'Scale Calculation'!K19</f>
        <v/>
      </c>
    </row>
    <row r="15" ht="16.5" customHeight="1" s="690" thickBot="1" thickTop="1">
      <c r="A15" s="265">
        <f>'Scale Calculation'!C20</f>
        <v/>
      </c>
      <c r="B15" s="457">
        <f>IF(C15+F15=0,D15,C15)</f>
        <v/>
      </c>
      <c r="C15" s="454" t="n">
        <v>0</v>
      </c>
      <c r="D15" s="457">
        <f>IF(E15=$E$2,$D$2,0)</f>
        <v/>
      </c>
      <c r="E15" s="454" t="inlineStr">
        <is>
          <t>Yes</t>
        </is>
      </c>
      <c r="F15" s="457">
        <f>'Scale Calculation'!K20</f>
        <v/>
      </c>
    </row>
    <row r="16" ht="16.5" customHeight="1" s="690" thickBot="1" thickTop="1">
      <c r="A16" s="265">
        <f>'Scale Calculation'!C21</f>
        <v/>
      </c>
      <c r="B16" s="457">
        <f>IF(C16+F16=0,D16,C16)</f>
        <v/>
      </c>
      <c r="C16" s="454" t="n">
        <v>0</v>
      </c>
      <c r="D16" s="457">
        <f>IF(E16=$E$2,$D$2,0)</f>
        <v/>
      </c>
      <c r="E16" s="454" t="inlineStr">
        <is>
          <t>No</t>
        </is>
      </c>
      <c r="F16" s="457">
        <f>'Scale Calculation'!K21</f>
        <v/>
      </c>
    </row>
    <row r="17" ht="16.5" customHeight="1" s="690" thickBot="1" thickTop="1">
      <c r="A17" s="228" t="n"/>
      <c r="C17" s="458" t="n"/>
      <c r="E17" s="458" t="n"/>
    </row>
    <row r="18" ht="16.5" customHeight="1" s="690" thickBot="1" thickTop="1">
      <c r="A18" s="723"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90"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BB245"/>
  <sheetViews>
    <sheetView topLeftCell="AM1" zoomScale="85" zoomScaleNormal="85" workbookViewId="0">
      <selection activeCell="AN35" sqref="AN35"/>
    </sheetView>
  </sheetViews>
  <sheetFormatPr baseColWidth="8" defaultRowHeight="15"/>
  <cols>
    <col width="21.140625" bestFit="1" customWidth="1" style="94" min="1" max="1"/>
    <col width="36" customWidth="1" style="690" min="2" max="2"/>
    <col width="36.7109375" customWidth="1" style="690" min="3" max="3"/>
    <col hidden="1" width="22.7109375" customWidth="1" style="690" min="4" max="19"/>
    <col width="22.7109375" bestFit="1" customWidth="1" style="690" min="20" max="21"/>
    <col width="22" bestFit="1" customWidth="1" style="690" min="22" max="22"/>
    <col width="22.7109375" bestFit="1" customWidth="1" style="690" min="23" max="23"/>
    <col width="23.28515625" bestFit="1" customWidth="1" style="690" min="24" max="24"/>
    <col width="23" bestFit="1" customWidth="1" style="690" min="25" max="25"/>
    <col width="23.28515625" bestFit="1" customWidth="1" style="690" min="26" max="26"/>
    <col width="22.7109375" bestFit="1" customWidth="1" style="690" min="27" max="27"/>
    <col width="23.28515625" bestFit="1" customWidth="1" style="690" min="28" max="28"/>
    <col width="23" bestFit="1" customWidth="1" style="690" min="29" max="30"/>
    <col width="23.28515625" bestFit="1" customWidth="1" style="690" min="31" max="31"/>
    <col width="22.7109375" bestFit="1" customWidth="1" style="690" min="32" max="32"/>
    <col width="23.28515625" bestFit="1" customWidth="1" style="690" min="33" max="52"/>
  </cols>
  <sheetData>
    <row r="1" ht="15.75" customHeight="1" s="690" thickBot="1">
      <c r="C1" t="inlineStr">
        <is>
          <t>ACL Balance</t>
        </is>
      </c>
      <c r="AW1" t="inlineStr">
        <is>
          <t>Copy and paste values before adding new column</t>
        </is>
      </c>
      <c r="AX1" t="inlineStr">
        <is>
          <t>Copy and paste values before adding new column</t>
        </is>
      </c>
      <c r="AY1" t="inlineStr">
        <is>
          <t>Copy and paste values before adding new column</t>
        </is>
      </c>
      <c r="AZ1" t="inlineStr">
        <is>
          <t>Copy and paste values before adding new column</t>
        </is>
      </c>
    </row>
    <row r="2" ht="16.5" customHeight="1" s="690"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Calculation'!T29</f>
        <v/>
      </c>
      <c r="AY2" s="861">
        <f>'Scale Calculation'!T29</f>
        <v/>
      </c>
      <c r="AZ2" s="861">
        <f>'Scale Calculation'!U29</f>
        <v/>
      </c>
    </row>
    <row r="3" ht="16.5" customHeight="1" s="690" thickBot="1" thickTop="1">
      <c r="A3" t="inlineStr">
        <is>
          <t>CU Charter Number</t>
        </is>
      </c>
      <c r="B3" s="439" t="inlineStr">
        <is>
          <t>Charter Number</t>
        </is>
      </c>
      <c r="C3" s="689"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Calculation'!T30</f>
        <v/>
      </c>
      <c r="AY3" s="861">
        <f>'Scale Calculation'!T30</f>
        <v/>
      </c>
      <c r="AZ3" s="861">
        <f>'Scale Calculation'!U30</f>
        <v/>
      </c>
    </row>
    <row r="4" ht="16.5" customHeight="1" s="690"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Calculation'!T31</f>
        <v/>
      </c>
      <c r="AY4" s="861">
        <f>'Scale Calculation'!T31</f>
        <v/>
      </c>
      <c r="AZ4" s="861">
        <f>'Scale Calculation'!U31</f>
        <v/>
      </c>
    </row>
    <row r="5" ht="16.5" customHeight="1" s="690"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Calculation'!T33</f>
        <v/>
      </c>
      <c r="AY5" s="658">
        <f>'Scale Calculation'!T33</f>
        <v/>
      </c>
      <c r="AZ5" s="658">
        <f>'Scale Calculation'!U33</f>
        <v/>
      </c>
    </row>
    <row r="6" ht="15.75" customHeight="1" s="690" thickTop="1"/>
    <row r="7" ht="15.75" customHeight="1" s="690" thickBot="1">
      <c r="A7" s="94" t="inlineStr">
        <is>
          <t>5300 Code</t>
        </is>
      </c>
    </row>
    <row r="8" ht="13.5" customFormat="1" customHeight="1" s="698"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c r="AY8" s="81" t="n">
        <v>46022</v>
      </c>
      <c r="AZ8" s="81" t="n">
        <v>46112</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c r="AY9" s="863" t="n"/>
      <c r="AZ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c r="AY10" s="863" t="n"/>
      <c r="AZ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c r="AY11" s="863" t="n"/>
      <c r="AZ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c r="AY12" s="863" t="n"/>
      <c r="AZ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c r="AY13" s="863" t="n"/>
      <c r="AZ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c r="AY14" s="863" t="n"/>
      <c r="AZ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c r="AY15" s="863" t="n"/>
      <c r="AZ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c r="AY16" s="863" t="n"/>
      <c r="AZ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c r="AY17" s="863" t="n"/>
      <c r="AZ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c r="AY18" s="863" t="n"/>
      <c r="AZ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c r="AY19" s="867" t="n"/>
      <c r="AZ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c r="AY20" s="869" t="n"/>
      <c r="AZ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c r="AY21" s="865" t="n"/>
      <c r="AZ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c r="AY22" s="862" t="n"/>
      <c r="AZ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c r="AY23" s="862" t="n"/>
      <c r="AZ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c r="AY24" s="862" t="n"/>
      <c r="AZ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c r="AY25" s="862" t="n"/>
      <c r="AZ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c r="AY26" s="862" t="n"/>
      <c r="AZ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c r="AY27" s="862" t="n"/>
      <c r="AZ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c r="AY28" s="862" t="n"/>
      <c r="AZ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c r="AY29" s="862" t="n"/>
      <c r="AZ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c r="AY30" s="862" t="n"/>
      <c r="AZ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c r="AY31" s="862" t="n"/>
      <c r="AZ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c r="AY32" s="862" t="n"/>
      <c r="AZ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c r="AY33" s="862" t="n"/>
      <c r="AZ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c r="AY34" s="866" t="n"/>
      <c r="AZ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c r="AY35" s="867">
        <f>SUM(AY9:AY18)+SUM(AY22:AY34)</f>
        <v/>
      </c>
      <c r="AZ35" s="867">
        <f>SUM(AZ9:AZ18)+SUM(AZ22:AZ34)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c r="AY36" s="862" t="n"/>
      <c r="AZ36" s="862" t="n"/>
    </row>
    <row r="37" ht="15.75" customHeight="1" s="690" thickBot="1"/>
    <row r="38" ht="13.5" customFormat="1" customHeight="1" s="698"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c r="AY38" s="260">
        <f>AY8</f>
        <v/>
      </c>
      <c r="AZ38" s="260">
        <f>AZ8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c r="AY39" s="863" t="n"/>
      <c r="AZ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c r="AY40" s="863" t="n"/>
      <c r="AZ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c r="AY41" s="863" t="n"/>
      <c r="AZ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c r="AY42" s="863" t="n"/>
      <c r="AZ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c r="AY43" s="863" t="n"/>
      <c r="AZ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c r="AY44" s="863" t="n"/>
      <c r="AZ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c r="AY45" s="863" t="n"/>
      <c r="AZ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c r="AY46" s="863" t="n"/>
      <c r="AZ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c r="AY47" s="863" t="n"/>
      <c r="AZ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c r="AY48" s="863" t="n"/>
      <c r="AZ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c r="AY49" s="867" t="n"/>
      <c r="AZ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c r="AY50" s="862" t="n"/>
      <c r="AZ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c r="AY51" s="862" t="n"/>
      <c r="AZ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c r="AY52" s="862" t="n"/>
      <c r="AZ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c r="AY53" s="862" t="n"/>
      <c r="AZ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c r="AY54" s="862" t="n"/>
      <c r="AZ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c r="AY55" s="862" t="n"/>
      <c r="AZ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c r="AY56" s="862" t="n"/>
      <c r="AZ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c r="AY57" s="862" t="n"/>
      <c r="AZ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c r="AY58" s="862" t="n"/>
      <c r="AZ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c r="AY59" s="862" t="n"/>
      <c r="AZ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c r="AY60" s="862" t="n"/>
      <c r="AZ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c r="AY61" s="862" t="n"/>
      <c r="AZ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c r="AY62" s="862" t="n"/>
      <c r="AZ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c r="AY63" s="862" t="n"/>
      <c r="AZ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c r="AY64" s="862" t="n"/>
      <c r="AZ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c r="AY65" s="862" t="n"/>
      <c r="AZ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c r="AY66" s="862" t="n"/>
      <c r="AZ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c r="AY67" s="862" t="n"/>
      <c r="AZ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c r="AY68" s="862" t="n"/>
      <c r="AZ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c r="AY69" s="866" t="n"/>
      <c r="AZ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c r="AY70" s="867">
        <f>SUM(AY39:AY69)</f>
        <v/>
      </c>
      <c r="AZ70" s="867">
        <f>SUM(AZ39:AZ69)</f>
        <v/>
      </c>
    </row>
    <row r="71" ht="15.75" customHeight="1" s="690"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c r="AY71" s="261" t="n"/>
      <c r="AZ71" s="261" t="n"/>
    </row>
    <row r="72" ht="13.5" customFormat="1" customHeight="1" s="698"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c r="AY72" s="260">
        <f>AY8</f>
        <v/>
      </c>
      <c r="AZ72" s="260">
        <f>AZ8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c r="AY73" s="863" t="n"/>
      <c r="AZ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c r="AY74" s="863" t="n"/>
      <c r="AZ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c r="AY75" s="863" t="n"/>
      <c r="AZ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c r="AY76" s="863" t="n"/>
      <c r="AZ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c r="AY77" s="863" t="n"/>
      <c r="AZ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c r="AY78" s="863" t="n"/>
      <c r="AZ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c r="AY79" s="863" t="n"/>
      <c r="AZ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c r="AY80" s="863" t="n"/>
      <c r="AZ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c r="AY81" s="867" t="n"/>
      <c r="AZ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c r="AY82" s="862" t="n"/>
      <c r="AZ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c r="AY83" s="862" t="n"/>
      <c r="AZ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c r="AY84" s="862" t="n"/>
      <c r="AZ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c r="AY85" s="862" t="n"/>
      <c r="AZ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c r="AY86" s="862" t="n"/>
      <c r="AZ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c r="AY87" s="862" t="n"/>
      <c r="AZ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c r="AY88" s="862" t="n"/>
      <c r="AZ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c r="AY89" s="862" t="n"/>
      <c r="AZ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c r="AY90" s="862" t="n"/>
      <c r="AZ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c r="AY91" s="862" t="n"/>
      <c r="AZ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c r="AY92" s="862" t="n"/>
      <c r="AZ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c r="AY93" s="862" t="n"/>
      <c r="AZ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c r="AY94" s="862" t="n"/>
      <c r="AZ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c r="AY95" s="862" t="n"/>
      <c r="AZ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c r="AY96" s="862" t="n"/>
      <c r="AZ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c r="AY97" s="862" t="n"/>
      <c r="AZ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c r="AY98" s="862" t="n"/>
      <c r="AZ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c r="AY99" s="862" t="n"/>
      <c r="AZ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c r="AY100" s="862" t="n"/>
      <c r="AZ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c r="AY101" s="866" t="n"/>
      <c r="AZ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c r="AY102" s="867">
        <f>SUM(AY73:AY101)</f>
        <v/>
      </c>
      <c r="AZ102" s="867">
        <f>SUM(AZ73:AZ101)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c r="AY103" s="256" t="n"/>
      <c r="AZ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c r="AY104" s="256" t="n"/>
      <c r="AZ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Y105" s="260">
        <f>AY8</f>
        <v/>
      </c>
      <c r="AZ105" s="260">
        <f>AZ8</f>
        <v/>
      </c>
      <c r="BB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c r="AY106" s="863" t="n"/>
      <c r="AZ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c r="AY107" s="863" t="n"/>
      <c r="AZ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c r="AY108" s="863" t="n"/>
      <c r="AZ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c r="AY109" s="863" t="n"/>
      <c r="AZ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c r="AY110" s="863" t="n"/>
      <c r="AZ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c r="AY111" s="863" t="n"/>
      <c r="AZ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c r="AY112" s="863" t="n"/>
      <c r="AZ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c r="AY113" s="863" t="n"/>
      <c r="AZ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c r="AY114" s="867" t="n"/>
      <c r="AZ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c r="AY115" s="862" t="n"/>
      <c r="AZ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c r="AY116" s="862" t="n"/>
      <c r="AZ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c r="AY117" s="862" t="n"/>
      <c r="AZ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c r="AY118" s="862" t="n"/>
      <c r="AZ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c r="AY119" s="862" t="n"/>
      <c r="AZ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c r="AY120" s="862" t="n"/>
      <c r="AZ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c r="AY121" s="862" t="n"/>
      <c r="AZ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c r="AY122" s="862" t="n"/>
      <c r="AZ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c r="AY123" s="862" t="n"/>
      <c r="AZ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c r="AY124" s="862" t="n"/>
      <c r="AZ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c r="AY125" s="862" t="n"/>
      <c r="AZ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c r="AY126" s="862" t="n"/>
      <c r="AZ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c r="AY127" s="862" t="n"/>
      <c r="AZ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c r="AY128" s="862" t="n"/>
      <c r="AZ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c r="AY129" s="862" t="n"/>
      <c r="AZ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c r="AY130" s="862" t="n"/>
      <c r="AZ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c r="AY131" s="862" t="n"/>
      <c r="AZ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c r="AY132" s="862" t="n"/>
      <c r="AZ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c r="AY133" s="862" t="n"/>
      <c r="AZ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c r="AY134" s="866" t="n"/>
      <c r="AZ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c r="AY135" s="867">
        <f>SUM(AY106:AY134)</f>
        <v/>
      </c>
      <c r="AZ135" s="867">
        <f>SUM(AZ106:AZ134)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A4</f>
        <v/>
      </c>
      <c r="AY137" s="863">
        <f>A4</f>
        <v/>
      </c>
      <c r="AZ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A5</f>
        <v/>
      </c>
      <c r="AY138" s="863">
        <f>A5</f>
        <v/>
      </c>
      <c r="AZ138" s="863">
        <f>B5</f>
        <v/>
      </c>
    </row>
    <row r="139" ht="14.25" customFormat="1" customHeight="1" s="178" thickBot="1" thickTop="1">
      <c r="A139" s="177" t="n"/>
      <c r="B139" s="178" t="inlineStr">
        <is>
          <t>Unemployment Rate*</t>
        </is>
      </c>
      <c r="AW139" s="460" t="n">
        <v>0.023</v>
      </c>
      <c r="AX139" s="460" t="n">
        <v>0.023</v>
      </c>
      <c r="AY139" s="460" t="n">
        <v>0.023</v>
      </c>
      <c r="AZ139" s="460" t="n">
        <v>0.023</v>
      </c>
      <c r="BA139" s="178" t="inlineStr">
        <is>
          <t>BLS</t>
        </is>
      </c>
      <c r="BB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72" t="n">
        <v>4287</v>
      </c>
      <c r="AZ140" s="872" t="n">
        <v>4287</v>
      </c>
      <c r="BA140" s="85" t="inlineStr">
        <is>
          <t>Sofi</t>
        </is>
      </c>
      <c r="BB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72" t="n">
        <v>14292</v>
      </c>
      <c r="AZ141" s="872" t="n">
        <v>14292</v>
      </c>
      <c r="BA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c r="AY142" s="874" t="n">
        <v>19541453</v>
      </c>
      <c r="AZ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Y144" s="260">
        <f>AY105</f>
        <v/>
      </c>
      <c r="AZ144" s="260">
        <f>AZ105</f>
        <v/>
      </c>
      <c r="BB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c r="AY145" s="252">
        <f>'Management Adjustment'!$B$4</f>
        <v/>
      </c>
      <c r="AZ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c r="AY146" s="252">
        <f>'Management Adjustment'!$B$5</f>
        <v/>
      </c>
      <c r="AZ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c r="AY147" s="252">
        <f>'Management Adjustment'!$B$6</f>
        <v/>
      </c>
      <c r="AZ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c r="AY148" s="252">
        <f>'Management Adjustment'!$B$7</f>
        <v/>
      </c>
      <c r="AZ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c r="AY149" s="252">
        <f>'Management Adjustment'!$B$8</f>
        <v/>
      </c>
      <c r="AZ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c r="AY150" s="252">
        <f>'Management Adjustment'!$B$9</f>
        <v/>
      </c>
      <c r="AZ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c r="AY151" s="252">
        <f>'Management Adjustment'!$B$10</f>
        <v/>
      </c>
      <c r="AZ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c r="AY152" s="252">
        <f>'Management Adjustment'!$B$11</f>
        <v/>
      </c>
      <c r="AZ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c r="AY153" s="252">
        <f>'Management Adjustment'!$B$12</f>
        <v/>
      </c>
      <c r="AZ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c r="AY154" s="252">
        <f>'Management Adjustment'!$B$13</f>
        <v/>
      </c>
      <c r="AZ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c r="AY155" s="252">
        <f>'Management Adjustment'!$B$14</f>
        <v/>
      </c>
      <c r="AZ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c r="AY156" s="252">
        <f>'Management Adjustment'!$B$15</f>
        <v/>
      </c>
      <c r="AZ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c r="AY157" s="252">
        <f>'Management Adjustment'!$B$16</f>
        <v/>
      </c>
      <c r="AZ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c r="AY158" s="254" t="n"/>
      <c r="AZ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c r="AY159" s="252">
        <f>'Management Adjustment'!$B$18</f>
        <v/>
      </c>
      <c r="AZ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c r="AY161" s="81">
        <f>AY8</f>
        <v/>
      </c>
      <c r="AZ161" s="81">
        <f>AZ8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c r="AY162" s="863">
        <f>SUMIF($C$9:$C$34,$C162,AY$9:AY$34)</f>
        <v/>
      </c>
      <c r="AZ162" s="863">
        <f>SUMIF($C$9:$C$34,$C162,AZ$9:AZ$34)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c r="AY163" s="863">
        <f>SUMIF($C$9:$C$34,$C163,AY$9:AY$34)</f>
        <v/>
      </c>
      <c r="AZ163" s="863">
        <f>SUMIF($C$9:$C$34,$C163,AZ$9:AZ$34)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c r="AY164" s="863">
        <f>SUMIF($C$9:$C$34,$C164,AY$9:AY$34)</f>
        <v/>
      </c>
      <c r="AZ164" s="863">
        <f>SUMIF($C$9:$C$34,$C164,AZ$9:AZ$34)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c r="AY165" s="863">
        <f>SUMIF($C$9:$C$34,$C165,AY$9:AY$34)</f>
        <v/>
      </c>
      <c r="AZ165" s="863">
        <f>SUMIF($C$9:$C$34,$C165,AZ$9:AZ$34)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c r="AY166" s="863">
        <f>SUMIF($C$9:$C$34,$C166,AY$9:AY$34)</f>
        <v/>
      </c>
      <c r="AZ166" s="863">
        <f>SUMIF($C$9:$C$34,$C166,AZ$9:AZ$34)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c r="AY167" s="863">
        <f>SUMIF($C$9:$C$34,$C167,AY$9:AY$34)</f>
        <v/>
      </c>
      <c r="AZ167" s="863">
        <f>SUMIF($C$9:$C$34,$C167,AZ$9:AZ$34)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c r="AY168" s="863">
        <f>SUMIF($C$9:$C$34,$C168,AY$9:AY$34)</f>
        <v/>
      </c>
      <c r="AZ168" s="863">
        <f>SUMIF($C$9:$C$34,$C168,AZ$9:AZ$34)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c r="AY169" s="863">
        <f>SUMIF($C$9:$C$34,$C169,AY$9:AY$34)</f>
        <v/>
      </c>
      <c r="AZ169" s="863">
        <f>SUMIF($C$9:$C$34,$C169,AZ$9:AZ$34)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c r="AY170" s="863">
        <f>SUMIF($C$9:$C$34,$C170,AY$9:AY$34)</f>
        <v/>
      </c>
      <c r="AZ170" s="863">
        <f>SUMIF($C$9:$C$34,$C170,AZ$9:AZ$34)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c r="AY171" s="863">
        <f>SUMIF($C$9:$C$34,$C171,AY$9:AY$34)</f>
        <v/>
      </c>
      <c r="AZ171" s="863">
        <f>SUMIF($C$9:$C$34,$C171,AZ$9:AZ$34)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c r="AY172" s="863">
        <f>SUMIF($C$9:$C$34,$C172,AY$9:AY$34)</f>
        <v/>
      </c>
      <c r="AZ172" s="863">
        <f>SUMIF($C$9:$C$34,$C172,AZ$9:AZ$34)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c r="AY173" s="863">
        <f>SUMIF($C$9:$C$34,$C173,AY$9:AY$34)</f>
        <v/>
      </c>
      <c r="AZ173" s="863">
        <f>SUMIF($C$9:$C$34,$C173,AZ$9:AZ$34)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c r="AY174" s="863">
        <f>SUMIF($C$9:$C$34,$C174,AY$9:AY$34)</f>
        <v/>
      </c>
      <c r="AZ174" s="863">
        <f>SUMIF($C$9:$C$34,$C174,AZ$9:AZ$34)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c r="AY175" s="876">
        <f>SUM(AY162:AY174)</f>
        <v/>
      </c>
      <c r="AZ175" s="876">
        <f>SUM(AZ162:AZ174)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c r="AY177" s="876">
        <f>AY19+AY20+AY21</f>
        <v/>
      </c>
      <c r="AZ177" s="876">
        <f>AZ19+AZ20+AZ21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c r="AY179" s="81">
        <f>AY8</f>
        <v/>
      </c>
      <c r="AZ179" s="81">
        <f>AZ8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c r="AY180" s="863">
        <f>SUMIF($C$39:$C$69,$C180,AY$39:AY$69)</f>
        <v/>
      </c>
      <c r="AZ180" s="863">
        <f>SUMIF($C$39:$C$69,$C180,AZ$39:AZ$69)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c r="AY181" s="863">
        <f>SUMIF($C$39:$C$69,$C181,AY$39:AY$69)</f>
        <v/>
      </c>
      <c r="AZ181" s="863">
        <f>SUMIF($C$39:$C$69,$C181,AZ$39:AZ$69)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c r="AY182" s="863">
        <f>SUMIF($C$39:$C$69,$C182,AY$39:AY$69)</f>
        <v/>
      </c>
      <c r="AZ182" s="863">
        <f>SUMIF($C$39:$C$69,$C182,AZ$39:AZ$69)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c r="AY183" s="863">
        <f>SUMIF($C$39:$C$69,$C183,AY$39:AY$69)</f>
        <v/>
      </c>
      <c r="AZ183" s="863">
        <f>SUMIF($C$39:$C$69,$C183,AZ$39:AZ$69)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c r="AY184" s="863">
        <f>SUMIF($C$39:$C$69,$C184,AY$39:AY$69)</f>
        <v/>
      </c>
      <c r="AZ184" s="863">
        <f>SUMIF($C$39:$C$69,$C184,AZ$39:AZ$69)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c r="AY185" s="863">
        <f>SUMIF($C$39:$C$69,$C185,AY$39:AY$69)</f>
        <v/>
      </c>
      <c r="AZ185" s="863">
        <f>SUMIF($C$39:$C$69,$C185,AZ$39:AZ$69)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c r="AY186" s="863">
        <f>SUMIF($C$39:$C$69,$C186,AY$39:AY$69)</f>
        <v/>
      </c>
      <c r="AZ186" s="863">
        <f>SUMIF($C$39:$C$69,$C186,AZ$39:AZ$69)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c r="AY187" s="863">
        <f>SUMIF($C$39:$C$69,$C187,AY$39:AY$69)</f>
        <v/>
      </c>
      <c r="AZ187" s="863">
        <f>SUMIF($C$39:$C$69,$C187,AZ$39:AZ$69)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c r="AY188" s="863">
        <f>SUMIF($C$39:$C$69,$C188,AY$39:AY$69)</f>
        <v/>
      </c>
      <c r="AZ188" s="863">
        <f>SUMIF($C$39:$C$69,$C188,AZ$39:AZ$69)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c r="AY189" s="863">
        <f>SUMIF($C$39:$C$69,$C189,AY$39:AY$69)</f>
        <v/>
      </c>
      <c r="AZ189" s="863">
        <f>SUMIF($C$39:$C$69,$C189,AZ$39:AZ$69)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c r="AY190" s="863">
        <f>SUMIF($C$39:$C$69,$C190,AY$39:AY$69)</f>
        <v/>
      </c>
      <c r="AZ190" s="863">
        <f>SUMIF($C$39:$C$69,$C190,AZ$39:AZ$69)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c r="AY191" s="863">
        <f>SUMIF($C$39:$C$69,$C191,AY$39:AY$69)</f>
        <v/>
      </c>
      <c r="AZ191" s="863">
        <f>SUMIF($C$39:$C$69,$C191,AZ$39:AZ$69)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c r="AY192" s="867">
        <f>SUMIF($C$39:$C$69,$C192,AY$39:AY$69)</f>
        <v/>
      </c>
      <c r="AZ192" s="867">
        <f>SUMIF($C$39:$C$69,$C192,AZ$39:AZ$69)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c r="AY193" s="867">
        <f>SUM(AY180:AY192)</f>
        <v/>
      </c>
      <c r="AZ193" s="867">
        <f>SUM(AZ180:AZ192)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c r="AY196" s="81">
        <f>AY8</f>
        <v/>
      </c>
      <c r="AZ196" s="81">
        <f>AZ8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c r="AY197" s="863">
        <f>SUMIF($C$73:$C$101,$C197,AY$73:AY$101)-SUMIF($C$106:$C$134,$C197,AY$106:AY$134)</f>
        <v/>
      </c>
      <c r="AZ197" s="863">
        <f>SUMIF($C$73:$C$101,$C197,AZ$73:AZ$101)-SUMIF($C$106:$C$134,$C197,AZ$106:AZ$134)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c r="AY198" s="863">
        <f>SUMIF($C$73:$C$101,$C198,AY$73:AY$101)-SUMIF($C$106:$C$134,$C198,AY$106:AY$134)</f>
        <v/>
      </c>
      <c r="AZ198" s="863">
        <f>SUMIF($C$73:$C$101,$C198,AZ$73:AZ$101)-SUMIF($C$106:$C$134,$C198,AZ$106:AZ$134)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c r="AY199" s="863">
        <f>SUMIF($C$73:$C$101,$C199,AY$73:AY$101)-SUMIF($C$106:$C$134,$C199,AY$106:AY$134)</f>
        <v/>
      </c>
      <c r="AZ199" s="863">
        <f>SUMIF($C$73:$C$101,$C199,AZ$73:AZ$101)-SUMIF($C$106:$C$134,$C199,AZ$106:AZ$134)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c r="AY200" s="863">
        <f>SUMIF($C$73:$C$101,$C200,AY$73:AY$101)-SUMIF($C$106:$C$134,$C200,AY$106:AY$134)</f>
        <v/>
      </c>
      <c r="AZ200" s="863">
        <f>SUMIF($C$73:$C$101,$C200,AZ$73:AZ$101)-SUMIF($C$106:$C$134,$C200,AZ$106:AZ$134)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c r="AY201" s="863">
        <f>SUMIF($C$73:$C$101,$C201,AY$73:AY$101)-SUMIF($C$106:$C$134,$C201,AY$106:AY$134)</f>
        <v/>
      </c>
      <c r="AZ201" s="863">
        <f>SUMIF($C$73:$C$101,$C201,AZ$73:AZ$101)-SUMIF($C$106:$C$134,$C201,AZ$106:AZ$134)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c r="AY202" s="863">
        <f>SUMIF($C$73:$C$101,$C202,AY$73:AY$101)-SUMIF($C$106:$C$134,$C202,AY$106:AY$134)</f>
        <v/>
      </c>
      <c r="AZ202" s="863">
        <f>SUMIF($C$73:$C$101,$C202,AZ$73:AZ$101)-SUMIF($C$106:$C$134,$C202,AZ$106:AZ$134)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c r="AY203" s="863">
        <f>SUMIF($C$73:$C$101,$C203,AY$73:AY$101)-SUMIF($C$106:$C$134,$C203,AY$106:AY$134)</f>
        <v/>
      </c>
      <c r="AZ203" s="863">
        <f>SUMIF($C$73:$C$101,$C203,AZ$73:AZ$101)-SUMIF($C$106:$C$134,$C203,AZ$106:AZ$134)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c r="AY204" s="863">
        <f>SUMIF($C$73:$C$101,$C204,AY$73:AY$101)-SUMIF($C$106:$C$134,$C204,AY$106:AY$134)</f>
        <v/>
      </c>
      <c r="AZ204" s="863">
        <f>SUMIF($C$73:$C$101,$C204,AZ$73:AZ$101)-SUMIF($C$106:$C$134,$C204,AZ$106:AZ$134)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c r="AY205" s="863">
        <f>SUMIF($C$73:$C$101,$C205,AY$73:AY$101)-SUMIF($C$106:$C$134,$C205,AY$106:AY$134)</f>
        <v/>
      </c>
      <c r="AZ205" s="863">
        <f>SUMIF($C$73:$C$101,$C205,AZ$73:AZ$101)-SUMIF($C$106:$C$134,$C205,AZ$106:AZ$134)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c r="AY206" s="863">
        <f>SUMIF($C$73:$C$101,$C206,AY$73:AY$101)-SUMIF($C$106:$C$134,$C206,AY$106:AY$134)</f>
        <v/>
      </c>
      <c r="AZ206" s="863">
        <f>SUMIF($C$73:$C$101,$C206,AZ$73:AZ$101)-SUMIF($C$106:$C$134,$C206,AZ$106:AZ$134)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c r="AY207" s="863">
        <f>SUMIF($C$73:$C$101,$C207,AY$73:AY$101)-SUMIF($C$106:$C$134,$C207,AY$106:AY$134)</f>
        <v/>
      </c>
      <c r="AZ207" s="863">
        <f>SUMIF($C$73:$C$101,$C207,AZ$73:AZ$101)-SUMIF($C$106:$C$134,$C207,AZ$106:AZ$134)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c r="AY208" s="863">
        <f>SUMIF($C$73:$C$101,$C208,AY$73:AY$101)-SUMIF($C$106:$C$134,$C208,AY$106:AY$134)</f>
        <v/>
      </c>
      <c r="AZ208" s="863">
        <f>SUMIF($C$73:$C$101,$C208,AZ$73:AZ$101)-SUMIF($C$106:$C$134,$C208,AZ$106:AZ$134)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c r="AY209" s="867">
        <f>SUMIF($C$73:$C$101,$C209,AY$73:AY$101)-SUMIF($C$106:$C$134,$C209,AY$106:AY$134)</f>
        <v/>
      </c>
      <c r="AZ209" s="867">
        <f>SUMIF($C$73:$C$101,$C209,AZ$73:AZ$101)-SUMIF($C$106:$C$134,$C209,AZ$106:AZ$134)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c r="AY210" s="867">
        <f>SUM(AY197:AY209)</f>
        <v/>
      </c>
      <c r="AZ210" s="867">
        <f>SUM(AZ197:AZ209)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c r="AY212" s="85">
        <f>COLUMN(AY213)</f>
        <v/>
      </c>
      <c r="AZ212" s="85">
        <f>COLUMN(AZ213)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c r="AY213" s="81">
        <f>AY196</f>
        <v/>
      </c>
      <c r="AZ213" s="81">
        <f>AZ196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c r="AY214" s="863">
        <f>IF(AY$229=3,AY197,AY197-_xlfn.XLOOKUP(AY$212-1,$212:$212,197:197,,0,1))</f>
        <v/>
      </c>
      <c r="AZ214" s="863">
        <f>IF(AZ$229=3,AZ197,AZ197-_xlfn.XLOOKUP(AZ$212-1,$212:$212,197:197,,0,1))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c r="AY215" s="863">
        <f>IF(AY$229=3,AY198,AY198-_xlfn.XLOOKUP(AY$212-1,$212:$212,198:198,,0,1))</f>
        <v/>
      </c>
      <c r="AZ215" s="863">
        <f>IF(AZ$229=3,AZ198,AZ198-_xlfn.XLOOKUP(AZ$212-1,$212:$212,198:198,,0,1))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c r="AY216" s="863">
        <f>IF(AY$229=3,AY199,AY199-_xlfn.XLOOKUP(AY$212-1,$212:$212,199:199,,0,1))</f>
        <v/>
      </c>
      <c r="AZ216" s="863">
        <f>IF(AZ$229=3,AZ199,AZ199-_xlfn.XLOOKUP(AZ$212-1,$212:$212,199:199,,0,1))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c r="AY217" s="863">
        <f>IF(AY$229=3,AY200,AY200-_xlfn.XLOOKUP(AY$212-1,$212:$212,200:200,,0,1))</f>
        <v/>
      </c>
      <c r="AZ217" s="863">
        <f>IF(AZ$229=3,AZ200,AZ200-_xlfn.XLOOKUP(AZ$212-1,$212:$212,200:200,,0,1))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c r="AY218" s="863">
        <f>IF(AY$229=3,AY201,AY201-_xlfn.XLOOKUP(AY$212-1,$212:$212,201:201,,0,1))</f>
        <v/>
      </c>
      <c r="AZ218" s="863">
        <f>IF(AZ$229=3,AZ201,AZ201-_xlfn.XLOOKUP(AZ$212-1,$212:$212,201:201,,0,1))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c r="AY219" s="863">
        <f>IF(AY$229=3,AY202,AY202-_xlfn.XLOOKUP(AY$212-1,$212:$212,202:202,,0,1))</f>
        <v/>
      </c>
      <c r="AZ219" s="863">
        <f>IF(AZ$229=3,AZ202,AZ202-_xlfn.XLOOKUP(AZ$212-1,$212:$212,202:202,,0,1))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c r="AY220" s="863">
        <f>IF(AY$229=3,AY203,AY203-_xlfn.XLOOKUP(AY$212-1,$212:$212,203:203,,0,1))</f>
        <v/>
      </c>
      <c r="AZ220" s="863">
        <f>IF(AZ$229=3,AZ203,AZ203-_xlfn.XLOOKUP(AZ$212-1,$212:$212,203:203,,0,1))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c r="AY221" s="863">
        <f>IF(AY$229=3,AY204,AY204-_xlfn.XLOOKUP(AY$212-1,$212:$212,204:204,,0,1))</f>
        <v/>
      </c>
      <c r="AZ221" s="863">
        <f>IF(AZ$229=3,AZ204,AZ204-_xlfn.XLOOKUP(AZ$212-1,$212:$212,204:204,,0,1))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c r="AY222" s="863">
        <f>IF(AY$229=3,AY205,AY205-_xlfn.XLOOKUP(AY$212-1,$212:$212,205:205,,0,1))</f>
        <v/>
      </c>
      <c r="AZ222" s="863">
        <f>IF(AZ$229=3,AZ205,AZ205-_xlfn.XLOOKUP(AZ$212-1,$212:$212,205:205,,0,1))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c r="AY223" s="863">
        <f>IF(AY$229=3,AY206,AY206-_xlfn.XLOOKUP(AY$212-1,$212:$212,206:206,,0,1))</f>
        <v/>
      </c>
      <c r="AZ223" s="863">
        <f>IF(AZ$229=3,AZ206,AZ206-_xlfn.XLOOKUP(AZ$212-1,$212:$212,206:206,,0,1))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c r="AY224" s="863">
        <f>IF(AY$229=3,AY207,AY207-_xlfn.XLOOKUP(AY$212-1,$212:$212,207:207,,0,1))</f>
        <v/>
      </c>
      <c r="AZ224" s="863">
        <f>IF(AZ$229=3,AZ207,AZ207-_xlfn.XLOOKUP(AZ$212-1,$212:$212,207:207,,0,1))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c r="AY225" s="863">
        <f>IF(AY$229=3,AY208,AY208-_xlfn.XLOOKUP(AY$212-1,$212:$212,208:208,,0,1))</f>
        <v/>
      </c>
      <c r="AZ225" s="863">
        <f>IF(AZ$229=3,AZ208,AZ208-_xlfn.XLOOKUP(AZ$212-1,$212:$212,208:208,,0,1))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c r="AY226" s="867">
        <f>IF(AY$229=3,AY209,AY209-_xlfn.XLOOKUP(AY$212-1,$212:$212,209:209,,0,1))</f>
        <v/>
      </c>
      <c r="AZ226" s="867">
        <f>IF(AZ$229=3,AZ209,AZ209-_xlfn.XLOOKUP(AZ$212-1,$212:$212,209:209,,0,1))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c r="AY227" s="867">
        <f>SUM(AY214:AY226)</f>
        <v/>
      </c>
      <c r="AZ227" s="867">
        <f>SUM(AZ214:AZ226)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c r="AY229" s="98">
        <f>MONTH(AY8)</f>
        <v/>
      </c>
      <c r="AZ229" s="98">
        <f>MONTH(AZ8)</f>
        <v/>
      </c>
    </row>
    <row r="230" ht="15.75" customHeight="1" s="690"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c r="AY231" s="81">
        <f>AY8</f>
        <v/>
      </c>
      <c r="AZ231" s="81">
        <f>AZ8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c r="AY232" s="182">
        <f>IFERROR(AY180/AY162,0)</f>
        <v/>
      </c>
      <c r="AZ232" s="182">
        <f>IFERROR(AZ180/AZ162,0)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c r="AY233" s="182">
        <f>IFERROR(AY181/AY163,0)</f>
        <v/>
      </c>
      <c r="AZ233" s="182">
        <f>IFERROR(AZ181/AZ163,0)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c r="AY234" s="182">
        <f>IFERROR(AY182/AY164,0)</f>
        <v/>
      </c>
      <c r="AZ234" s="182">
        <f>IFERROR(AZ182/AZ164,0)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c r="AY235" s="182">
        <f>IFERROR(AY183/AY165,0)</f>
        <v/>
      </c>
      <c r="AZ235" s="182">
        <f>IFERROR(AZ183/AZ165,0)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c r="AY236" s="182">
        <f>IFERROR(AY184/AY166,0)</f>
        <v/>
      </c>
      <c r="AZ236" s="182">
        <f>IFERROR(AZ184/AZ166,0)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c r="AY237" s="182">
        <f>IFERROR(AY185/AY167,0)</f>
        <v/>
      </c>
      <c r="AZ237" s="182">
        <f>IFERROR(AZ185/AZ167,0)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c r="AY238" s="182">
        <f>IFERROR(AY186/AY168,0)</f>
        <v/>
      </c>
      <c r="AZ238" s="182">
        <f>IFERROR(AZ186/AZ168,0)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c r="AY239" s="182">
        <f>IFERROR(AY187/AY169,0)</f>
        <v/>
      </c>
      <c r="AZ239" s="182">
        <f>IFERROR(AZ187/AZ169,0)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c r="AY240" s="182">
        <f>IFERROR(AY188/AY170,0)</f>
        <v/>
      </c>
      <c r="AZ240" s="182">
        <f>IFERROR(AZ188/AZ170,0)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c r="AY241" s="182">
        <f>IFERROR(AY189/AY171,0)</f>
        <v/>
      </c>
      <c r="AZ241" s="182">
        <f>IFERROR(AZ189/AZ171,0)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c r="AY242" s="182">
        <f>IFERROR(AY190/AY172,0)</f>
        <v/>
      </c>
      <c r="AZ242" s="182">
        <f>IFERROR(AZ190/AZ172,0)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c r="AY243" s="182">
        <f>IFERROR(AY191/AY173,0)</f>
        <v/>
      </c>
      <c r="AZ243" s="182">
        <f>IFERROR(AZ191/AZ173,0)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c r="AY244" s="183">
        <f>IFERROR(AY192/AY174,0)</f>
        <v/>
      </c>
      <c r="AZ244" s="183">
        <f>IFERROR(AZ192/AZ174,0)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c r="AY245" s="183">
        <f>IFERROR(AY193/AY175,0)</f>
        <v/>
      </c>
      <c r="AZ245" s="183">
        <f>IFERROR(AZ193/AZ175,0)</f>
        <v/>
      </c>
    </row>
  </sheetData>
  <hyperlinks>
    <hyperlink xmlns:r="http://schemas.openxmlformats.org/officeDocument/2006/relationships" ref="BB139" r:id="rId1"/>
    <hyperlink xmlns:r="http://schemas.openxmlformats.org/officeDocument/2006/relationships" ref="BB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90" min="1" max="1"/>
    <col width="19.5703125" bestFit="1" customWidth="1" style="690" min="2" max="2"/>
  </cols>
  <sheetData>
    <row r="2" ht="15.75" customHeight="1" s="690" thickBot="1">
      <c r="A2" t="inlineStr">
        <is>
          <t>Loan Pool</t>
        </is>
      </c>
      <c r="B2" t="inlineStr">
        <is>
          <t>ACL Lifetime Months (WAM)</t>
        </is>
      </c>
    </row>
    <row r="3" ht="16.5" customHeight="1" s="690" thickBot="1" thickTop="1">
      <c r="A3">
        <f>'Scale Calculation'!C9</f>
        <v/>
      </c>
      <c r="B3" s="343" t="n">
        <v>36</v>
      </c>
    </row>
    <row r="4" ht="16.5" customHeight="1" s="690" thickBot="1" thickTop="1">
      <c r="A4">
        <f>'Scale Calculation'!C10</f>
        <v/>
      </c>
      <c r="B4" s="343" t="n">
        <v>36</v>
      </c>
    </row>
    <row r="5" ht="16.5" customHeight="1" s="690" thickBot="1" thickTop="1">
      <c r="A5">
        <f>'Scale Calculation'!C11</f>
        <v/>
      </c>
      <c r="B5" s="343" t="n">
        <v>36</v>
      </c>
    </row>
    <row r="6" ht="16.5" customHeight="1" s="690" thickBot="1" thickTop="1">
      <c r="A6">
        <f>'Scale Calculation'!C12</f>
        <v/>
      </c>
      <c r="B6" s="343" t="n">
        <v>36</v>
      </c>
    </row>
    <row r="7" ht="16.5" customHeight="1" s="690" thickBot="1" thickTop="1">
      <c r="A7">
        <f>'Scale Calculation'!C13</f>
        <v/>
      </c>
      <c r="B7" s="343" t="n">
        <v>36</v>
      </c>
    </row>
    <row r="8" ht="16.5" customHeight="1" s="690" thickBot="1" thickTop="1">
      <c r="A8">
        <f>'Scale Calculation'!C14</f>
        <v/>
      </c>
      <c r="B8" s="343" t="n">
        <v>36</v>
      </c>
    </row>
    <row r="9" ht="16.5" customHeight="1" s="690" thickBot="1" thickTop="1">
      <c r="A9">
        <f>'Scale Calculation'!C15</f>
        <v/>
      </c>
      <c r="B9" s="343" t="n">
        <v>36</v>
      </c>
    </row>
    <row r="10" ht="16.5" customHeight="1" s="690" thickBot="1" thickTop="1">
      <c r="A10">
        <f>'Scale Calculation'!C16</f>
        <v/>
      </c>
      <c r="B10" s="343" t="n">
        <v>36</v>
      </c>
    </row>
    <row r="11" ht="16.5" customHeight="1" s="690" thickBot="1" thickTop="1">
      <c r="A11">
        <f>'Scale Calculation'!C17</f>
        <v/>
      </c>
      <c r="B11" s="343" t="n">
        <v>84</v>
      </c>
    </row>
    <row r="12" ht="16.5" customHeight="1" s="690" thickBot="1" thickTop="1">
      <c r="A12">
        <f>'Scale Calculation'!C18</f>
        <v/>
      </c>
      <c r="B12" s="343" t="n">
        <v>60</v>
      </c>
    </row>
    <row r="13" ht="16.5" customHeight="1" s="690" thickBot="1" thickTop="1">
      <c r="A13">
        <f>'Scale Calculation'!C19</f>
        <v/>
      </c>
      <c r="B13" s="343" t="n">
        <v>36</v>
      </c>
    </row>
    <row r="14" ht="16.5" customHeight="1" s="690" thickBot="1" thickTop="1">
      <c r="A14">
        <f>'Scale Calculation'!C20</f>
        <v/>
      </c>
      <c r="B14" s="343" t="n">
        <v>84</v>
      </c>
    </row>
    <row r="15" ht="16.5" customHeight="1" s="690" thickBot="1" thickTop="1">
      <c r="A15">
        <f>'Scale Calculation'!C21</f>
        <v/>
      </c>
      <c r="B15" s="343" t="n">
        <v>36</v>
      </c>
    </row>
    <row r="16" ht="15.75" customHeight="1" s="690"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90" min="4" max="4"/>
    <col width="13.85546875" customWidth="1" style="690" min="5" max="5"/>
    <col width="13.7109375" customWidth="1" style="690" min="7" max="7"/>
    <col width="14.28515625" customWidth="1" style="690" min="9" max="9"/>
    <col width="11.85546875" customWidth="1" style="690" min="15" max="15"/>
    <col width="19.5703125" customWidth="1" style="690" min="16" max="16"/>
  </cols>
  <sheetData>
    <row r="1" ht="15.75" customHeight="1" s="690" thickBot="1"/>
    <row r="2" ht="189" customHeight="1" s="690"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700" t="n"/>
      <c r="D2" s="700" t="n"/>
      <c r="E2" s="700" t="n"/>
      <c r="F2" s="700" t="n"/>
      <c r="G2" s="700" t="n"/>
      <c r="H2" s="700" t="n"/>
      <c r="I2" s="700" t="n"/>
      <c r="J2" s="700" t="n"/>
      <c r="K2" s="700" t="n"/>
      <c r="L2" s="700" t="n"/>
      <c r="M2" s="700" t="n"/>
      <c r="N2" s="700" t="n"/>
      <c r="O2" s="700" t="n"/>
      <c r="P2" s="701"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90" min="1" max="1"/>
    <col width="15.7109375" customWidth="1" style="690" min="2" max="3"/>
    <col width="2.85546875" customWidth="1" style="690" min="4" max="4"/>
    <col width="15.7109375" customWidth="1" style="690" min="5" max="6"/>
    <col width="2.85546875" customWidth="1" style="690" min="7" max="7"/>
    <col width="14.85546875" bestFit="1" customWidth="1" style="690" min="8" max="8"/>
    <col width="15.7109375" customWidth="1" style="690" min="9" max="9"/>
    <col width="20.42578125" customWidth="1" style="690" min="10" max="10"/>
    <col width="41" customWidth="1" style="690" min="11" max="11"/>
    <col width="3.7109375" customWidth="1" style="690" min="12" max="12"/>
    <col width="15.7109375" customWidth="1" style="690" min="13" max="13"/>
    <col width="3.7109375" customWidth="1" style="690" min="14" max="14"/>
    <col width="15.7109375" customWidth="1" style="690" min="15" max="15"/>
    <col width="13.140625" customWidth="1" style="690" min="17" max="17"/>
    <col width="2.140625" customWidth="1" style="690" min="18" max="18"/>
  </cols>
  <sheetData>
    <row r="2" ht="21" customHeight="1" s="690">
      <c r="B2" s="752" t="inlineStr">
        <is>
          <t>Adjustment to Proxy Expected Lifetime Loss Rate to Reflect Institution's Historical Performance</t>
        </is>
      </c>
    </row>
    <row r="4" ht="55.5" customHeight="1" s="690">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90">
      <c r="B5" s="60" t="n"/>
      <c r="C5" s="60" t="n"/>
      <c r="D5" s="60" t="n"/>
      <c r="E5" s="60" t="n"/>
      <c r="F5" s="60" t="n"/>
      <c r="G5" s="60" t="n"/>
      <c r="H5" s="60" t="n"/>
      <c r="I5" s="60" t="n"/>
      <c r="J5" s="60" t="n"/>
    </row>
    <row r="6" ht="9" customHeight="1" s="690" thickBot="1">
      <c r="B6" s="694" t="n"/>
      <c r="C6" s="694" t="n"/>
      <c r="D6" s="694" t="n"/>
      <c r="E6" s="694" t="n"/>
      <c r="F6" s="694" t="n"/>
      <c r="G6" s="694" t="n"/>
      <c r="H6" s="694" t="n"/>
      <c r="I6" s="694" t="n"/>
      <c r="J6" s="694" t="n"/>
    </row>
    <row r="7" ht="90.75" customHeight="1" s="690">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8" t="n"/>
      <c r="D7" s="678" t="n"/>
      <c r="E7" s="678" t="n"/>
      <c r="F7" s="678" t="n"/>
      <c r="G7" s="678" t="n"/>
      <c r="H7" s="678" t="n"/>
      <c r="I7" s="678" t="n"/>
      <c r="J7" s="679" t="n"/>
    </row>
    <row r="8" ht="9" customHeight="1" s="690">
      <c r="B8" s="72" t="n"/>
      <c r="C8" s="73" t="n"/>
      <c r="D8" s="73" t="n"/>
      <c r="E8" s="73" t="n"/>
      <c r="F8" s="73" t="n"/>
      <c r="G8" s="73" t="n"/>
      <c r="H8" s="73" t="n"/>
      <c r="I8" s="73" t="n"/>
      <c r="J8" s="74" t="n"/>
    </row>
    <row r="9" ht="61.5" customHeight="1" s="690"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87" t="n"/>
      <c r="D9" s="687" t="n"/>
      <c r="E9" s="687" t="n"/>
      <c r="F9" s="687" t="n"/>
      <c r="G9" s="687" t="n"/>
      <c r="H9" s="687" t="n"/>
      <c r="I9" s="687" t="n"/>
      <c r="J9" s="688" t="n"/>
    </row>
    <row r="10" ht="9" customHeight="1" s="690" thickBot="1"/>
    <row r="11" ht="19.5" customHeight="1" s="690" thickBot="1">
      <c r="B11" s="756" t="inlineStr">
        <is>
          <t xml:space="preserve">Institutions are responsible for all inputs on this tab </t>
        </is>
      </c>
      <c r="C11" s="700" t="n"/>
      <c r="D11" s="700" t="n"/>
      <c r="E11" s="700" t="n"/>
      <c r="F11" s="700" t="n"/>
      <c r="G11" s="700" t="n"/>
      <c r="H11" s="700" t="n"/>
      <c r="I11" s="700" t="n"/>
      <c r="J11" s="701" t="n"/>
      <c r="K11" s="695" t="n"/>
      <c r="L11" s="695" t="n"/>
      <c r="M11" s="695" t="n"/>
      <c r="N11" s="695" t="n"/>
      <c r="O11" s="695" t="n"/>
    </row>
    <row r="12" ht="9" customHeight="1" s="690" thickBot="1">
      <c r="B12" s="753" t="n"/>
      <c r="C12" s="687" t="n"/>
    </row>
    <row r="13">
      <c r="B13" s="754" t="inlineStr">
        <is>
          <t>Institution</t>
        </is>
      </c>
      <c r="C13" s="679" t="n"/>
      <c r="E13" s="754" t="inlineStr">
        <is>
          <t>Peer</t>
        </is>
      </c>
      <c r="F13" s="679" t="n"/>
    </row>
    <row r="14">
      <c r="B14" s="760" t="inlineStr">
        <is>
          <t>Net Loss to Average Total LNLS</t>
        </is>
      </c>
      <c r="C14" s="669" t="n"/>
      <c r="E14" s="760" t="inlineStr">
        <is>
          <t>Net Loss to Average Total LNLS</t>
        </is>
      </c>
      <c r="F14" s="669" t="n"/>
    </row>
    <row r="15" ht="15.75" customHeight="1" s="690" thickBot="1">
      <c r="B15" s="758" t="inlineStr">
        <is>
          <t>[from page 7 of UBPR]</t>
        </is>
      </c>
      <c r="C15" s="688" t="n"/>
      <c r="E15" s="758" t="inlineStr">
        <is>
          <t>[from page 7 of UBPR]</t>
        </is>
      </c>
      <c r="F15" s="688" t="n"/>
    </row>
    <row r="16" ht="15.75" customHeight="1" s="690"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90"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90" thickBot="1">
      <c r="B35" s="4" t="n"/>
    </row>
    <row r="36">
      <c r="B36" s="755" t="inlineStr">
        <is>
          <t>Cell Key:</t>
        </is>
      </c>
      <c r="C36" s="678" t="n"/>
      <c r="D36" s="678" t="n"/>
      <c r="E36" s="678" t="n"/>
      <c r="F36" s="678" t="n"/>
      <c r="G36" s="678" t="n"/>
      <c r="H36" s="679" t="n"/>
    </row>
    <row r="37">
      <c r="B37" s="16" t="inlineStr">
        <is>
          <t>Indicates the cell is a formula or a reference.  Do not edit these cells.</t>
        </is>
      </c>
      <c r="C37" s="14" t="n"/>
      <c r="D37" s="14" t="n"/>
      <c r="E37" s="14" t="n"/>
      <c r="F37" s="14" t="n"/>
      <c r="G37" s="14" t="n"/>
      <c r="H37" s="48" t="inlineStr">
        <is>
          <t>$XXX.XX</t>
        </is>
      </c>
    </row>
    <row r="38" ht="15.75" customHeight="1" s="690"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90" min="1" max="1"/>
    <col width="21.28515625" customWidth="1" style="690" min="2" max="2"/>
    <col width="17.28515625" customWidth="1" style="690" min="3" max="3"/>
    <col width="3.42578125" customWidth="1" style="690" min="4" max="4"/>
    <col width="15.7109375" customWidth="1" style="690" min="5" max="11"/>
    <col width="2.85546875" customWidth="1" style="690" min="12" max="12"/>
    <col width="15.7109375" customWidth="1" style="690" min="13" max="13"/>
    <col width="2.140625" customWidth="1" style="690" min="14" max="14"/>
    <col width="15.7109375" customWidth="1" style="690" min="15" max="15"/>
    <col width="11" customWidth="1" style="690" min="17" max="17"/>
  </cols>
  <sheetData>
    <row r="1" ht="21" customHeight="1" s="690">
      <c r="B1" s="694" t="inlineStr">
        <is>
          <t>Loans Assessed for Expected Credit Losses on Individual  Basis</t>
        </is>
      </c>
    </row>
    <row r="2" ht="9" customHeight="1" s="690" thickBot="1">
      <c r="B2" s="53" t="n"/>
    </row>
    <row r="3" ht="23.65" customHeight="1" s="690" thickBot="1">
      <c r="B3" s="761" t="inlineStr">
        <is>
          <t>Instructions:  Use this tab to enter information for loans assessed for expected losses on an individual basis.</t>
        </is>
      </c>
      <c r="C3" s="700" t="n"/>
      <c r="D3" s="700" t="n"/>
      <c r="E3" s="700" t="n"/>
      <c r="F3" s="700" t="n"/>
      <c r="G3" s="700" t="n"/>
      <c r="H3" s="700" t="n"/>
      <c r="I3" s="700" t="n"/>
      <c r="J3" s="700" t="n"/>
      <c r="K3" s="700" t="n"/>
      <c r="L3" s="700" t="n"/>
      <c r="M3" s="700" t="n"/>
      <c r="N3" s="700" t="n"/>
      <c r="O3" s="701" t="n"/>
    </row>
    <row r="4" ht="9" customHeight="1" s="690" thickBot="1">
      <c r="B4" s="695" t="n"/>
      <c r="C4" s="695" t="n"/>
      <c r="D4" s="695" t="n"/>
      <c r="E4" s="695" t="n"/>
      <c r="F4" s="695" t="n"/>
      <c r="G4" s="695" t="n"/>
      <c r="H4" s="695" t="n"/>
      <c r="I4" s="695" t="n"/>
      <c r="J4" s="695" t="n"/>
      <c r="K4" s="695" t="n"/>
      <c r="L4" s="695" t="n"/>
      <c r="M4" s="695" t="n"/>
      <c r="N4" s="695" t="n"/>
      <c r="O4" s="695" t="n"/>
    </row>
    <row r="5" ht="19.5" customHeight="1" s="690" thickBot="1">
      <c r="B5" s="762" t="inlineStr">
        <is>
          <t xml:space="preserve">Institutions are responsible for all inputs on this tab </t>
        </is>
      </c>
      <c r="C5" s="700" t="n"/>
      <c r="D5" s="700" t="n"/>
      <c r="E5" s="700" t="n"/>
      <c r="F5" s="700" t="n"/>
      <c r="G5" s="700" t="n"/>
      <c r="H5" s="700" t="n"/>
      <c r="I5" s="700" t="n"/>
      <c r="J5" s="700" t="n"/>
      <c r="K5" s="700" t="n"/>
      <c r="L5" s="700" t="n"/>
      <c r="M5" s="700" t="n"/>
      <c r="N5" s="700" t="n"/>
      <c r="O5" s="701" t="n"/>
    </row>
    <row r="6" ht="9" customHeight="1" s="690" thickBot="1">
      <c r="B6" s="695" t="n"/>
      <c r="C6" s="695" t="n"/>
      <c r="D6" s="695" t="n"/>
      <c r="E6" s="695" t="n"/>
      <c r="F6" s="695" t="n"/>
      <c r="G6" s="695" t="n"/>
      <c r="H6" s="695" t="n"/>
      <c r="I6" s="695" t="n"/>
      <c r="J6" s="695" t="n"/>
      <c r="K6" s="695" t="n"/>
      <c r="L6" s="695" t="n"/>
      <c r="M6" s="695" t="n"/>
      <c r="N6" s="695" t="n"/>
      <c r="O6" s="695" t="n"/>
    </row>
    <row r="7" ht="16.5" customHeight="1" s="690" thickBot="1">
      <c r="B7" s="1" t="n"/>
      <c r="C7" s="1" t="n"/>
      <c r="D7" s="1" t="n"/>
      <c r="E7" s="763" t="inlineStr">
        <is>
          <t>Loan Balance by Portfolio Segment</t>
        </is>
      </c>
      <c r="F7" s="700" t="n"/>
      <c r="G7" s="700" t="n"/>
      <c r="H7" s="700" t="n"/>
      <c r="I7" s="700" t="n"/>
      <c r="J7" s="700" t="n"/>
      <c r="K7" s="701" t="n"/>
      <c r="L7" s="1" t="n"/>
      <c r="M7" s="1" t="n"/>
      <c r="N7" s="1" t="n"/>
      <c r="O7" s="56" t="inlineStr">
        <is>
          <t>Calculated</t>
        </is>
      </c>
    </row>
    <row r="8" ht="45.75" customHeight="1" s="690"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90"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90" thickTop="1">
      <c r="O27" s="36" t="n"/>
    </row>
    <row r="28" ht="15" customHeight="1" s="690">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90" thickBot="1">
      <c r="B29" s="4" t="n"/>
    </row>
    <row r="30">
      <c r="B30" s="755" t="inlineStr">
        <is>
          <t>Cell Key:</t>
        </is>
      </c>
      <c r="C30" s="678" t="n"/>
      <c r="D30" s="678" t="n"/>
      <c r="E30" s="679" t="n"/>
    </row>
    <row r="31">
      <c r="B31" s="16" t="inlineStr">
        <is>
          <t>Indicates the cell is a formula or a reference.  Do not edit these cells.</t>
        </is>
      </c>
      <c r="C31" s="14" t="n"/>
      <c r="D31" s="14" t="n"/>
      <c r="E31" s="49" t="inlineStr">
        <is>
          <t>$XXX.XX</t>
        </is>
      </c>
    </row>
    <row r="32" ht="15.75" customHeight="1" s="690"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90" min="1" max="1"/>
    <col width="15.7109375" customWidth="1" style="690" min="2" max="2"/>
    <col width="21.85546875" customWidth="1" style="690" min="3" max="3"/>
    <col width="2.85546875" customWidth="1" style="690" min="4" max="4"/>
    <col width="18.85546875" customWidth="1" style="690" min="5" max="5"/>
    <col width="15.7109375" customWidth="1" style="690" min="6" max="6"/>
    <col width="2.85546875" customWidth="1" style="690" min="7" max="7"/>
    <col width="14.85546875" bestFit="1" customWidth="1" style="690" min="8" max="8"/>
    <col width="15.7109375" customWidth="1" style="690" min="9" max="9"/>
    <col width="8" customWidth="1" style="690" min="10" max="10"/>
    <col width="41" customWidth="1" style="690" min="11" max="11"/>
    <col width="3.7109375" customWidth="1" style="690" min="12" max="12"/>
    <col width="15.7109375" customWidth="1" style="690" min="13" max="13"/>
    <col width="3.7109375" customWidth="1" style="690" min="14" max="14"/>
    <col width="15.7109375" customWidth="1" style="690" min="15" max="15"/>
    <col width="13.140625" customWidth="1" style="690" min="17" max="17"/>
    <col width="2.140625" customWidth="1" style="690" min="18" max="18"/>
  </cols>
  <sheetData>
    <row r="1" ht="21" customHeight="1" s="690">
      <c r="B1" s="694" t="inlineStr">
        <is>
          <t>Adjustments for Qualitative Factors</t>
        </is>
      </c>
    </row>
    <row r="2" ht="6.75" customHeight="1" s="690" thickBot="1"/>
    <row r="3" ht="94.5" customHeight="1" s="690" thickBot="1">
      <c r="B3" s="76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700" t="n"/>
      <c r="D3" s="700" t="n"/>
      <c r="E3" s="700" t="n"/>
      <c r="F3" s="700" t="n"/>
      <c r="G3" s="700" t="n"/>
      <c r="H3" s="700" t="n"/>
      <c r="I3" s="700" t="n"/>
      <c r="J3" s="701" t="n"/>
    </row>
    <row r="4" ht="15.75" customHeight="1" s="690" thickBot="1"/>
    <row r="5" ht="47.45" customHeight="1" s="690">
      <c r="B5" s="76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8" t="n"/>
      <c r="D5" s="678" t="n"/>
      <c r="E5" s="678" t="n"/>
      <c r="F5" s="678" t="n"/>
      <c r="G5" s="678" t="n"/>
      <c r="H5" s="678" t="n"/>
      <c r="I5" s="678" t="n"/>
      <c r="J5" s="679" t="n"/>
    </row>
    <row r="6" ht="5.45" customHeight="1" s="690">
      <c r="B6" s="64" t="n"/>
      <c r="C6" s="63" t="n"/>
      <c r="D6" s="63" t="n"/>
      <c r="E6" s="63" t="n"/>
      <c r="F6" s="63" t="n"/>
      <c r="G6" s="63" t="n"/>
      <c r="H6" s="63" t="n"/>
      <c r="I6" s="63" t="n"/>
      <c r="J6" s="65" t="n"/>
    </row>
    <row r="7" ht="14.45" customHeight="1" s="690">
      <c r="B7" s="764" t="inlineStr">
        <is>
          <t>• The nature and volume of the institution’s financial assets;</t>
        </is>
      </c>
      <c r="J7" s="669" t="n"/>
    </row>
    <row r="8" ht="14.45" customHeight="1" s="690">
      <c r="B8" s="764" t="inlineStr">
        <is>
          <t>• The existence, growth, and effect of any concentrations of credit;</t>
        </is>
      </c>
      <c r="J8" s="669" t="n"/>
    </row>
    <row r="9" ht="28.15" customHeight="1" s="690">
      <c r="B9" s="764" t="inlineStr">
        <is>
          <t>• The volume and severity of past due financial assets, the volume of nonaccrual assets, and the volume and severity of adversely classified or graded assets;</t>
        </is>
      </c>
      <c r="J9" s="669" t="n"/>
    </row>
    <row r="10" ht="14.45" customHeight="1" s="690">
      <c r="B10" s="764" t="inlineStr">
        <is>
          <t>• The value of the underlying collateral for loans that are not collateral-dependent;</t>
        </is>
      </c>
      <c r="J10" s="669" t="n"/>
    </row>
    <row r="11" ht="28.9" customHeight="1" s="690">
      <c r="B11" s="764" t="inlineStr">
        <is>
          <t>• The institution’s lending policies and procedures, including changes in underwriting standards and practices for collections, write-offs, and recoveries;</t>
        </is>
      </c>
      <c r="J11" s="669" t="n"/>
    </row>
    <row r="12" ht="14.45" customHeight="1" s="690">
      <c r="B12" s="764" t="inlineStr">
        <is>
          <t>• The quality of the institution’s credit review function;</t>
        </is>
      </c>
      <c r="J12" s="669" t="n"/>
    </row>
    <row r="13" ht="28.9" customHeight="1" s="690">
      <c r="B13" s="764" t="inlineStr">
        <is>
          <t>• The experience, ability, and depth of the institution’s lending, investment, collection, and other relevant management and staff;</t>
        </is>
      </c>
      <c r="J13" s="669" t="n"/>
    </row>
    <row r="14" ht="28.9" customHeight="1" s="690">
      <c r="B14" s="764" t="inlineStr">
        <is>
          <t>• The effect of other external factors such as the regulatory, legal and technological environments; competition; and events such as natural disasters;</t>
        </is>
      </c>
      <c r="J14" s="669" t="n"/>
    </row>
    <row r="15" ht="28.15" customHeight="1" s="690">
      <c r="B15" s="764" t="inlineStr">
        <is>
          <t>• Actual and expected changes in international, national, regional, and local economic and business conditions and developments in which the institution operates that affect the collectibility of financial assets.</t>
        </is>
      </c>
      <c r="J15" s="669" t="n"/>
    </row>
    <row r="16" ht="14.45" customHeight="1" s="690">
      <c r="B16" s="66" t="n"/>
      <c r="C16" s="695" t="n"/>
      <c r="D16" s="695" t="n"/>
      <c r="E16" s="695" t="n"/>
      <c r="F16" s="695" t="n"/>
      <c r="G16" s="695" t="n"/>
      <c r="H16" s="695" t="n"/>
      <c r="I16" s="695" t="n"/>
      <c r="J16" s="67" t="n"/>
    </row>
    <row r="17" ht="28.9" customHeight="1" s="690" thickBot="1">
      <c r="B17" s="773" t="inlineStr">
        <is>
          <t>For reference, the Interagency Policy Statement on the Allowance for Credit Losses contains a more detailed discussion of the application of Qualitative Factors, including those listed above.</t>
        </is>
      </c>
      <c r="C17" s="687" t="n"/>
      <c r="D17" s="687" t="n"/>
      <c r="E17" s="687" t="n"/>
      <c r="F17" s="687" t="n"/>
      <c r="G17" s="687" t="n"/>
      <c r="H17" s="687" t="n"/>
      <c r="I17" s="687" t="n"/>
      <c r="J17" s="688" t="n"/>
    </row>
    <row r="18" ht="9" customHeight="1" s="690" thickBot="1"/>
    <row r="19" ht="19.5" customHeight="1" s="690" thickBot="1">
      <c r="B19" s="768" t="inlineStr">
        <is>
          <t xml:space="preserve">Institutions are responsible for all inputs on this tab </t>
        </is>
      </c>
      <c r="C19" s="700" t="n"/>
      <c r="D19" s="700" t="n"/>
      <c r="E19" s="700" t="n"/>
      <c r="F19" s="700" t="n"/>
      <c r="G19" s="700" t="n"/>
      <c r="H19" s="700" t="n"/>
      <c r="I19" s="700" t="n"/>
      <c r="J19" s="701" t="n"/>
      <c r="K19" s="695" t="n"/>
      <c r="L19" s="695" t="n"/>
      <c r="M19" s="695" t="n"/>
      <c r="N19" s="695" t="n"/>
      <c r="O19" s="695" t="n"/>
    </row>
    <row r="20" ht="9" customHeight="1" s="690" thickBot="1">
      <c r="B20" s="57" t="n"/>
      <c r="C20" s="57" t="n"/>
      <c r="D20" s="57" t="n"/>
      <c r="E20" s="57" t="n"/>
      <c r="F20" s="57" t="n"/>
      <c r="G20" s="57" t="n"/>
      <c r="H20" s="57" t="n"/>
      <c r="I20" s="57" t="n"/>
      <c r="J20" s="57" t="n"/>
    </row>
    <row r="21" ht="16.5" customHeight="1" s="690" thickBot="1">
      <c r="B21" s="777" t="inlineStr">
        <is>
          <t>Loan Segment</t>
        </is>
      </c>
      <c r="C21" s="700" t="n"/>
      <c r="D21" s="772" t="n"/>
      <c r="E21" s="78" t="inlineStr">
        <is>
          <t>Adjustment</t>
        </is>
      </c>
      <c r="F21" s="771" t="inlineStr">
        <is>
          <t>Comments</t>
        </is>
      </c>
      <c r="G21" s="700" t="n"/>
      <c r="H21" s="700" t="n"/>
      <c r="I21" s="700" t="n"/>
      <c r="J21" s="772" t="n"/>
    </row>
    <row r="22" ht="15.75" customHeight="1" s="690">
      <c r="B22" s="776" t="inlineStr">
        <is>
          <t>Real Estate - Construction</t>
        </is>
      </c>
      <c r="C22" s="693" t="n"/>
      <c r="D22" s="775" t="n"/>
      <c r="E22" s="79" t="n">
        <v>0</v>
      </c>
      <c r="F22" s="774" t="inlineStr">
        <is>
          <t>[Enter summary comments and source of supporting analysis/narrative]</t>
        </is>
      </c>
      <c r="G22" s="693" t="n"/>
      <c r="H22" s="693" t="n"/>
      <c r="I22" s="693" t="n"/>
      <c r="J22" s="775" t="n"/>
    </row>
    <row r="23" ht="15.75" customHeight="1" s="690">
      <c r="B23" s="765" t="inlineStr">
        <is>
          <t>Real Estate - Commercial</t>
        </is>
      </c>
      <c r="C23" s="750" t="n"/>
      <c r="D23" s="751" t="n"/>
      <c r="E23" s="79" t="n">
        <v>0</v>
      </c>
      <c r="F23" s="770" t="n"/>
      <c r="G23" s="750" t="n"/>
      <c r="H23" s="750" t="n"/>
      <c r="I23" s="750" t="n"/>
      <c r="J23" s="751" t="n"/>
    </row>
    <row r="24" ht="15.75" customHeight="1" s="690">
      <c r="B24" s="765" t="inlineStr">
        <is>
          <t>Real Estate - Residential</t>
        </is>
      </c>
      <c r="C24" s="750" t="n"/>
      <c r="D24" s="751" t="n"/>
      <c r="E24" s="79" t="n">
        <v>0</v>
      </c>
      <c r="F24" s="770" t="n"/>
      <c r="G24" s="750" t="n"/>
      <c r="H24" s="750" t="n"/>
      <c r="I24" s="750" t="n"/>
      <c r="J24" s="751" t="n"/>
    </row>
    <row r="25" ht="15.75" customHeight="1" s="690">
      <c r="B25" s="765" t="inlineStr">
        <is>
          <t>Commercial</t>
        </is>
      </c>
      <c r="C25" s="750" t="n"/>
      <c r="D25" s="751" t="n"/>
      <c r="E25" s="79" t="n">
        <v>0</v>
      </c>
      <c r="F25" s="770" t="n"/>
      <c r="G25" s="750" t="n"/>
      <c r="H25" s="750" t="n"/>
      <c r="I25" s="750" t="n"/>
      <c r="J25" s="751" t="n"/>
    </row>
    <row r="26" ht="15.75" customHeight="1" s="690">
      <c r="B26" s="765" t="inlineStr">
        <is>
          <t>Credit Cards</t>
        </is>
      </c>
      <c r="C26" s="750" t="n"/>
      <c r="D26" s="751" t="n"/>
      <c r="E26" s="79" t="n">
        <v>0</v>
      </c>
      <c r="F26" s="770" t="n"/>
      <c r="G26" s="750" t="n"/>
      <c r="H26" s="750" t="n"/>
      <c r="I26" s="750" t="n"/>
      <c r="J26" s="751" t="n"/>
    </row>
    <row r="27" ht="15.75" customHeight="1" s="690">
      <c r="B27" s="765" t="inlineStr">
        <is>
          <t xml:space="preserve">Other Consumer </t>
        </is>
      </c>
      <c r="C27" s="750" t="n"/>
      <c r="D27" s="751" t="n"/>
      <c r="E27" s="79" t="n">
        <v>0</v>
      </c>
      <c r="F27" s="770" t="n"/>
      <c r="G27" s="750" t="n"/>
      <c r="H27" s="750" t="n"/>
      <c r="I27" s="750" t="n"/>
      <c r="J27" s="751" t="n"/>
    </row>
    <row r="28" ht="15.75" customHeight="1" s="690">
      <c r="B28" s="765" t="inlineStr">
        <is>
          <t xml:space="preserve">Other Consumer </t>
        </is>
      </c>
      <c r="C28" s="750" t="n"/>
      <c r="D28" s="751" t="n"/>
      <c r="E28" s="79" t="n">
        <v>0</v>
      </c>
      <c r="F28" s="770" t="n"/>
      <c r="G28" s="750" t="n"/>
      <c r="H28" s="750" t="n"/>
      <c r="I28" s="750" t="n"/>
      <c r="J28" s="751" t="n"/>
    </row>
    <row r="29" ht="15.75" customHeight="1" s="690">
      <c r="B29" s="765" t="inlineStr">
        <is>
          <t xml:space="preserve">Other Consumer </t>
        </is>
      </c>
      <c r="C29" s="750" t="n"/>
      <c r="D29" s="751" t="n"/>
      <c r="E29" s="79" t="n">
        <v>0</v>
      </c>
      <c r="F29" s="770" t="n"/>
      <c r="G29" s="750" t="n"/>
      <c r="H29" s="750" t="n"/>
      <c r="I29" s="750" t="n"/>
      <c r="J29" s="751" t="n"/>
    </row>
    <row r="30" ht="15.75" customHeight="1" s="690">
      <c r="B30" s="765" t="inlineStr">
        <is>
          <t xml:space="preserve">Other Consumer </t>
        </is>
      </c>
      <c r="C30" s="750" t="n"/>
      <c r="D30" s="751" t="n"/>
      <c r="E30" s="79" t="n">
        <v>0</v>
      </c>
      <c r="F30" s="770" t="n"/>
      <c r="G30" s="750" t="n"/>
      <c r="H30" s="750" t="n"/>
      <c r="I30" s="750" t="n"/>
      <c r="J30" s="751" t="n"/>
    </row>
    <row r="31" ht="15.75" customHeight="1" s="690">
      <c r="B31" s="765" t="inlineStr">
        <is>
          <t xml:space="preserve">Other Consumer </t>
        </is>
      </c>
      <c r="C31" s="750" t="n"/>
      <c r="D31" s="751" t="n"/>
      <c r="E31" s="79" t="n">
        <v>0</v>
      </c>
      <c r="F31" s="770" t="n"/>
      <c r="G31" s="750" t="n"/>
      <c r="H31" s="750" t="n"/>
      <c r="I31" s="750" t="n"/>
      <c r="J31" s="751" t="n"/>
    </row>
    <row r="32" ht="15.75" customHeight="1" s="690">
      <c r="B32" s="765" t="inlineStr">
        <is>
          <t xml:space="preserve">Other Consumer </t>
        </is>
      </c>
      <c r="C32" s="750" t="n"/>
      <c r="D32" s="751" t="n"/>
      <c r="E32" s="79" t="n">
        <v>0</v>
      </c>
      <c r="F32" s="770" t="n"/>
      <c r="G32" s="750" t="n"/>
      <c r="H32" s="750" t="n"/>
      <c r="I32" s="750" t="n"/>
      <c r="J32" s="751" t="n"/>
    </row>
    <row r="33" ht="15.75" customHeight="1" s="690">
      <c r="B33" s="765" t="inlineStr">
        <is>
          <t xml:space="preserve">Other Consumer </t>
        </is>
      </c>
      <c r="C33" s="750" t="n"/>
      <c r="D33" s="751" t="n"/>
      <c r="E33" s="79" t="n">
        <v>0</v>
      </c>
      <c r="F33" s="770" t="n"/>
      <c r="G33" s="750" t="n"/>
      <c r="H33" s="750" t="n"/>
      <c r="I33" s="750" t="n"/>
      <c r="J33" s="751" t="n"/>
    </row>
    <row r="34" ht="15.75" customHeight="1" s="690">
      <c r="B34" s="765" t="inlineStr">
        <is>
          <t xml:space="preserve">Other Consumer </t>
        </is>
      </c>
      <c r="C34" s="750" t="n"/>
      <c r="D34" s="751" t="n"/>
      <c r="E34" s="79" t="n">
        <v>0</v>
      </c>
      <c r="F34" s="770" t="n"/>
      <c r="G34" s="750" t="n"/>
      <c r="H34" s="750" t="n"/>
      <c r="I34" s="750" t="n"/>
      <c r="J34" s="751" t="n"/>
    </row>
    <row r="35" ht="18" customHeight="1" s="690">
      <c r="B35" s="765" t="inlineStr">
        <is>
          <t>Additional Segments (1)</t>
        </is>
      </c>
      <c r="C35" s="750" t="n"/>
      <c r="D35" s="751" t="n"/>
      <c r="E35" s="79" t="n">
        <v>0</v>
      </c>
      <c r="F35" s="770" t="n"/>
      <c r="G35" s="750" t="n"/>
      <c r="H35" s="750" t="n"/>
      <c r="I35" s="750" t="n"/>
      <c r="J35" s="751" t="n"/>
    </row>
    <row r="36" ht="15.75" customHeight="1" s="690">
      <c r="B36" s="57" t="n"/>
      <c r="C36" s="57" t="n"/>
      <c r="D36" s="57" t="n"/>
      <c r="E36" s="57" t="n"/>
      <c r="F36" s="57" t="n"/>
      <c r="G36" s="57" t="n"/>
      <c r="H36" s="57" t="n"/>
      <c r="I36" s="57" t="n"/>
      <c r="J36" s="57" t="n"/>
    </row>
    <row r="37" ht="16.5" customHeight="1" s="690" thickBot="1">
      <c r="B37" s="53" t="inlineStr">
        <is>
          <t>Additional Narrative:</t>
        </is>
      </c>
      <c r="C37" s="57" t="n"/>
      <c r="D37" s="57" t="n"/>
      <c r="E37" s="57" t="n"/>
      <c r="F37" s="57" t="n"/>
      <c r="G37" s="57" t="n"/>
      <c r="H37" s="57" t="n"/>
      <c r="I37" s="57" t="n"/>
      <c r="J37" s="57" t="n"/>
    </row>
    <row r="38" ht="81" customHeight="1" s="690" thickBot="1">
      <c r="B38" s="769" t="inlineStr">
        <is>
          <t xml:space="preserve">[Enter additional explanatory narrative if warranted] </t>
        </is>
      </c>
      <c r="C38" s="700" t="n"/>
      <c r="D38" s="700" t="n"/>
      <c r="E38" s="700" t="n"/>
      <c r="F38" s="700" t="n"/>
      <c r="G38" s="700" t="n"/>
      <c r="H38" s="700" t="n"/>
      <c r="I38" s="700" t="n"/>
      <c r="J38" s="701" t="n"/>
    </row>
    <row r="40" ht="28.9" customHeight="1" s="690">
      <c r="B40" s="778" t="inlineStr">
        <is>
          <t>(1) Segmenting the portfolio by Call Report category may be sufficient, but more granular segments may be desired/necessary based on each individual institution's portfolio and credit risk management practices.</t>
        </is>
      </c>
      <c r="K40" s="695" t="n"/>
      <c r="L40" s="695" t="n"/>
      <c r="M40" s="695" t="n"/>
      <c r="N40" s="695" t="n"/>
      <c r="O40" s="695" t="n"/>
      <c r="P40" s="695" t="n"/>
      <c r="Q40" s="695" t="n"/>
      <c r="R40" s="695" t="n"/>
    </row>
    <row r="41" ht="15.75" customHeight="1" s="690" thickBot="1"/>
    <row r="42">
      <c r="B42" s="755" t="inlineStr">
        <is>
          <t>Cell Key:</t>
        </is>
      </c>
      <c r="C42" s="678" t="n"/>
      <c r="D42" s="678" t="n"/>
      <c r="E42" s="678" t="n"/>
      <c r="F42" s="678" t="n"/>
      <c r="G42" s="678" t="n"/>
      <c r="H42" s="679" t="n"/>
    </row>
    <row r="43">
      <c r="B43" s="16" t="inlineStr">
        <is>
          <t>Indicates the cell is a formula or a reference.  Do not edit these cells.</t>
        </is>
      </c>
      <c r="C43" s="14" t="n"/>
      <c r="D43" s="14" t="n"/>
      <c r="E43" s="14" t="n"/>
      <c r="F43" s="14" t="n"/>
      <c r="G43" s="14" t="n"/>
      <c r="H43" s="48" t="inlineStr">
        <is>
          <t>$XXX.XX</t>
        </is>
      </c>
    </row>
    <row r="44" ht="15.75" customHeight="1" s="690"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F21:J21"/>
    <mergeCell ref="B19:J19"/>
    <mergeCell ref="B10:J10"/>
    <mergeCell ref="F24:J24"/>
    <mergeCell ref="B40:J40"/>
    <mergeCell ref="B9:J9"/>
    <mergeCell ref="F33:J33"/>
    <mergeCell ref="B30:D30"/>
    <mergeCell ref="F35:J35"/>
    <mergeCell ref="F32:J32"/>
    <mergeCell ref="B24:D24"/>
    <mergeCell ref="F26:J26"/>
    <mergeCell ref="B33:D33"/>
    <mergeCell ref="B15:J15"/>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90" min="1" max="1"/>
    <col width="54.7109375" bestFit="1" customWidth="1" style="690" min="2" max="2"/>
    <col width="5" customWidth="1" style="690" min="3" max="3"/>
    <col width="19.140625" bestFit="1" customWidth="1" style="690" min="4" max="4"/>
    <col width="5" customWidth="1" style="690" min="5" max="5"/>
    <col width="13.85546875" customWidth="1" style="690" min="6" max="6"/>
    <col width="5" customWidth="1" style="690" min="7" max="7"/>
    <col width="14.5703125" customWidth="1" style="690" min="8" max="8"/>
    <col width="5.140625" customWidth="1" style="690" min="9" max="9"/>
    <col width="19.140625" customWidth="1" style="690" min="10" max="10"/>
    <col width="5.42578125" customWidth="1" style="690" min="11" max="11"/>
    <col width="14" customWidth="1" style="690" min="12" max="12"/>
    <col width="5" customWidth="1" style="690" min="13" max="13"/>
    <col width="13.85546875" customWidth="1" style="690" min="14" max="14"/>
    <col width="5" customWidth="1" style="690" min="15" max="15"/>
    <col width="17.28515625" customWidth="1" style="690" min="16" max="16"/>
    <col width="5.42578125" customWidth="1" style="690" min="17" max="17"/>
    <col width="14" customWidth="1" style="690" min="18" max="18"/>
    <col width="8.140625" bestFit="1" customWidth="1" style="690" min="19" max="19"/>
    <col width="5" customWidth="1" style="690" min="20" max="20"/>
    <col width="17.28515625" customWidth="1" style="690" min="21" max="21"/>
    <col width="3.7109375" customWidth="1" style="690" min="22" max="22"/>
    <col width="15.7109375" customWidth="1" style="690" min="23" max="23"/>
    <col width="13.140625" customWidth="1" style="690" min="25" max="25"/>
    <col width="2.140625" customWidth="1" style="690" min="26" max="26"/>
  </cols>
  <sheetData>
    <row r="1" ht="21" customHeight="1" s="690">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90">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90">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90">
      <c r="B4" s="199" t="inlineStr">
        <is>
          <t>Charter Number</t>
        </is>
      </c>
      <c r="C4" s="199" t="n"/>
      <c r="D4" s="694">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90"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90"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700" t="n"/>
      <c r="D6" s="700" t="n"/>
      <c r="E6" s="700" t="n"/>
      <c r="F6" s="700" t="n"/>
      <c r="G6" s="700" t="n"/>
      <c r="H6" s="700" t="n"/>
      <c r="I6" s="700" t="n"/>
      <c r="J6" s="700" t="n"/>
      <c r="K6" s="700" t="n"/>
      <c r="L6" s="700" t="n"/>
      <c r="M6" s="700" t="n"/>
      <c r="N6" s="700" t="n"/>
      <c r="O6" s="700" t="n"/>
      <c r="P6" s="700" t="n"/>
      <c r="Q6" s="700" t="n"/>
      <c r="R6" s="700" t="n"/>
      <c r="S6" s="700" t="n"/>
      <c r="T6" s="700" t="n"/>
      <c r="U6" s="701" t="n"/>
    </row>
    <row r="7" ht="9" customHeight="1" s="690"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90"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700" t="n"/>
      <c r="D8" s="700" t="n"/>
      <c r="E8" s="700" t="n"/>
      <c r="F8" s="700" t="n"/>
      <c r="G8" s="700" t="n"/>
      <c r="H8" s="700" t="n"/>
      <c r="I8" s="700" t="n"/>
      <c r="J8" s="700" t="n"/>
      <c r="K8" s="700" t="n"/>
      <c r="L8" s="700" t="n"/>
      <c r="M8" s="700" t="n"/>
      <c r="N8" s="700" t="n"/>
      <c r="O8" s="700" t="n"/>
      <c r="P8" s="700" t="n"/>
      <c r="Q8" s="700" t="n"/>
      <c r="R8" s="700" t="n"/>
      <c r="S8" s="700" t="n"/>
      <c r="T8" s="700" t="n"/>
      <c r="U8" s="701" t="n"/>
    </row>
    <row r="9" ht="9" customHeight="1" s="690"/>
    <row r="10" ht="48" customHeight="1" s="690">
      <c r="D10" s="191" t="n"/>
      <c r="E10" s="68" t="n"/>
      <c r="F10" s="69" t="n"/>
      <c r="G10" s="68" t="n"/>
      <c r="H10" s="68" t="n"/>
      <c r="I10" s="200" t="n"/>
      <c r="J10" s="200" t="n"/>
      <c r="K10" s="200" t="n"/>
    </row>
    <row r="11" ht="18.75" customHeight="1" s="690">
      <c r="D11" s="55" t="n"/>
      <c r="E11" s="54" t="n"/>
      <c r="F11" s="54" t="n"/>
      <c r="G11" s="54" t="n"/>
      <c r="H11" s="54" t="n"/>
      <c r="I11" s="54" t="n"/>
      <c r="J11" s="55" t="n"/>
    </row>
    <row r="12" ht="16.5" customHeight="1" s="690"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90"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Data'!AZ145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Data'!AZ146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Data'!AZ147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Data'!AZ149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Data'!AZ150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Data'!AZ153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Data'!AZ154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Data'!AZ151</f>
        <v/>
      </c>
      <c r="M21" s="40" t="inlineStr">
        <is>
          <t>=</t>
        </is>
      </c>
      <c r="N21" s="43">
        <f>J21+L21</f>
        <v/>
      </c>
      <c r="O21" s="36" t="n"/>
      <c r="P21" s="41">
        <f>H21*N21</f>
        <v/>
      </c>
      <c r="Q21" s="23" t="inlineStr">
        <is>
          <t>+/-</t>
        </is>
      </c>
      <c r="R21" s="43">
        <f>'Env Factor by Pool'!I65</f>
        <v/>
      </c>
      <c r="S21" s="23" t="n"/>
      <c r="T21" s="36" t="n"/>
      <c r="U21" s="41">
        <f>P21+(P21*R21)</f>
        <v/>
      </c>
    </row>
    <row r="22" ht="16.5" customHeight="1" s="690"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Data'!AZ155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90"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90"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90">
      <c r="C26" s="36" t="n"/>
      <c r="D26" s="36" t="n"/>
      <c r="E26" s="36" t="n"/>
      <c r="I26" s="36" t="n"/>
      <c r="O26" s="36" t="n"/>
      <c r="P26" s="75" t="inlineStr">
        <is>
          <t xml:space="preserve">Management Adjustment for Historical Loss Experience </t>
        </is>
      </c>
      <c r="Q26" s="56" t="n"/>
      <c r="R26" s="36" t="n"/>
      <c r="S26" s="43">
        <f>'Historical Data'!AZ159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90">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Data'!AZ177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2026-05-27T15:39:25Z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