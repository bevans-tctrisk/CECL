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7" activeTab="7" autoFilterDateGrouping="1"/>
  </bookViews>
  <sheets>
    <sheet xmlns:r="http://schemas.openxmlformats.org/officeDocument/2006/relationships" name="Cover" sheetId="1" state="visible" r:id="rId1"/>
    <sheet xmlns:r="http://schemas.openxmlformats.org/officeDocument/2006/relationships" name="Introduction" sheetId="2" state="visible" r:id="rId2"/>
    <sheet xmlns:r="http://schemas.openxmlformats.org/officeDocument/2006/relationships" name="Scale Calculation" sheetId="3" state="visible" r:id="rId3"/>
    <sheet xmlns:r="http://schemas.openxmlformats.org/officeDocument/2006/relationships" name="Env Factor by Pool" sheetId="4" state="visible" r:id="rId4"/>
    <sheet xmlns:r="http://schemas.openxmlformats.org/officeDocument/2006/relationships" name="Environmental Factor Ranges" sheetId="5" state="visible" r:id="rId5"/>
    <sheet xmlns:r="http://schemas.openxmlformats.org/officeDocument/2006/relationships" name=" Impaired Loans ASC 310-10" sheetId="6" state="visible" r:id="rId6"/>
    <sheet xmlns:r="http://schemas.openxmlformats.org/officeDocument/2006/relationships" name="Calc tab" sheetId="7" state="visible" r:id="rId7"/>
    <sheet xmlns:r="http://schemas.openxmlformats.org/officeDocument/2006/relationships" name="Cover-Vizo" sheetId="8" state="visible" r:id="rId8"/>
    <sheet xmlns:r="http://schemas.openxmlformats.org/officeDocument/2006/relationships" name="Executive Summary-Vizo" sheetId="9" state="visible" r:id="rId9"/>
    <sheet xmlns:r="http://schemas.openxmlformats.org/officeDocument/2006/relationships" name="Scale Calculation-Vizo" sheetId="10" state="visible" r:id="rId10"/>
    <sheet xmlns:r="http://schemas.openxmlformats.org/officeDocument/2006/relationships" name=" Impaired Loans-Vizo" sheetId="11" state="visible" r:id="rId11"/>
    <sheet xmlns:r="http://schemas.openxmlformats.org/officeDocument/2006/relationships" name="Historical Summary" sheetId="12" state="visible" r:id="rId12"/>
    <sheet xmlns:r="http://schemas.openxmlformats.org/officeDocument/2006/relationships" name="Env Factor by Pool-Vizo" sheetId="13" state="visible" r:id="rId13"/>
    <sheet xmlns:r="http://schemas.openxmlformats.org/officeDocument/2006/relationships" name="Envir Factor Ranges-Vizo" sheetId="14" state="hidden" r:id="rId14"/>
    <sheet xmlns:r="http://schemas.openxmlformats.org/officeDocument/2006/relationships" name="Change Analysis" sheetId="15" state="visible" r:id="rId15"/>
    <sheet xmlns:r="http://schemas.openxmlformats.org/officeDocument/2006/relationships" name="New Report Calc-Vizo" sheetId="16" state="visible" r:id="rId16"/>
    <sheet xmlns:r="http://schemas.openxmlformats.org/officeDocument/2006/relationships" name="Appendix-Vizo" sheetId="17" state="visible" r:id="rId17"/>
    <sheet xmlns:r="http://schemas.openxmlformats.org/officeDocument/2006/relationships" name="Appendix 2-Vizo" sheetId="18" state="visible" r:id="rId18"/>
    <sheet xmlns:r="http://schemas.openxmlformats.org/officeDocument/2006/relationships" name="Management Adjustment" sheetId="19" state="visible" r:id="rId19"/>
    <sheet xmlns:r="http://schemas.openxmlformats.org/officeDocument/2006/relationships" name="Historical Data" sheetId="20" state="visible" r:id="rId20"/>
    <sheet xmlns:r="http://schemas.openxmlformats.org/officeDocument/2006/relationships" name="Industry Data" sheetId="21" state="visible" r:id="rId21"/>
    <sheet xmlns:r="http://schemas.openxmlformats.org/officeDocument/2006/relationships" name="DNU Background" sheetId="22" state="hidden" r:id="rId22"/>
    <sheet xmlns:r="http://schemas.openxmlformats.org/officeDocument/2006/relationships" name="DNU Tab 4 - Adj. to Loss Rate" sheetId="23" state="hidden" r:id="rId23"/>
    <sheet xmlns:r="http://schemas.openxmlformats.org/officeDocument/2006/relationships" name="DNU Tab 2 - Individually Assess" sheetId="24" state="hidden" r:id="rId24"/>
    <sheet xmlns:r="http://schemas.openxmlformats.org/officeDocument/2006/relationships" name="DNU Tab 3 - Qualitative Adj" sheetId="25" state="hidden" r:id="rId25"/>
    <sheet xmlns:r="http://schemas.openxmlformats.org/officeDocument/2006/relationships" name="DNU Scale Org" sheetId="26" state="hidden" r:id="rId26"/>
  </sheets>
  <definedNames>
    <definedName name="_xlnm.Database">#REF!</definedName>
    <definedName name="_xlnm.Print_Area" localSheetId="2">'Scale Calculation'!$A$1:$W$78</definedName>
    <definedName name="_xlnm.Database" localSheetId="3">#REF!</definedName>
    <definedName name="_xlnm.Print_Area" localSheetId="3">'Env Factor by Pool'!$B$1:$F$163</definedName>
    <definedName name="_xlnm.Print_Titles" localSheetId="4">'Environmental Factor Ranges'!$2:$4</definedName>
    <definedName name="_xlnm.Print_Area" localSheetId="4">'Environmental Factor Ranges'!$A$1:$H$50</definedName>
    <definedName name="_xlnm.Database" localSheetId="5">#REF!</definedName>
    <definedName name="_xlnm._FilterDatabase" localSheetId="5" hidden="1">' Impaired Loans ASC 310-10'!$A$27:$Q$412</definedName>
    <definedName name="_xlnm.Print_Area" localSheetId="5">' Impaired Loans ASC 310-10'!$A$1:$Q$98</definedName>
    <definedName name="_xlnm.Print_Titles" localSheetId="6">'Calc tab'!$A:$A</definedName>
    <definedName name="_xlnm.Print_Area" localSheetId="6">'Calc tab'!$A$6:$AI$104</definedName>
    <definedName name="_xlnm.Print_Area" localSheetId="7">'Cover-Vizo'!$A$1:$G$32</definedName>
    <definedName name="_xlnm.Print_Area" localSheetId="8">'Executive Summary-Vizo'!$A$1:$D$25</definedName>
    <definedName name="_xlnm.Print_Area" localSheetId="9">'Scale Calculation-Vizo'!$A$1:$U$60</definedName>
    <definedName name="_xlnm.Database" localSheetId="10">#REF!</definedName>
    <definedName name="_xlnm._FilterDatabase" localSheetId="10" hidden="1">' Impaired Loans-Vizo'!$A$27:$S$412</definedName>
    <definedName name="_xlnm.Print_Titles" localSheetId="10">' Impaired Loans-Vizo'!$1:$27</definedName>
    <definedName name="_xlnm.Print_Area" localSheetId="10">' Impaired Loans-Vizo'!$A$1:$X$70</definedName>
    <definedName name="_xlnm.Print_Area" localSheetId="11">'Historical Summary'!$A$2:$E$53</definedName>
    <definedName name="_xlnm.Print_Area" localSheetId="12">'Env Factor by Pool-Vizo'!$B$1:$G$54</definedName>
    <definedName name="_xlnm.Print_Titles" localSheetId="13">'Envir Factor Ranges-Vizo'!$1:$2</definedName>
    <definedName name="_xlnm.Print_Area" localSheetId="13">'Envir Factor Ranges-Vizo'!$A$1:$G$22</definedName>
    <definedName name="_xlnm.Print_Titles" localSheetId="15">'New Report Calc-Vizo'!$A:$A</definedName>
    <definedName name="_xlnm.Print_Area" localSheetId="15">'New Report Calc-Vizo'!$A$6:$AI$108</definedName>
    <definedName name="_xlnm.Print_Area" localSheetId="17">'Appendix 2-Vizo'!$A$1:$A$50</definedName>
    <definedName name="_xlnm.Print_Area" localSheetId="22">'DNU Tab 4 - Adj. to Loss Rate'!$B$2:$J$38</definedName>
    <definedName name="_xlnm.Print_Area" localSheetId="23">'DNU Tab 2 - Individually Assess'!$B$1:$O$32</definedName>
    <definedName name="_xlnm.Print_Area" localSheetId="24">'DNU Tab 3 - Qualitative Adj'!$B$1:$J$44</definedName>
    <definedName name="_xlnm.Print_Area" localSheetId="25">'DNU Scale Org'!$B$1:$U$35</definedName>
  </definedNames>
  <calcPr calcId="191029" fullCalcOnLoad="1"/>
</workbook>
</file>

<file path=xl/styles.xml><?xml version="1.0" encoding="utf-8"?>
<styleSheet xmlns="http://schemas.openxmlformats.org/spreadsheetml/2006/main">
  <numFmts count="7">
    <numFmt numFmtId="164" formatCode="_(&quot;$&quot;* #,##0_);_(&quot;$&quot;* \(#,##0\);_(&quot;$&quot;* &quot;-&quot;??_);_(@_)"/>
    <numFmt numFmtId="165" formatCode="_(* #,##0.0000_);_(* \(#,##0.0000\);_(* &quot;-&quot;??_);_(@_)"/>
    <numFmt numFmtId="166" formatCode="0.0000%"/>
    <numFmt numFmtId="167" formatCode="0.000%"/>
    <numFmt numFmtId="168" formatCode="&quot;$&quot;#,##0"/>
    <numFmt numFmtId="169" formatCode="_(&quot;$&quot;* #,##0.00_);_(&quot;$&quot;* \(#,##0.00\);_(&quot;$&quot;* &quot;-&quot;??_);_(@_)"/>
    <numFmt numFmtId="170" formatCode="_(* #,##0_);_(* \(#,##0\);_(* &quot;-&quot;??_);_(@_)"/>
  </numFmts>
  <fonts count="80">
    <font>
      <name val="Calibri"/>
      <family val="2"/>
      <color theme="1"/>
      <sz val="11"/>
      <scheme val="minor"/>
    </font>
    <font>
      <name val="Calibri"/>
      <family val="2"/>
      <color theme="1"/>
      <sz val="11"/>
      <scheme val="minor"/>
    </font>
    <font>
      <name val="Calibri"/>
      <family val="2"/>
      <b val="1"/>
      <color theme="1"/>
      <sz val="11"/>
      <scheme val="minor"/>
    </font>
    <font>
      <name val="Calibri"/>
      <family val="2"/>
      <b val="1"/>
      <color theme="1"/>
      <sz val="11"/>
      <u val="single"/>
      <scheme val="minor"/>
    </font>
    <font>
      <name val="Calibri"/>
      <family val="2"/>
      <b val="1"/>
      <color rgb="FFFA7D00"/>
      <sz val="11"/>
      <scheme val="minor"/>
    </font>
    <font>
      <name val="Calibri"/>
      <family val="2"/>
      <b val="1"/>
      <sz val="11"/>
      <scheme val="minor"/>
    </font>
    <font>
      <name val="Calibri"/>
      <family val="2"/>
      <b val="1"/>
      <color theme="1"/>
      <sz val="16"/>
      <scheme val="minor"/>
    </font>
    <font>
      <name val="Calibri"/>
      <family val="2"/>
      <color rgb="FFFF0000"/>
      <sz val="11"/>
      <scheme val="minor"/>
    </font>
    <font>
      <name val="Calibri"/>
      <family val="2"/>
      <sz val="11"/>
      <scheme val="minor"/>
    </font>
    <font>
      <name val="Arial"/>
      <family val="2"/>
      <sz val="10"/>
    </font>
    <font>
      <name val="Calibri"/>
      <family val="2"/>
      <color theme="1"/>
      <sz val="12"/>
      <scheme val="minor"/>
    </font>
    <font>
      <name val="Calibri"/>
      <family val="2"/>
      <sz val="11"/>
      <u val="single"/>
      <scheme val="minor"/>
    </font>
    <font>
      <name val="Calibri"/>
      <family val="2"/>
      <b val="1"/>
      <color theme="1"/>
      <sz val="12"/>
      <scheme val="minor"/>
    </font>
    <font>
      <name val="Calibri"/>
      <family val="2"/>
      <b val="1"/>
      <color rgb="FFFF0000"/>
      <sz val="14"/>
      <scheme val="minor"/>
    </font>
    <font>
      <name val="Calibri"/>
      <family val="2"/>
      <b val="1"/>
      <color rgb="FFFF0000"/>
      <sz val="14"/>
    </font>
    <font>
      <name val="Calibri"/>
      <family val="2"/>
      <b val="1"/>
      <sz val="12"/>
      <scheme val="minor"/>
    </font>
    <font>
      <name val="Calibri"/>
      <family val="2"/>
      <i val="1"/>
      <color theme="1"/>
      <sz val="12"/>
      <scheme val="minor"/>
    </font>
    <font>
      <name val="Calibri"/>
      <family val="2"/>
      <b val="1"/>
      <color theme="0"/>
      <sz val="14"/>
      <scheme val="minor"/>
    </font>
    <font>
      <name val="Calibri"/>
      <family val="2"/>
      <color rgb="FF000000"/>
      <sz val="11"/>
      <u val="single"/>
      <scheme val="minor"/>
    </font>
    <font>
      <name val="Calibri"/>
      <family val="2"/>
      <b val="1"/>
      <color rgb="FFFF0000"/>
      <sz val="12"/>
      <scheme val="minor"/>
    </font>
    <font>
      <name val="Calibri"/>
      <family val="2"/>
      <color theme="1"/>
      <sz val="9"/>
      <scheme val="minor"/>
    </font>
    <font>
      <name val="Calibri"/>
      <family val="2"/>
      <b val="1"/>
      <color rgb="FFFF0000"/>
      <sz val="11"/>
      <scheme val="minor"/>
    </font>
    <font>
      <name val="Calibri"/>
      <family val="2"/>
      <b val="1"/>
      <color theme="0"/>
      <sz val="12"/>
      <scheme val="minor"/>
    </font>
    <font>
      <name val="Calibri"/>
      <family val="2"/>
      <color rgb="FFFF0000"/>
      <sz val="12"/>
      <scheme val="minor"/>
    </font>
    <font>
      <name val="Arial"/>
      <family val="2"/>
      <b val="1"/>
      <sz val="10"/>
    </font>
    <font>
      <name val="Arial"/>
      <family val="2"/>
      <b val="1"/>
      <sz val="12"/>
    </font>
    <font>
      <name val="Arial"/>
      <family val="2"/>
      <b val="1"/>
      <color rgb="FFFF0000"/>
      <sz val="10"/>
    </font>
    <font>
      <name val="Arial"/>
      <family val="2"/>
      <b val="1"/>
      <sz val="18"/>
    </font>
    <font>
      <name val="Arial"/>
      <family val="2"/>
      <b val="1"/>
      <sz val="14"/>
    </font>
    <font>
      <name val="Arial"/>
      <family val="2"/>
      <b val="1"/>
      <sz val="11"/>
    </font>
    <font>
      <name val="Arial"/>
      <family val="2"/>
      <color theme="10"/>
      <sz val="10"/>
      <u val="single"/>
    </font>
    <font>
      <name val="Arial"/>
      <family val="2"/>
      <sz val="11"/>
    </font>
    <font>
      <name val="Arial"/>
      <family val="2"/>
      <sz val="8"/>
    </font>
    <font>
      <name val="Arial"/>
      <family val="2"/>
      <color rgb="FFFF0000"/>
      <sz val="10"/>
    </font>
    <font>
      <name val="Arial"/>
      <family val="2"/>
      <b val="1"/>
      <color rgb="FFFF0000"/>
      <sz val="11"/>
    </font>
    <font>
      <name val="Arial"/>
      <family val="2"/>
      <color rgb="FFFF0000"/>
      <sz val="11"/>
    </font>
    <font>
      <name val="Arial"/>
      <family val="2"/>
      <color rgb="FFFF0000"/>
      <sz val="8"/>
    </font>
    <font>
      <name val="Arial"/>
      <family val="2"/>
      <b val="1"/>
      <color rgb="FFFF0000"/>
      <sz val="14"/>
    </font>
    <font>
      <name val="Arial"/>
      <family val="2"/>
      <b val="1"/>
      <color rgb="FFFF0000"/>
      <sz val="12"/>
    </font>
    <font>
      <name val="Arial"/>
      <family val="2"/>
      <sz val="10"/>
    </font>
    <font>
      <name val="Arial"/>
      <family val="2"/>
      <b val="1"/>
      <sz val="35"/>
    </font>
    <font>
      <name val="Arial"/>
      <family val="2"/>
      <b val="1"/>
      <sz val="28"/>
    </font>
    <font>
      <name val="Arial"/>
      <family val="2"/>
      <sz val="18"/>
    </font>
    <font>
      <name val="Arial"/>
      <family val="2"/>
      <b val="1"/>
      <sz val="26"/>
    </font>
    <font>
      <name val="Times New Roman"/>
      <family val="1"/>
      <sz val="8"/>
    </font>
    <font>
      <name val="Arial"/>
      <family val="2"/>
      <b val="1"/>
      <sz val="16"/>
    </font>
    <font>
      <name val="Arial"/>
      <family val="2"/>
      <sz val="12"/>
    </font>
    <font>
      <name val="Times New Roman"/>
      <family val="1"/>
      <color theme="1"/>
      <sz val="12"/>
    </font>
    <font>
      <name val="Aptos"/>
      <family val="2"/>
      <color theme="1"/>
      <sz val="12"/>
    </font>
    <font>
      <name val="Calibri"/>
      <family val="2"/>
      <b val="1"/>
      <color theme="0"/>
      <sz val="11"/>
      <scheme val="minor"/>
    </font>
    <font>
      <name val="Calibri"/>
      <family val="2"/>
      <b val="1"/>
      <sz val="35"/>
    </font>
    <font>
      <name val="Calibri"/>
      <family val="2"/>
      <sz val="10"/>
    </font>
    <font>
      <name val="Calibri"/>
      <family val="2"/>
      <b val="1"/>
      <sz val="28"/>
    </font>
    <font>
      <name val="Calibri"/>
      <family val="2"/>
      <color theme="1"/>
      <sz val="12"/>
    </font>
    <font>
      <name val="Calibri"/>
      <family val="2"/>
      <sz val="18"/>
    </font>
    <font>
      <name val="Calibri"/>
      <family val="2"/>
      <sz val="26"/>
    </font>
    <font>
      <name val="Calibri"/>
      <family val="2"/>
      <b val="1"/>
      <sz val="26"/>
    </font>
    <font>
      <name val="Calibri"/>
      <family val="2"/>
      <b val="1"/>
      <sz val="14"/>
    </font>
    <font>
      <name val="Calibri"/>
      <family val="2"/>
      <sz val="9"/>
    </font>
    <font>
      <name val="Calibri"/>
      <family val="2"/>
      <sz val="8"/>
    </font>
    <font>
      <name val="Calibri"/>
      <family val="2"/>
      <sz val="10"/>
      <scheme val="minor"/>
    </font>
    <font>
      <name val="Calibri"/>
      <family val="2"/>
      <b val="1"/>
      <sz val="14"/>
      <scheme val="minor"/>
    </font>
    <font>
      <name val="Calibri"/>
      <family val="2"/>
      <color rgb="FFFF0000"/>
      <sz val="10"/>
      <scheme val="minor"/>
    </font>
    <font>
      <name val="Calibri"/>
      <family val="2"/>
      <b val="1"/>
      <sz val="10"/>
      <scheme val="minor"/>
    </font>
    <font>
      <name val="Calibri"/>
      <family val="2"/>
      <b val="1"/>
      <sz val="18"/>
      <scheme val="minor"/>
    </font>
    <font>
      <name val="Calibri"/>
      <family val="2"/>
      <color theme="10"/>
      <sz val="10"/>
      <u val="single"/>
      <scheme val="minor"/>
    </font>
    <font>
      <name val="Calibri"/>
      <family val="2"/>
      <b val="1"/>
      <color theme="0"/>
      <sz val="10"/>
      <scheme val="minor"/>
    </font>
    <font>
      <name val="Calibri"/>
      <family val="2"/>
      <b val="1"/>
      <color theme="0"/>
      <sz val="16"/>
      <scheme val="minor"/>
    </font>
    <font>
      <name val="Calibri"/>
      <family val="2"/>
      <b val="1"/>
      <sz val="16"/>
      <scheme val="minor"/>
    </font>
    <font>
      <name val="Calibri"/>
      <family val="2"/>
      <b val="1"/>
      <color theme="1"/>
      <sz val="18"/>
      <scheme val="minor"/>
    </font>
    <font>
      <name val="Calibri"/>
      <family val="2"/>
      <b val="1"/>
      <color theme="1"/>
      <sz val="14"/>
      <scheme val="minor"/>
    </font>
    <font>
      <name val="Calibri"/>
      <family val="2"/>
      <b val="1"/>
      <sz val="10"/>
    </font>
    <font>
      <name val="Calibri"/>
      <family val="2"/>
      <color theme="1"/>
      <sz val="14"/>
      <scheme val="minor"/>
    </font>
    <font>
      <name val="Calibri"/>
      <family val="2"/>
      <b val="1"/>
      <color rgb="FF000000"/>
      <sz val="12"/>
      <scheme val="minor"/>
    </font>
    <font>
      <name val="Calibri"/>
      <family val="2"/>
      <sz val="12"/>
      <scheme val="minor"/>
    </font>
    <font>
      <name val="Calibri"/>
      <family val="2"/>
      <b val="1"/>
      <color rgb="FFFF0000"/>
      <sz val="10"/>
      <scheme val="minor"/>
    </font>
    <font>
      <name val="Calibri"/>
      <family val="2"/>
      <color theme="1"/>
      <sz val="18"/>
      <scheme val="minor"/>
    </font>
    <font>
      <name val="Calibri"/>
      <family val="2"/>
      <sz val="36"/>
    </font>
    <font>
      <name val="Calibri"/>
      <family val="2"/>
      <sz val="22"/>
    </font>
    <font>
      <name val="Calibri"/>
      <family val="2"/>
      <color theme="1"/>
      <sz val="16"/>
      <scheme val="minor"/>
    </font>
  </fonts>
  <fills count="13">
    <fill>
      <patternFill/>
    </fill>
    <fill>
      <patternFill patternType="gray125"/>
    </fill>
    <fill>
      <patternFill patternType="solid">
        <fgColor theme="0" tint="-0.1499984740745262"/>
        <bgColor indexed="64"/>
      </patternFill>
    </fill>
    <fill>
      <patternFill patternType="solid">
        <fgColor rgb="FFF2F2F2"/>
      </patternFill>
    </fill>
    <fill>
      <patternFill patternType="solid">
        <fgColor theme="7" tint="0.7999816888943144"/>
        <bgColor indexed="64"/>
      </patternFill>
    </fill>
    <fill>
      <patternFill patternType="solid">
        <fgColor theme="9" tint="0.7999816888943144"/>
        <bgColor indexed="64"/>
      </patternFill>
    </fill>
    <fill>
      <patternFill patternType="solid">
        <fgColor rgb="FFFF0000"/>
        <bgColor indexed="64"/>
      </patternFill>
    </fill>
    <fill>
      <patternFill patternType="solid">
        <fgColor rgb="FFFFFF00"/>
        <bgColor indexed="64"/>
      </patternFill>
    </fill>
    <fill>
      <patternFill patternType="solid">
        <fgColor theme="0" tint="-0.249977111117893"/>
        <bgColor indexed="64"/>
      </patternFill>
    </fill>
    <fill>
      <patternFill patternType="solid">
        <fgColor theme="9" tint="0.3999755851924192"/>
        <bgColor indexed="64"/>
      </patternFill>
    </fill>
    <fill>
      <patternFill patternType="solid">
        <fgColor theme="4"/>
        <bgColor indexed="64"/>
      </patternFill>
    </fill>
    <fill>
      <patternFill patternType="solid">
        <fgColor theme="7" tint="0.3999755851924192"/>
        <bgColor indexed="64"/>
      </patternFill>
    </fill>
    <fill>
      <patternFill patternType="solid">
        <fgColor theme="7" tint="0.5999938962981048"/>
        <bgColor indexed="64"/>
      </patternFill>
    </fill>
  </fills>
  <borders count="68">
    <border>
      <left/>
      <right/>
      <top/>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7F7F7F"/>
      </left>
      <right style="thin">
        <color rgb="FF7F7F7F"/>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7F7F7F"/>
      </left>
      <right style="thin">
        <color rgb="FF7F7F7F"/>
      </right>
      <top/>
      <bottom style="thin">
        <color rgb="FF7F7F7F"/>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double">
        <color indexed="64"/>
      </left>
      <right style="double">
        <color indexed="64"/>
      </right>
      <top style="double">
        <color indexed="64"/>
      </top>
      <bottom style="double">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top style="thin">
        <color indexed="64"/>
      </top>
      <bottom/>
      <diagonal/>
    </border>
    <border>
      <left style="medium">
        <color indexed="64"/>
      </left>
      <right style="thin">
        <color indexed="64"/>
      </right>
      <top/>
      <bottom/>
      <diagonal/>
    </border>
    <border>
      <left style="medium">
        <color indexed="64"/>
      </left>
      <right style="medium">
        <color indexed="64"/>
      </right>
      <top style="medium">
        <color indexed="64"/>
      </top>
      <bottom/>
      <diagonal/>
    </border>
    <border>
      <left/>
      <right style="double">
        <color auto="1"/>
      </right>
      <top/>
      <bottom/>
      <diagonal/>
    </border>
    <border>
      <left style="thin">
        <color indexed="64"/>
      </left>
      <right/>
      <top style="thin">
        <color indexed="64"/>
      </top>
      <bottom/>
      <diagonal/>
    </border>
    <border>
      <left style="thin">
        <color indexed="64"/>
      </left>
      <right/>
      <top/>
      <bottom style="medium">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double">
        <color indexed="64"/>
      </left>
      <right style="double">
        <color indexed="64"/>
      </right>
      <top style="double">
        <color indexed="64"/>
      </top>
      <bottom style="medium">
        <color indexed="64"/>
      </bottom>
      <diagonal/>
    </border>
    <border>
      <left style="thin">
        <color rgb="FF7F7F7F"/>
      </left>
      <right style="thin">
        <color rgb="FF7F7F7F"/>
      </right>
      <top style="thin">
        <color indexed="64"/>
      </top>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rgb="FF7F7F7F"/>
      </left>
      <right style="thin">
        <color rgb="FF7F7F7F"/>
      </right>
      <top style="thin">
        <color rgb="FF7F7F7F"/>
      </top>
      <bottom/>
      <diagonal/>
    </border>
    <border>
      <left style="medium">
        <color indexed="64"/>
      </left>
      <right/>
      <top/>
      <bottom style="thin">
        <color indexed="64"/>
      </bottom>
      <diagonal/>
    </border>
    <border>
      <left style="medium">
        <color indexed="64"/>
      </left>
      <right style="double">
        <color indexed="64"/>
      </right>
      <top/>
      <bottom style="thin">
        <color indexed="64"/>
      </bottom>
      <diagonal/>
    </border>
    <border>
      <left style="double">
        <color indexed="64"/>
      </left>
      <right/>
      <top/>
      <bottom style="thin">
        <color indexed="64"/>
      </bottom>
      <diagonal/>
    </border>
    <border>
      <left/>
      <right/>
      <top style="double">
        <color indexed="64"/>
      </top>
      <bottom style="thin">
        <color indexed="64"/>
      </bottom>
      <diagonal/>
    </border>
    <border>
      <left style="thin">
        <color theme="8" tint="0.5999633777886288"/>
      </left>
      <right style="thin">
        <color theme="8" tint="0.5999633777886288"/>
      </right>
      <top style="thin">
        <color theme="8" tint="0.5999633777886288"/>
      </top>
      <bottom style="thin">
        <color theme="8" tint="0.5999633777886288"/>
      </bottom>
      <diagonal/>
    </border>
    <border>
      <left style="thin">
        <color theme="7"/>
      </left>
      <right style="thin">
        <color theme="7"/>
      </right>
      <top style="thin">
        <color theme="7"/>
      </top>
      <bottom style="thin">
        <color theme="7"/>
      </bottom>
      <diagonal/>
    </border>
    <border>
      <left style="medium">
        <color indexed="64"/>
      </left>
      <right style="medium">
        <color indexed="64"/>
      </right>
      <top style="medium">
        <color indexed="64"/>
      </top>
      <bottom style="thin">
        <color indexed="64"/>
      </bottom>
      <diagonal/>
    </border>
    <border>
      <left/>
      <right style="thin">
        <color indexed="64"/>
      </right>
      <top style="thin">
        <color indexed="64"/>
      </top>
      <bottom/>
      <diagonal/>
    </border>
    <border>
      <left/>
      <right style="thin">
        <color indexed="64"/>
      </right>
      <top style="medium">
        <color indexed="64"/>
      </top>
      <bottom/>
      <diagonal/>
    </border>
  </borders>
  <cellStyleXfs count="18">
    <xf numFmtId="0" fontId="1" fillId="0" borderId="0"/>
    <xf numFmtId="44" fontId="1" fillId="0" borderId="0"/>
    <xf numFmtId="9" fontId="1" fillId="0" borderId="0"/>
    <xf numFmtId="0" fontId="4" fillId="3" borderId="4"/>
    <xf numFmtId="0" fontId="39" fillId="0" borderId="0"/>
    <xf numFmtId="9" fontId="39" fillId="0" borderId="0"/>
    <xf numFmtId="0" fontId="39" fillId="0" borderId="0"/>
    <xf numFmtId="9" fontId="39" fillId="0" borderId="0"/>
    <xf numFmtId="43" fontId="1" fillId="0" borderId="0"/>
    <xf numFmtId="44" fontId="39" fillId="0" borderId="0"/>
    <xf numFmtId="9" fontId="39" fillId="0" borderId="0"/>
    <xf numFmtId="44" fontId="39" fillId="0" borderId="0"/>
    <xf numFmtId="43" fontId="39" fillId="0" borderId="0"/>
    <xf numFmtId="9" fontId="39" fillId="0" borderId="0"/>
    <xf numFmtId="0" fontId="30" fillId="0" borderId="0"/>
    <xf numFmtId="0" fontId="39" fillId="0" borderId="0"/>
    <xf numFmtId="0" fontId="39" fillId="0" borderId="0"/>
    <xf numFmtId="0" fontId="39" fillId="0" borderId="0"/>
  </cellStyleXfs>
  <cellXfs count="972">
    <xf numFmtId="0" fontId="0" fillId="0" borderId="0" pivotButton="0" quotePrefix="0" xfId="0"/>
    <xf numFmtId="0" fontId="2" fillId="0" borderId="0" pivotButton="0" quotePrefix="0" xfId="0"/>
    <xf numFmtId="164" fontId="0" fillId="0" borderId="0" pivotButton="0" quotePrefix="0" xfId="0"/>
    <xf numFmtId="0" fontId="0" fillId="0" borderId="0" applyAlignment="1" pivotButton="0" quotePrefix="0" xfId="0">
      <alignment horizontal="center"/>
    </xf>
    <xf numFmtId="0" fontId="0" fillId="0" borderId="0" applyAlignment="1" pivotButton="0" quotePrefix="0" xfId="0">
      <alignment wrapText="1"/>
    </xf>
    <xf numFmtId="0" fontId="2" fillId="2" borderId="5" applyAlignment="1" pivotButton="0" quotePrefix="0" xfId="0">
      <alignment horizontal="center" vertical="center"/>
    </xf>
    <xf numFmtId="0" fontId="3" fillId="0" borderId="0" applyAlignment="1" pivotButton="0" quotePrefix="0" xfId="0">
      <alignment horizontal="center" vertical="center"/>
    </xf>
    <xf numFmtId="0" fontId="2" fillId="2" borderId="5" applyAlignment="1" pivotButton="0" quotePrefix="0" xfId="0">
      <alignment horizontal="center" vertical="center" wrapText="1"/>
    </xf>
    <xf numFmtId="0" fontId="2" fillId="0" borderId="0" applyAlignment="1" pivotButton="0" quotePrefix="0" xfId="0">
      <alignment horizontal="center" vertical="center" wrapText="1"/>
    </xf>
    <xf numFmtId="164" fontId="2" fillId="2" borderId="5" applyAlignment="1" pivotButton="0" quotePrefix="0" xfId="0">
      <alignment horizontal="center" vertical="center" wrapText="1"/>
    </xf>
    <xf numFmtId="0" fontId="2" fillId="0" borderId="0" applyAlignment="1" pivotButton="0" quotePrefix="0" xfId="0">
      <alignment horizontal="center" vertical="center"/>
    </xf>
    <xf numFmtId="164" fontId="0" fillId="0" borderId="0" applyAlignment="1" pivotButton="0" quotePrefix="0" xfId="1">
      <alignment horizontal="center"/>
    </xf>
    <xf numFmtId="0" fontId="0" fillId="5" borderId="2" pivotButton="0" quotePrefix="0" xfId="0"/>
    <xf numFmtId="0" fontId="0" fillId="5" borderId="3" pivotButton="0" quotePrefix="0" xfId="0"/>
    <xf numFmtId="0" fontId="0" fillId="4" borderId="0" pivotButton="0" quotePrefix="0" xfId="0"/>
    <xf numFmtId="0" fontId="0" fillId="4" borderId="1" pivotButton="0" quotePrefix="0" xfId="0"/>
    <xf numFmtId="0" fontId="0" fillId="4" borderId="14" pivotButton="0" quotePrefix="0" xfId="0"/>
    <xf numFmtId="0" fontId="0" fillId="4" borderId="15" pivotButton="0" quotePrefix="0" xfId="0"/>
    <xf numFmtId="0" fontId="5" fillId="5" borderId="17" applyAlignment="1" pivotButton="0" quotePrefix="0" xfId="3">
      <alignment horizontal="center"/>
    </xf>
    <xf numFmtId="0" fontId="0" fillId="2" borderId="19" applyAlignment="1" pivotButton="0" quotePrefix="0" xfId="0">
      <alignment horizontal="center"/>
    </xf>
    <xf numFmtId="0" fontId="0" fillId="2" borderId="21" applyAlignment="1" pivotButton="0" quotePrefix="0" xfId="0">
      <alignment horizontal="center"/>
    </xf>
    <xf numFmtId="0" fontId="0" fillId="2" borderId="18" applyAlignment="1" pivotButton="0" quotePrefix="0" xfId="0">
      <alignment horizontal="center"/>
    </xf>
    <xf numFmtId="10" fontId="0" fillId="0" borderId="0" pivotButton="0" quotePrefix="0" xfId="2"/>
    <xf numFmtId="165" fontId="0" fillId="0" borderId="0" applyAlignment="1" pivotButton="0" quotePrefix="1" xfId="0">
      <alignment horizontal="center"/>
    </xf>
    <xf numFmtId="166" fontId="0" fillId="5" borderId="20" applyAlignment="1" pivotButton="0" quotePrefix="0" xfId="2">
      <alignment horizontal="center"/>
    </xf>
    <xf numFmtId="166" fontId="0" fillId="5" borderId="16" applyAlignment="1" pivotButton="0" quotePrefix="0" xfId="2">
      <alignment horizontal="center"/>
    </xf>
    <xf numFmtId="166" fontId="0" fillId="5" borderId="17" applyAlignment="1" pivotButton="0" quotePrefix="0" xfId="2">
      <alignment horizontal="center"/>
    </xf>
    <xf numFmtId="0" fontId="7" fillId="0" borderId="0" applyAlignment="1" pivotButton="0" quotePrefix="0" xfId="0">
      <alignment horizontal="center"/>
    </xf>
    <xf numFmtId="0" fontId="2" fillId="2" borderId="3" applyAlignment="1" pivotButton="0" quotePrefix="0" xfId="0">
      <alignment horizontal="center"/>
    </xf>
    <xf numFmtId="166" fontId="8" fillId="5" borderId="4" applyAlignment="1" pivotButton="0" quotePrefix="0" xfId="2">
      <alignment horizontal="center"/>
    </xf>
    <xf numFmtId="164" fontId="0" fillId="0" borderId="0" pivotButton="0" quotePrefix="0" xfId="1"/>
    <xf numFmtId="0" fontId="0" fillId="5" borderId="3" applyAlignment="1" pivotButton="0" quotePrefix="0" xfId="0">
      <alignment horizontal="center"/>
    </xf>
    <xf numFmtId="0" fontId="0" fillId="0" borderId="0" applyAlignment="1" pivotButton="0" quotePrefix="0" xfId="0">
      <alignment horizontal="left" vertical="center" indent="5"/>
    </xf>
    <xf numFmtId="0" fontId="0" fillId="5" borderId="2" applyAlignment="1" pivotButton="0" quotePrefix="0" xfId="0">
      <alignment horizontal="center"/>
    </xf>
    <xf numFmtId="164" fontId="0" fillId="5" borderId="3" pivotButton="0" quotePrefix="0" xfId="1"/>
    <xf numFmtId="0" fontId="8" fillId="0" borderId="0" applyAlignment="1" pivotButton="0" quotePrefix="0" xfId="0">
      <alignment horizontal="center"/>
    </xf>
    <xf numFmtId="0" fontId="8" fillId="0" borderId="0" pivotButton="0" quotePrefix="0" xfId="0"/>
    <xf numFmtId="164" fontId="8" fillId="0" borderId="0" pivotButton="0" quotePrefix="0" xfId="0"/>
    <xf numFmtId="10" fontId="8" fillId="0" borderId="0" pivotButton="0" quotePrefix="0" xfId="2"/>
    <xf numFmtId="167" fontId="8" fillId="0" borderId="0" pivotButton="0" quotePrefix="0" xfId="2"/>
    <xf numFmtId="165" fontId="8" fillId="0" borderId="0" applyAlignment="1" pivotButton="0" quotePrefix="0" xfId="0">
      <alignment horizontal="center"/>
    </xf>
    <xf numFmtId="164" fontId="8" fillId="3" borderId="4" applyAlignment="1" pivotButton="0" quotePrefix="0" xfId="3">
      <alignment horizontal="center"/>
    </xf>
    <xf numFmtId="164" fontId="8" fillId="3" borderId="9" applyAlignment="1" pivotButton="0" quotePrefix="0" xfId="3">
      <alignment horizontal="center"/>
    </xf>
    <xf numFmtId="166" fontId="8" fillId="3" borderId="4" applyAlignment="1" pivotButton="0" quotePrefix="0" xfId="2">
      <alignment horizontal="center"/>
    </xf>
    <xf numFmtId="164" fontId="8" fillId="3" borderId="4" pivotButton="0" quotePrefix="0" xfId="1"/>
    <xf numFmtId="164" fontId="8" fillId="3" borderId="4" pivotButton="0" quotePrefix="0" xfId="3"/>
    <xf numFmtId="164" fontId="8" fillId="3" borderId="9" pivotButton="0" quotePrefix="0" xfId="3"/>
    <xf numFmtId="10" fontId="8" fillId="3" borderId="4" pivotButton="0" quotePrefix="0" xfId="2"/>
    <xf numFmtId="0" fontId="8" fillId="3" borderId="16" applyAlignment="1" pivotButton="0" quotePrefix="0" xfId="3">
      <alignment horizontal="center"/>
    </xf>
    <xf numFmtId="0" fontId="11" fillId="3" borderId="16" applyAlignment="1" pivotButton="0" quotePrefix="0" xfId="3">
      <alignment horizontal="center"/>
    </xf>
    <xf numFmtId="166" fontId="8" fillId="3" borderId="4" applyAlignment="1" pivotButton="0" quotePrefix="0" xfId="3">
      <alignment horizontal="center"/>
    </xf>
    <xf numFmtId="166" fontId="8" fillId="3" borderId="25" applyAlignment="1" pivotButton="0" quotePrefix="0" xfId="2">
      <alignment horizontal="center"/>
    </xf>
    <xf numFmtId="0" fontId="0" fillId="0" borderId="0" applyAlignment="1" pivotButton="0" quotePrefix="0" xfId="0">
      <alignment horizontal="left" wrapText="1"/>
    </xf>
    <xf numFmtId="0" fontId="12" fillId="0" borderId="0" pivotButton="0" quotePrefix="0" xfId="0"/>
    <xf numFmtId="0" fontId="13" fillId="0" borderId="0" applyAlignment="1" pivotButton="0" quotePrefix="0" xfId="0">
      <alignment horizontal="center"/>
    </xf>
    <xf numFmtId="0" fontId="14" fillId="0" borderId="0" applyAlignment="1" pivotButton="0" quotePrefix="0" xfId="0">
      <alignment horizontal="center"/>
    </xf>
    <xf numFmtId="0" fontId="16" fillId="0" borderId="0" applyAlignment="1" pivotButton="0" quotePrefix="0" xfId="0">
      <alignment horizontal="center"/>
    </xf>
    <xf numFmtId="0" fontId="10" fillId="0" borderId="0" pivotButton="0" quotePrefix="0" xfId="0"/>
    <xf numFmtId="0" fontId="15" fillId="0" borderId="0" applyAlignment="1" pivotButton="0" quotePrefix="0" xfId="0">
      <alignment horizontal="left" wrapText="1"/>
    </xf>
    <xf numFmtId="0" fontId="6" fillId="0" borderId="0" applyAlignment="1" pivotButton="0" quotePrefix="0" xfId="0">
      <alignment horizontal="center"/>
    </xf>
    <xf numFmtId="0" fontId="12" fillId="0" borderId="0" applyAlignment="1" pivotButton="0" quotePrefix="0" xfId="0">
      <alignment horizontal="left" vertical="top" wrapText="1"/>
    </xf>
    <xf numFmtId="0" fontId="2" fillId="2" borderId="29" applyAlignment="1" pivotButton="0" quotePrefix="0" xfId="0">
      <alignment horizontal="center"/>
    </xf>
    <xf numFmtId="0" fontId="2" fillId="2" borderId="30" applyAlignment="1" pivotButton="0" quotePrefix="0" xfId="0">
      <alignment horizontal="center"/>
    </xf>
    <xf numFmtId="0" fontId="10" fillId="0" borderId="0" applyAlignment="1" pivotButton="0" quotePrefix="0" xfId="0">
      <alignment horizontal="left" vertical="top" wrapText="1"/>
    </xf>
    <xf numFmtId="0" fontId="10" fillId="0" borderId="14" applyAlignment="1" pivotButton="0" quotePrefix="0" xfId="0">
      <alignment horizontal="left" vertical="top" wrapText="1"/>
    </xf>
    <xf numFmtId="0" fontId="10" fillId="0" borderId="13" applyAlignment="1" pivotButton="0" quotePrefix="0" xfId="0">
      <alignment horizontal="left" vertical="top" wrapText="1"/>
    </xf>
    <xf numFmtId="0" fontId="0" fillId="0" borderId="14" applyAlignment="1" pivotButton="0" quotePrefix="0" xfId="0">
      <alignment horizontal="left" wrapText="1"/>
    </xf>
    <xf numFmtId="0" fontId="0" fillId="0" borderId="13" applyAlignment="1" pivotButton="0" quotePrefix="0" xfId="0">
      <alignment horizontal="left" wrapText="1"/>
    </xf>
    <xf numFmtId="0" fontId="21" fillId="0" borderId="0" applyAlignment="1" pivotButton="0" quotePrefix="0" xfId="0">
      <alignment horizontal="center"/>
    </xf>
    <xf numFmtId="0" fontId="5" fillId="0" borderId="0" applyAlignment="1" pivotButton="0" quotePrefix="0" xfId="0">
      <alignment horizontal="center" wrapText="1"/>
    </xf>
    <xf numFmtId="0" fontId="20" fillId="0" borderId="0" applyAlignment="1" pivotButton="0" quotePrefix="0" xfId="0">
      <alignment wrapText="1"/>
    </xf>
    <xf numFmtId="0" fontId="20" fillId="0" borderId="0" applyAlignment="1" pivotButton="0" quotePrefix="0" xfId="0">
      <alignment horizontal="left" vertical="top"/>
    </xf>
    <xf numFmtId="0" fontId="18" fillId="0" borderId="14" applyAlignment="1" pivotButton="0" quotePrefix="0" xfId="0">
      <alignment vertical="top" wrapText="1"/>
    </xf>
    <xf numFmtId="0" fontId="18" fillId="0" borderId="0" applyAlignment="1" pivotButton="0" quotePrefix="0" xfId="0">
      <alignment vertical="top" wrapText="1"/>
    </xf>
    <xf numFmtId="0" fontId="18" fillId="0" borderId="13" applyAlignment="1" pivotButton="0" quotePrefix="0" xfId="0">
      <alignment vertical="top" wrapText="1"/>
    </xf>
    <xf numFmtId="0" fontId="2" fillId="0" borderId="0" applyAlignment="1" pivotButton="0" quotePrefix="0" xfId="0">
      <alignment horizontal="right"/>
    </xf>
    <xf numFmtId="0" fontId="0" fillId="0" borderId="0" applyAlignment="1" pivotButton="0" quotePrefix="0" xfId="0">
      <alignment horizontal="right"/>
    </xf>
    <xf numFmtId="164" fontId="0" fillId="5" borderId="2" pivotButton="0" quotePrefix="0" xfId="1"/>
    <xf numFmtId="0" fontId="12" fillId="2" borderId="33" applyAlignment="1" pivotButton="0" quotePrefix="0" xfId="0">
      <alignment horizontal="center"/>
    </xf>
    <xf numFmtId="166" fontId="10" fillId="5" borderId="3" applyAlignment="1" pivotButton="0" quotePrefix="0" xfId="2">
      <alignment horizontal="center"/>
    </xf>
    <xf numFmtId="15" fontId="24" fillId="0" borderId="5" applyAlignment="1" pivotButton="0" quotePrefix="0" xfId="4">
      <alignment horizontal="center"/>
    </xf>
    <xf numFmtId="14" fontId="24" fillId="0" borderId="7" applyAlignment="1" pivotButton="0" quotePrefix="0" xfId="0">
      <alignment horizontal="center"/>
    </xf>
    <xf numFmtId="0" fontId="9" fillId="0" borderId="0" pivotButton="0" quotePrefix="0" xfId="4"/>
    <xf numFmtId="168" fontId="25" fillId="2" borderId="34" pivotButton="0" quotePrefix="0" xfId="4"/>
    <xf numFmtId="169" fontId="24" fillId="0" borderId="0" pivotButton="0" quotePrefix="0" xfId="1"/>
    <xf numFmtId="0" fontId="24" fillId="0" borderId="0" pivotButton="0" quotePrefix="0" xfId="0"/>
    <xf numFmtId="10" fontId="24" fillId="0" borderId="0" pivotButton="0" quotePrefix="0" xfId="0"/>
    <xf numFmtId="168" fontId="25" fillId="2" borderId="35" pivotButton="0" quotePrefix="0" xfId="4"/>
    <xf numFmtId="169" fontId="24" fillId="0" borderId="1" pivotButton="0" quotePrefix="0" xfId="1"/>
    <xf numFmtId="168" fontId="25" fillId="2" borderId="5" pivotButton="0" quotePrefix="0" xfId="4"/>
    <xf numFmtId="169" fontId="24" fillId="2" borderId="1" pivotButton="0" quotePrefix="0" xfId="1"/>
    <xf numFmtId="0" fontId="26" fillId="0" borderId="0" pivotButton="0" quotePrefix="0" xfId="0"/>
    <xf numFmtId="169" fontId="24" fillId="2" borderId="0" pivotButton="0" quotePrefix="0" xfId="1"/>
    <xf numFmtId="169" fontId="24" fillId="2" borderId="15" pivotButton="0" quotePrefix="0" xfId="1"/>
    <xf numFmtId="49" fontId="0" fillId="0" borderId="0" applyAlignment="1" pivotButton="0" quotePrefix="0" xfId="0">
      <alignment horizontal="center"/>
    </xf>
    <xf numFmtId="49" fontId="9" fillId="0" borderId="0" applyAlignment="1" pivotButton="0" quotePrefix="0" xfId="4">
      <alignment horizontal="center"/>
    </xf>
    <xf numFmtId="49" fontId="24" fillId="0" borderId="0" applyAlignment="1" pivotButton="0" quotePrefix="0" xfId="0">
      <alignment horizontal="center"/>
    </xf>
    <xf numFmtId="49" fontId="24" fillId="0" borderId="0" applyAlignment="1" pivotButton="0" quotePrefix="1" xfId="0">
      <alignment horizontal="center"/>
    </xf>
    <xf numFmtId="0" fontId="24" fillId="2" borderId="0" pivotButton="0" quotePrefix="0" xfId="1"/>
    <xf numFmtId="169" fontId="24" fillId="0" borderId="0" pivotButton="0" quotePrefix="0" xfId="0"/>
    <xf numFmtId="164" fontId="1" fillId="8" borderId="2" applyAlignment="1" pivotButton="0" quotePrefix="0" xfId="1">
      <alignment horizontal="center"/>
    </xf>
    <xf numFmtId="169" fontId="0" fillId="0" borderId="0" applyAlignment="1" pivotButton="0" quotePrefix="0" xfId="9">
      <alignment horizontal="left"/>
    </xf>
    <xf numFmtId="0" fontId="9" fillId="0" borderId="0" applyAlignment="1" pivotButton="0" quotePrefix="0" xfId="4">
      <alignment horizontal="left"/>
    </xf>
    <xf numFmtId="169" fontId="9" fillId="0" borderId="0" applyAlignment="1" pivotButton="0" quotePrefix="0" xfId="9">
      <alignment horizontal="left"/>
    </xf>
    <xf numFmtId="10" fontId="9" fillId="0" borderId="0" applyAlignment="1" pivotButton="0" quotePrefix="0" xfId="10">
      <alignment horizontal="left"/>
    </xf>
    <xf numFmtId="0" fontId="24" fillId="2" borderId="10" applyAlignment="1" pivotButton="0" quotePrefix="0" xfId="4">
      <alignment horizontal="left"/>
    </xf>
    <xf numFmtId="169" fontId="24" fillId="2" borderId="22" pivotButton="0" quotePrefix="0" xfId="9"/>
    <xf numFmtId="10" fontId="24" fillId="2" borderId="23" pivotButton="0" quotePrefix="0" xfId="10"/>
    <xf numFmtId="169" fontId="9" fillId="2" borderId="37" pivotButton="0" quotePrefix="0" xfId="9"/>
    <xf numFmtId="10" fontId="9" fillId="2" borderId="0" pivotButton="0" quotePrefix="0" xfId="10"/>
    <xf numFmtId="169" fontId="9" fillId="2" borderId="0" pivotButton="0" quotePrefix="0" xfId="11"/>
    <xf numFmtId="9" fontId="9" fillId="2" borderId="0" pivotButton="0" quotePrefix="0" xfId="10"/>
    <xf numFmtId="169" fontId="9" fillId="2" borderId="38" pivotButton="0" quotePrefix="0" xfId="11"/>
    <xf numFmtId="169" fontId="24" fillId="2" borderId="23" pivotButton="0" quotePrefix="0" xfId="4"/>
    <xf numFmtId="169" fontId="24" fillId="2" borderId="23" pivotButton="0" quotePrefix="0" xfId="11"/>
    <xf numFmtId="169" fontId="24" fillId="2" borderId="24" pivotButton="0" quotePrefix="0" xfId="11"/>
    <xf numFmtId="14" fontId="9" fillId="0" borderId="0" applyAlignment="1" pivotButton="0" quotePrefix="0" xfId="4">
      <alignment horizontal="left"/>
    </xf>
    <xf numFmtId="0" fontId="9" fillId="0" borderId="6" applyAlignment="1" pivotButton="0" quotePrefix="0" xfId="4">
      <alignment horizontal="center"/>
    </xf>
    <xf numFmtId="0" fontId="9" fillId="0" borderId="7" applyAlignment="1" pivotButton="0" quotePrefix="0" xfId="4">
      <alignment horizontal="center"/>
    </xf>
    <xf numFmtId="0" fontId="9" fillId="0" borderId="8" applyAlignment="1" pivotButton="0" quotePrefix="0" xfId="4">
      <alignment horizontal="center"/>
    </xf>
    <xf numFmtId="169" fontId="9" fillId="0" borderId="7" applyAlignment="1" pivotButton="0" quotePrefix="0" xfId="9">
      <alignment horizontal="center"/>
    </xf>
    <xf numFmtId="10" fontId="9" fillId="0" borderId="7" applyAlignment="1" pivotButton="0" quotePrefix="0" xfId="10">
      <alignment horizontal="center"/>
    </xf>
    <xf numFmtId="0" fontId="24" fillId="2" borderId="7" applyAlignment="1" pivotButton="0" quotePrefix="0" xfId="4">
      <alignment wrapText="1"/>
    </xf>
    <xf numFmtId="169" fontId="24" fillId="2" borderId="7" applyAlignment="1" pivotButton="0" quotePrefix="0" xfId="9">
      <alignment wrapText="1"/>
    </xf>
    <xf numFmtId="0" fontId="24" fillId="2" borderId="6" applyAlignment="1" pivotButton="0" quotePrefix="0" xfId="4">
      <alignment wrapText="1"/>
    </xf>
    <xf numFmtId="10" fontId="24" fillId="2" borderId="7" applyAlignment="1" pivotButton="0" quotePrefix="0" xfId="10">
      <alignment wrapText="1"/>
    </xf>
    <xf numFmtId="0" fontId="24" fillId="2" borderId="39" applyAlignment="1" pivotButton="0" quotePrefix="0" xfId="4">
      <alignment wrapText="1"/>
    </xf>
    <xf numFmtId="0" fontId="24" fillId="0" borderId="0" applyAlignment="1" pivotButton="0" quotePrefix="0" xfId="4">
      <alignment wrapText="1"/>
    </xf>
    <xf numFmtId="0" fontId="24" fillId="0" borderId="27" applyAlignment="1" pivotButton="0" quotePrefix="0" xfId="4">
      <alignment wrapText="1"/>
    </xf>
    <xf numFmtId="169" fontId="0" fillId="8" borderId="0" pivotButton="0" quotePrefix="0" xfId="9"/>
    <xf numFmtId="10" fontId="0" fillId="8" borderId="0" pivotButton="0" quotePrefix="0" xfId="10"/>
    <xf numFmtId="169" fontId="9" fillId="8" borderId="0" pivotButton="0" quotePrefix="0" xfId="11"/>
    <xf numFmtId="9" fontId="9" fillId="8" borderId="0" pivotButton="0" quotePrefix="0" xfId="10"/>
    <xf numFmtId="169" fontId="9" fillId="8" borderId="38" pivotButton="0" quotePrefix="0" xfId="9"/>
    <xf numFmtId="0" fontId="29" fillId="0" borderId="0" pivotButton="0" quotePrefix="0" xfId="4"/>
    <xf numFmtId="0" fontId="24" fillId="0" borderId="14" applyAlignment="1" pivotButton="0" quotePrefix="0" xfId="4">
      <alignment horizontal="center"/>
    </xf>
    <xf numFmtId="0" fontId="24" fillId="0" borderId="0" applyAlignment="1" pivotButton="0" quotePrefix="0" xfId="4">
      <alignment horizontal="center"/>
    </xf>
    <xf numFmtId="0" fontId="24" fillId="0" borderId="13" applyAlignment="1" pivotButton="0" quotePrefix="0" xfId="4">
      <alignment horizontal="center"/>
    </xf>
    <xf numFmtId="0" fontId="2" fillId="0" borderId="42" pivotButton="0" quotePrefix="0" xfId="4"/>
    <xf numFmtId="0" fontId="1" fillId="0" borderId="43" applyAlignment="1" pivotButton="0" quotePrefix="0" xfId="4">
      <alignment horizontal="center"/>
    </xf>
    <xf numFmtId="0" fontId="9" fillId="0" borderId="13" pivotButton="0" quotePrefix="0" xfId="4"/>
    <xf numFmtId="10" fontId="9" fillId="0" borderId="44" pivotButton="0" quotePrefix="0" xfId="4"/>
    <xf numFmtId="10" fontId="0" fillId="0" borderId="27" applyAlignment="1" pivotButton="0" quotePrefix="0" xfId="10">
      <alignment horizontal="center"/>
    </xf>
    <xf numFmtId="170" fontId="0" fillId="0" borderId="27" applyAlignment="1" pivotButton="0" quotePrefix="0" xfId="12">
      <alignment horizontal="center"/>
    </xf>
    <xf numFmtId="0" fontId="2" fillId="0" borderId="14" pivotButton="0" quotePrefix="0" xfId="4"/>
    <xf numFmtId="10" fontId="0" fillId="0" borderId="0" pivotButton="0" quotePrefix="0" xfId="13"/>
    <xf numFmtId="0" fontId="1" fillId="0" borderId="43" pivotButton="0" quotePrefix="0" xfId="4"/>
    <xf numFmtId="0" fontId="2" fillId="0" borderId="45" pivotButton="0" quotePrefix="0" xfId="4"/>
    <xf numFmtId="10" fontId="0" fillId="0" borderId="1" applyAlignment="1" pivotButton="0" quotePrefix="0" xfId="13">
      <alignment horizontal="center"/>
    </xf>
    <xf numFmtId="10" fontId="2" fillId="0" borderId="35" applyAlignment="1" pivotButton="0" quotePrefix="0" xfId="13">
      <alignment horizontal="center"/>
    </xf>
    <xf numFmtId="0" fontId="9" fillId="0" borderId="31" pivotButton="0" quotePrefix="0" xfId="4"/>
    <xf numFmtId="0" fontId="2" fillId="0" borderId="0" pivotButton="0" quotePrefix="0" xfId="4"/>
    <xf numFmtId="0" fontId="9" fillId="0" borderId="15" pivotButton="0" quotePrefix="0" xfId="4"/>
    <xf numFmtId="0" fontId="9" fillId="0" borderId="1" pivotButton="0" quotePrefix="0" xfId="4"/>
    <xf numFmtId="0" fontId="30" fillId="0" borderId="1" pivotButton="0" quotePrefix="0" xfId="14"/>
    <xf numFmtId="0" fontId="31" fillId="0" borderId="10" applyAlignment="1" pivotButton="0" quotePrefix="0" xfId="4">
      <alignment horizontal="center"/>
    </xf>
    <xf numFmtId="0" fontId="31" fillId="0" borderId="12" applyAlignment="1" pivotButton="0" quotePrefix="0" xfId="4">
      <alignment horizontal="center"/>
    </xf>
    <xf numFmtId="0" fontId="31" fillId="0" borderId="0" pivotButton="0" quotePrefix="0" xfId="4"/>
    <xf numFmtId="10" fontId="31" fillId="0" borderId="15" applyAlignment="1" pivotButton="0" quotePrefix="0" xfId="4">
      <alignment horizontal="center"/>
    </xf>
    <xf numFmtId="10" fontId="31" fillId="0" borderId="31" applyAlignment="1" pivotButton="0" quotePrefix="0" xfId="4">
      <alignment horizontal="center"/>
    </xf>
    <xf numFmtId="0" fontId="32" fillId="0" borderId="0" pivotButton="0" quotePrefix="0" xfId="4"/>
    <xf numFmtId="0" fontId="9" fillId="0" borderId="14" pivotButton="0" quotePrefix="0" xfId="4"/>
    <xf numFmtId="0" fontId="24" fillId="0" borderId="14" pivotButton="0" quotePrefix="0" xfId="4"/>
    <xf numFmtId="169" fontId="28" fillId="0" borderId="0" pivotButton="0" quotePrefix="0" xfId="11"/>
    <xf numFmtId="169" fontId="25" fillId="0" borderId="0" pivotButton="0" quotePrefix="0" xfId="11"/>
    <xf numFmtId="169" fontId="24" fillId="0" borderId="0" pivotButton="0" quotePrefix="0" xfId="11"/>
    <xf numFmtId="0" fontId="29" fillId="0" borderId="14" pivotButton="0" quotePrefix="0" xfId="4"/>
    <xf numFmtId="0" fontId="24" fillId="0" borderId="14" applyAlignment="1" pivotButton="0" quotePrefix="0" xfId="4">
      <alignment horizontal="center" wrapText="1"/>
    </xf>
    <xf numFmtId="0" fontId="9" fillId="0" borderId="14" applyAlignment="1" pivotButton="0" quotePrefix="0" xfId="4">
      <alignment horizontal="center"/>
    </xf>
    <xf numFmtId="10" fontId="9" fillId="0" borderId="13" applyAlignment="1" pivotButton="0" quotePrefix="0" xfId="4">
      <alignment horizontal="center"/>
    </xf>
    <xf numFmtId="49" fontId="9" fillId="0" borderId="14" applyAlignment="1" pivotButton="0" quotePrefix="0" xfId="4">
      <alignment horizontal="center"/>
    </xf>
    <xf numFmtId="0" fontId="9" fillId="0" borderId="46" pivotButton="0" quotePrefix="0" xfId="4"/>
    <xf numFmtId="10" fontId="9" fillId="0" borderId="31" applyAlignment="1" pivotButton="0" quotePrefix="0" xfId="4">
      <alignment horizontal="center"/>
    </xf>
    <xf numFmtId="49" fontId="9" fillId="0" borderId="15" applyAlignment="1" pivotButton="0" quotePrefix="0" xfId="4">
      <alignment horizontal="center"/>
    </xf>
    <xf numFmtId="0" fontId="9" fillId="8" borderId="0" pivotButton="0" quotePrefix="0" xfId="4"/>
    <xf numFmtId="0" fontId="31" fillId="8" borderId="0" pivotButton="0" quotePrefix="0" xfId="4"/>
    <xf numFmtId="0" fontId="29" fillId="8" borderId="0" pivotButton="0" quotePrefix="0" xfId="4"/>
    <xf numFmtId="10" fontId="24" fillId="0" borderId="0" applyAlignment="1" pivotButton="0" quotePrefix="0" xfId="2">
      <alignment horizontal="center"/>
    </xf>
    <xf numFmtId="10" fontId="24" fillId="0" borderId="0" pivotButton="0" quotePrefix="0" xfId="2"/>
    <xf numFmtId="0" fontId="1" fillId="0" borderId="47" pivotButton="0" quotePrefix="0" xfId="4"/>
    <xf numFmtId="10" fontId="0" fillId="0" borderId="48" applyAlignment="1" pivotButton="0" quotePrefix="0" xfId="13">
      <alignment horizontal="center"/>
    </xf>
    <xf numFmtId="10" fontId="31" fillId="7" borderId="15" applyAlignment="1" pivotButton="0" quotePrefix="0" xfId="4">
      <alignment horizontal="center"/>
    </xf>
    <xf numFmtId="167" fontId="24" fillId="2" borderId="0" pivotButton="0" quotePrefix="0" xfId="2"/>
    <xf numFmtId="167" fontId="24" fillId="2" borderId="1" pivotButton="0" quotePrefix="0" xfId="2"/>
    <xf numFmtId="9" fontId="9" fillId="0" borderId="0" applyAlignment="1" pivotButton="0" quotePrefix="0" xfId="10">
      <alignment horizontal="left"/>
    </xf>
    <xf numFmtId="0" fontId="1" fillId="0" borderId="49" applyAlignment="1" pivotButton="0" quotePrefix="0" xfId="4">
      <alignment horizontal="center"/>
    </xf>
    <xf numFmtId="170" fontId="0" fillId="0" borderId="50" applyAlignment="1" pivotButton="0" quotePrefix="0" xfId="13">
      <alignment horizontal="center"/>
    </xf>
    <xf numFmtId="10" fontId="9" fillId="0" borderId="15" pivotButton="0" quotePrefix="0" xfId="4"/>
    <xf numFmtId="14" fontId="0" fillId="8" borderId="27" pivotButton="0" quotePrefix="0" xfId="0"/>
    <xf numFmtId="169" fontId="2" fillId="0" borderId="0" pivotButton="0" quotePrefix="0" xfId="0"/>
    <xf numFmtId="169" fontId="0" fillId="0" borderId="0" pivotButton="0" quotePrefix="0" xfId="1"/>
    <xf numFmtId="0" fontId="21" fillId="0" borderId="0" applyAlignment="1" pivotButton="0" quotePrefix="0" xfId="0">
      <alignment horizontal="center" wrapText="1"/>
    </xf>
    <xf numFmtId="0" fontId="0" fillId="8" borderId="0" pivotButton="0" quotePrefix="0" xfId="0"/>
    <xf numFmtId="14" fontId="7" fillId="8" borderId="27" pivotButton="0" quotePrefix="0" xfId="0"/>
    <xf numFmtId="0" fontId="7" fillId="0" borderId="0" pivotButton="0" quotePrefix="0" xfId="0"/>
    <xf numFmtId="169" fontId="7" fillId="0" borderId="0" pivotButton="0" quotePrefix="0" xfId="1"/>
    <xf numFmtId="169" fontId="7" fillId="0" borderId="27" pivotButton="0" quotePrefix="0" xfId="1"/>
    <xf numFmtId="0" fontId="21" fillId="0" borderId="0" pivotButton="0" quotePrefix="0" xfId="0"/>
    <xf numFmtId="169" fontId="21" fillId="0" borderId="0" pivotButton="0" quotePrefix="0" xfId="0"/>
    <xf numFmtId="0" fontId="6" fillId="0" borderId="0" pivotButton="0" quotePrefix="0" xfId="0"/>
    <xf numFmtId="0" fontId="21" fillId="0" borderId="0" applyAlignment="1" pivotButton="0" quotePrefix="0" xfId="0">
      <alignment wrapText="1"/>
    </xf>
    <xf numFmtId="0" fontId="33" fillId="0" borderId="0" pivotButton="0" quotePrefix="0" xfId="4"/>
    <xf numFmtId="0" fontId="34" fillId="0" borderId="0" pivotButton="0" quotePrefix="0" xfId="4"/>
    <xf numFmtId="0" fontId="21" fillId="0" borderId="0" pivotButton="0" quotePrefix="0" xfId="4"/>
    <xf numFmtId="170" fontId="7" fillId="0" borderId="0" pivotButton="0" quotePrefix="0" xfId="12"/>
    <xf numFmtId="0" fontId="35" fillId="0" borderId="0" pivotButton="0" quotePrefix="0" xfId="4"/>
    <xf numFmtId="167" fontId="34" fillId="0" borderId="0" pivotButton="0" quotePrefix="0" xfId="10"/>
    <xf numFmtId="0" fontId="36" fillId="0" borderId="0" pivotButton="0" quotePrefix="0" xfId="4"/>
    <xf numFmtId="10" fontId="33" fillId="0" borderId="0" pivotButton="0" quotePrefix="0" xfId="4"/>
    <xf numFmtId="0" fontId="16" fillId="0" borderId="0" applyAlignment="1" pivotButton="0" quotePrefix="0" xfId="0">
      <alignment horizontal="left"/>
    </xf>
    <xf numFmtId="0" fontId="24" fillId="0" borderId="10" pivotButton="0" quotePrefix="0" xfId="4"/>
    <xf numFmtId="0" fontId="9" fillId="0" borderId="11" pivotButton="0" quotePrefix="0" xfId="4"/>
    <xf numFmtId="0" fontId="9" fillId="0" borderId="12" pivotButton="0" quotePrefix="0" xfId="4"/>
    <xf numFmtId="0" fontId="0" fillId="8" borderId="51" pivotButton="0" quotePrefix="0" xfId="0"/>
    <xf numFmtId="0" fontId="0" fillId="8" borderId="52" pivotButton="0" quotePrefix="0" xfId="0"/>
    <xf numFmtId="0" fontId="0" fillId="8" borderId="53" pivotButton="0" quotePrefix="0" xfId="0"/>
    <xf numFmtId="167" fontId="0" fillId="0" borderId="0" pivotButton="0" quotePrefix="0" xfId="2"/>
    <xf numFmtId="14" fontId="6" fillId="0" borderId="0" applyAlignment="1" pivotButton="0" quotePrefix="0" xfId="0">
      <alignment horizontal="center"/>
    </xf>
    <xf numFmtId="169" fontId="38" fillId="0" borderId="0" pivotButton="0" quotePrefix="0" xfId="11"/>
    <xf numFmtId="169" fontId="26" fillId="0" borderId="0" pivotButton="0" quotePrefix="0" xfId="11"/>
    <xf numFmtId="0" fontId="33" fillId="0" borderId="1" pivotButton="0" quotePrefix="0" xfId="4"/>
    <xf numFmtId="0" fontId="33" fillId="0" borderId="13" pivotButton="0" quotePrefix="0" xfId="4"/>
    <xf numFmtId="10" fontId="33" fillId="0" borderId="36" pivotButton="0" quotePrefix="0" xfId="10"/>
    <xf numFmtId="10" fontId="33" fillId="0" borderId="0" pivotButton="0" quotePrefix="0" xfId="10"/>
    <xf numFmtId="0" fontId="24" fillId="2" borderId="23" pivotButton="0" quotePrefix="0" xfId="4"/>
    <xf numFmtId="169" fontId="0" fillId="0" borderId="43" pivotButton="0" quotePrefix="0" xfId="0"/>
    <xf numFmtId="169" fontId="21" fillId="0" borderId="43" pivotButton="0" quotePrefix="0" xfId="0"/>
    <xf numFmtId="169" fontId="24" fillId="0" borderId="11" pivotButton="0" quotePrefix="0" xfId="1"/>
    <xf numFmtId="0" fontId="33" fillId="0" borderId="0" applyAlignment="1" pivotButton="0" quotePrefix="0" xfId="4">
      <alignment horizontal="left"/>
    </xf>
    <xf numFmtId="169" fontId="7" fillId="0" borderId="0" applyAlignment="1" pivotButton="0" quotePrefix="0" xfId="9">
      <alignment horizontal="left"/>
    </xf>
    <xf numFmtId="169" fontId="33" fillId="2" borderId="37" pivotButton="0" quotePrefix="0" xfId="9"/>
    <xf numFmtId="10" fontId="33" fillId="2" borderId="0" pivotButton="0" quotePrefix="0" xfId="10"/>
    <xf numFmtId="169" fontId="33" fillId="2" borderId="0" pivotButton="0" quotePrefix="0" xfId="11"/>
    <xf numFmtId="9" fontId="33" fillId="2" borderId="0" pivotButton="0" quotePrefix="0" xfId="10"/>
    <xf numFmtId="169" fontId="33" fillId="2" borderId="38" pivotButton="0" quotePrefix="0" xfId="11"/>
    <xf numFmtId="169" fontId="33" fillId="2" borderId="26" pivotButton="0" quotePrefix="0" xfId="9"/>
    <xf numFmtId="10" fontId="33" fillId="2" borderId="27" pivotButton="0" quotePrefix="0" xfId="10"/>
    <xf numFmtId="169" fontId="33" fillId="2" borderId="27" pivotButton="0" quotePrefix="0" xfId="11"/>
    <xf numFmtId="9" fontId="33" fillId="2" borderId="27" pivotButton="0" quotePrefix="0" xfId="10"/>
    <xf numFmtId="169" fontId="33" fillId="2" borderId="28" pivotButton="0" quotePrefix="0" xfId="11"/>
    <xf numFmtId="0" fontId="33" fillId="0" borderId="11" pivotButton="0" quotePrefix="0" xfId="4"/>
    <xf numFmtId="9" fontId="7" fillId="0" borderId="0" pivotButton="0" quotePrefix="0" xfId="2"/>
    <xf numFmtId="9" fontId="7" fillId="0" borderId="27" pivotButton="0" quotePrefix="0" xfId="2"/>
    <xf numFmtId="167" fontId="31" fillId="0" borderId="15" applyAlignment="1" pivotButton="0" quotePrefix="0" xfId="4">
      <alignment horizontal="center"/>
    </xf>
    <xf numFmtId="167" fontId="7" fillId="0" borderId="0" pivotButton="0" quotePrefix="0" xfId="2"/>
    <xf numFmtId="167" fontId="7" fillId="0" borderId="27" pivotButton="0" quotePrefix="0" xfId="2"/>
    <xf numFmtId="10" fontId="0" fillId="8" borderId="0" pivotButton="0" quotePrefix="0" xfId="2"/>
    <xf numFmtId="49" fontId="24" fillId="0" borderId="1" applyAlignment="1" pivotButton="0" quotePrefix="0" xfId="0">
      <alignment horizontal="center"/>
    </xf>
    <xf numFmtId="49" fontId="24" fillId="0" borderId="27" applyAlignment="1" pivotButton="0" quotePrefix="0" xfId="0">
      <alignment horizontal="center"/>
    </xf>
    <xf numFmtId="169" fontId="24" fillId="0" borderId="27" pivotButton="0" quotePrefix="0" xfId="1"/>
    <xf numFmtId="169" fontId="24" fillId="2" borderId="7" pivotButton="0" quotePrefix="0" xfId="1"/>
    <xf numFmtId="168" fontId="25" fillId="2" borderId="0" pivotButton="0" quotePrefix="0" xfId="4"/>
    <xf numFmtId="10" fontId="24" fillId="2" borderId="0" pivotButton="0" quotePrefix="0" xfId="2"/>
    <xf numFmtId="168" fontId="25" fillId="2" borderId="10" pivotButton="0" quotePrefix="0" xfId="4"/>
    <xf numFmtId="10" fontId="24" fillId="2" borderId="11" pivotButton="0" quotePrefix="0" xfId="2"/>
    <xf numFmtId="168" fontId="25" fillId="2" borderId="15" pivotButton="0" quotePrefix="0" xfId="4"/>
    <xf numFmtId="0" fontId="24" fillId="2" borderId="0" pivotButton="0" quotePrefix="0" xfId="0"/>
    <xf numFmtId="0" fontId="24" fillId="0" borderId="1" pivotButton="0" quotePrefix="0" xfId="0"/>
    <xf numFmtId="169" fontId="24" fillId="0" borderId="1" pivotButton="0" quotePrefix="0" xfId="0"/>
    <xf numFmtId="15" fontId="24" fillId="2" borderId="5" applyAlignment="1" pivotButton="0" quotePrefix="0" xfId="4">
      <alignment horizontal="center"/>
    </xf>
    <xf numFmtId="14" fontId="24" fillId="2" borderId="7" applyAlignment="1" pivotButton="0" quotePrefix="0" xfId="0">
      <alignment horizontal="center"/>
    </xf>
    <xf numFmtId="0" fontId="0" fillId="2" borderId="0" pivotButton="0" quotePrefix="0" xfId="0"/>
    <xf numFmtId="169" fontId="24" fillId="2" borderId="11" pivotButton="0" quotePrefix="0" xfId="1"/>
    <xf numFmtId="169" fontId="24" fillId="2" borderId="27" pivotButton="0" quotePrefix="0" xfId="1"/>
    <xf numFmtId="10" fontId="24" fillId="8" borderId="0" applyAlignment="1" pivotButton="0" quotePrefix="0" xfId="10">
      <alignment horizontal="left"/>
    </xf>
    <xf numFmtId="0" fontId="9" fillId="8" borderId="0" applyAlignment="1" pivotButton="0" quotePrefix="0" xfId="4">
      <alignment horizontal="left"/>
    </xf>
    <xf numFmtId="0" fontId="33" fillId="0" borderId="36" applyAlignment="1" pivotButton="0" quotePrefix="0" xfId="4">
      <alignment horizontal="left"/>
    </xf>
    <xf numFmtId="9" fontId="33" fillId="0" borderId="36" applyAlignment="1" pivotButton="0" quotePrefix="0" xfId="10">
      <alignment horizontal="left"/>
    </xf>
    <xf numFmtId="14" fontId="24" fillId="8" borderId="27" applyAlignment="1" pivotButton="0" quotePrefix="0" xfId="4">
      <alignment horizontal="center"/>
    </xf>
    <xf numFmtId="164" fontId="8" fillId="9" borderId="55" pivotButton="0" quotePrefix="0" xfId="3"/>
    <xf numFmtId="164" fontId="8" fillId="3" borderId="3" pivotButton="0" quotePrefix="0" xfId="3"/>
    <xf numFmtId="0" fontId="39" fillId="0" borderId="10" pivotButton="0" quotePrefix="0" xfId="15"/>
    <xf numFmtId="0" fontId="39" fillId="0" borderId="11" pivotButton="0" quotePrefix="0" xfId="15"/>
    <xf numFmtId="0" fontId="39" fillId="0" borderId="12" pivotButton="0" quotePrefix="0" xfId="15"/>
    <xf numFmtId="0" fontId="39" fillId="0" borderId="0" pivotButton="0" quotePrefix="0" xfId="15"/>
    <xf numFmtId="0" fontId="39" fillId="0" borderId="14" pivotButton="0" quotePrefix="0" xfId="15"/>
    <xf numFmtId="0" fontId="39" fillId="0" borderId="13" pivotButton="0" quotePrefix="0" xfId="15"/>
    <xf numFmtId="0" fontId="9" fillId="0" borderId="0" applyAlignment="1" pivotButton="0" quotePrefix="0" xfId="15">
      <alignment vertical="center"/>
    </xf>
    <xf numFmtId="0" fontId="43" fillId="0" borderId="0" applyAlignment="1" pivotButton="0" quotePrefix="0" xfId="15">
      <alignment vertical="center" wrapText="1"/>
    </xf>
    <xf numFmtId="0" fontId="44" fillId="0" borderId="0" pivotButton="0" quotePrefix="0" xfId="15"/>
    <xf numFmtId="0" fontId="32" fillId="0" borderId="0" pivotButton="0" quotePrefix="0" xfId="15"/>
    <xf numFmtId="14" fontId="44" fillId="0" borderId="0" applyAlignment="1" pivotButton="0" quotePrefix="0" xfId="15">
      <alignment horizontal="right"/>
    </xf>
    <xf numFmtId="0" fontId="44" fillId="0" borderId="0" applyAlignment="1" pivotButton="0" quotePrefix="0" xfId="15">
      <alignment horizontal="right"/>
    </xf>
    <xf numFmtId="0" fontId="39" fillId="0" borderId="15" pivotButton="0" quotePrefix="0" xfId="15"/>
    <xf numFmtId="0" fontId="39" fillId="0" borderId="1" pivotButton="0" quotePrefix="0" xfId="15"/>
    <xf numFmtId="0" fontId="39" fillId="0" borderId="31" pivotButton="0" quotePrefix="0" xfId="15"/>
    <xf numFmtId="0" fontId="9" fillId="2" borderId="10" pivotButton="0" quotePrefix="0" xfId="16"/>
    <xf numFmtId="0" fontId="9" fillId="2" borderId="11" pivotButton="0" quotePrefix="0" xfId="16"/>
    <xf numFmtId="0" fontId="9" fillId="2" borderId="12" pivotButton="0" quotePrefix="0" xfId="16"/>
    <xf numFmtId="0" fontId="9" fillId="0" borderId="0" pivotButton="0" quotePrefix="0" xfId="16"/>
    <xf numFmtId="0" fontId="9" fillId="2" borderId="14" pivotButton="0" quotePrefix="0" xfId="16"/>
    <xf numFmtId="0" fontId="9" fillId="2" borderId="13" pivotButton="0" quotePrefix="0" xfId="16"/>
    <xf numFmtId="0" fontId="9" fillId="2" borderId="0" pivotButton="0" quotePrefix="0" xfId="16"/>
    <xf numFmtId="0" fontId="9" fillId="0" borderId="14" pivotButton="0" quotePrefix="0" xfId="16"/>
    <xf numFmtId="0" fontId="9" fillId="0" borderId="13" pivotButton="0" quotePrefix="0" xfId="16"/>
    <xf numFmtId="0" fontId="9" fillId="0" borderId="0" applyAlignment="1" pivotButton="0" quotePrefix="0" xfId="16">
      <alignment wrapText="1"/>
    </xf>
    <xf numFmtId="0" fontId="9" fillId="0" borderId="15" pivotButton="0" quotePrefix="0" xfId="16"/>
    <xf numFmtId="0" fontId="9" fillId="0" borderId="1" applyAlignment="1" pivotButton="0" quotePrefix="0" xfId="16">
      <alignment wrapText="1"/>
    </xf>
    <xf numFmtId="0" fontId="9" fillId="0" borderId="31" pivotButton="0" quotePrefix="0" xfId="16"/>
    <xf numFmtId="0" fontId="9" fillId="0" borderId="10" pivotButton="0" quotePrefix="0" xfId="16"/>
    <xf numFmtId="0" fontId="9" fillId="0" borderId="11" applyAlignment="1" pivotButton="0" quotePrefix="0" xfId="16">
      <alignment wrapText="1"/>
    </xf>
    <xf numFmtId="0" fontId="9" fillId="0" borderId="12" pivotButton="0" quotePrefix="0" xfId="16"/>
    <xf numFmtId="0" fontId="24" fillId="0" borderId="0" pivotButton="0" quotePrefix="0" xfId="16"/>
    <xf numFmtId="168" fontId="9" fillId="0" borderId="0" pivotButton="0" quotePrefix="0" xfId="16"/>
    <xf numFmtId="0" fontId="9" fillId="0" borderId="0" applyAlignment="1" pivotButton="0" quotePrefix="0" xfId="16">
      <alignment horizontal="right"/>
    </xf>
    <xf numFmtId="0" fontId="44" fillId="0" borderId="15" applyAlignment="1" pivotButton="0" quotePrefix="0" xfId="16">
      <alignment horizontal="left"/>
    </xf>
    <xf numFmtId="0" fontId="9" fillId="0" borderId="1" pivotButton="0" quotePrefix="0" xfId="16"/>
    <xf numFmtId="0" fontId="9" fillId="0" borderId="1" applyAlignment="1" pivotButton="0" quotePrefix="0" xfId="16">
      <alignment horizontal="right"/>
    </xf>
    <xf numFmtId="0" fontId="44" fillId="0" borderId="31" applyAlignment="1" pivotButton="0" quotePrefix="0" xfId="16">
      <alignment horizontal="left"/>
    </xf>
    <xf numFmtId="0" fontId="9" fillId="2" borderId="15" pivotButton="0" quotePrefix="0" xfId="16"/>
    <xf numFmtId="0" fontId="9" fillId="2" borderId="1" pivotButton="0" quotePrefix="0" xfId="16"/>
    <xf numFmtId="0" fontId="9" fillId="2" borderId="31" pivotButton="0" quotePrefix="0" xfId="16"/>
    <xf numFmtId="0" fontId="32" fillId="0" borderId="0" pivotButton="0" quotePrefix="0" xfId="16"/>
    <xf numFmtId="164" fontId="1" fillId="8" borderId="57" applyAlignment="1" pivotButton="0" quotePrefix="0" xfId="1">
      <alignment horizontal="center"/>
    </xf>
    <xf numFmtId="164" fontId="8" fillId="3" borderId="58" applyAlignment="1" pivotButton="0" quotePrefix="0" xfId="3">
      <alignment horizontal="center"/>
    </xf>
    <xf numFmtId="164" fontId="8" fillId="3" borderId="25" applyAlignment="1" pivotButton="0" quotePrefix="0" xfId="3">
      <alignment horizontal="center"/>
    </xf>
    <xf numFmtId="164" fontId="8" fillId="3" borderId="57" applyAlignment="1" pivotButton="0" quotePrefix="0" xfId="3">
      <alignment horizontal="center"/>
    </xf>
    <xf numFmtId="166" fontId="8" fillId="5" borderId="58" applyAlignment="1" pivotButton="0" quotePrefix="0" xfId="2">
      <alignment horizontal="center"/>
    </xf>
    <xf numFmtId="166" fontId="8" fillId="5" borderId="25" applyAlignment="1" pivotButton="0" quotePrefix="0" xfId="2">
      <alignment horizontal="center"/>
    </xf>
    <xf numFmtId="166" fontId="8" fillId="5" borderId="57" applyAlignment="1" pivotButton="0" quotePrefix="0" xfId="2">
      <alignment horizontal="center"/>
    </xf>
    <xf numFmtId="166" fontId="8" fillId="3" borderId="58" applyAlignment="1" pivotButton="0" quotePrefix="0" xfId="2">
      <alignment horizontal="center"/>
    </xf>
    <xf numFmtId="166" fontId="8" fillId="3" borderId="57" applyAlignment="1" pivotButton="0" quotePrefix="0" xfId="2">
      <alignment horizontal="center"/>
    </xf>
    <xf numFmtId="167" fontId="0" fillId="0" borderId="27" pivotButton="0" quotePrefix="0" xfId="2"/>
    <xf numFmtId="169" fontId="24" fillId="2" borderId="14" pivotButton="0" quotePrefix="0" xfId="1"/>
    <xf numFmtId="167" fontId="24" fillId="2" borderId="14" pivotButton="0" quotePrefix="0" xfId="2"/>
    <xf numFmtId="167" fontId="24" fillId="2" borderId="15" pivotButton="0" quotePrefix="0" xfId="2"/>
    <xf numFmtId="0" fontId="0" fillId="0" borderId="0" applyAlignment="1" pivotButton="0" quotePrefix="0" xfId="0">
      <alignment horizontal="left"/>
    </xf>
    <xf numFmtId="15" fontId="24" fillId="0" borderId="7" applyAlignment="1" pivotButton="0" quotePrefix="0" xfId="4">
      <alignment horizontal="center"/>
    </xf>
    <xf numFmtId="168" fontId="25" fillId="2" borderId="1" pivotButton="0" quotePrefix="0" xfId="4"/>
    <xf numFmtId="15" fontId="24" fillId="2" borderId="7" applyAlignment="1" pivotButton="0" quotePrefix="0" xfId="4">
      <alignment horizontal="center"/>
    </xf>
    <xf numFmtId="168" fontId="25" fillId="2" borderId="11" pivotButton="0" quotePrefix="0" xfId="4"/>
    <xf numFmtId="168" fontId="25" fillId="2" borderId="14" pivotButton="0" quotePrefix="0" xfId="4"/>
    <xf numFmtId="168" fontId="25" fillId="2" borderId="7" pivotButton="0" quotePrefix="0" xfId="4"/>
    <xf numFmtId="168" fontId="25" fillId="2" borderId="59" pivotButton="0" quotePrefix="0" xfId="4"/>
    <xf numFmtId="15" fontId="24" fillId="0" borderId="11" applyAlignment="1" pivotButton="0" quotePrefix="0" xfId="4">
      <alignment horizontal="center"/>
    </xf>
    <xf numFmtId="168" fontId="25" fillId="0" borderId="36" pivotButton="0" quotePrefix="0" xfId="4"/>
    <xf numFmtId="15" fontId="24" fillId="0" borderId="36" pivotButton="0" quotePrefix="0" xfId="4"/>
    <xf numFmtId="168" fontId="25" fillId="0" borderId="0" pivotButton="0" quotePrefix="0" xfId="4"/>
    <xf numFmtId="168" fontId="25" fillId="2" borderId="36" pivotButton="0" quotePrefix="0" xfId="4"/>
    <xf numFmtId="0" fontId="30" fillId="0" borderId="0" pivotButton="0" quotePrefix="0" xfId="14"/>
    <xf numFmtId="10" fontId="30" fillId="0" borderId="0" pivotButton="0" quotePrefix="0" xfId="14"/>
    <xf numFmtId="0" fontId="0" fillId="8" borderId="56" pivotButton="0" quotePrefix="0" xfId="0"/>
    <xf numFmtId="168" fontId="25" fillId="2" borderId="60" pivotButton="0" quotePrefix="0" xfId="4"/>
    <xf numFmtId="0" fontId="0" fillId="0" borderId="36" pivotButton="0" quotePrefix="0" xfId="0"/>
    <xf numFmtId="169" fontId="37" fillId="0" borderId="0" pivotButton="0" quotePrefix="0" xfId="11"/>
    <xf numFmtId="0" fontId="9" fillId="8" borderId="14" pivotButton="0" quotePrefix="0" xfId="4"/>
    <xf numFmtId="0" fontId="9" fillId="0" borderId="31" applyAlignment="1" pivotButton="0" quotePrefix="0" xfId="16">
      <alignment horizontal="right"/>
    </xf>
    <xf numFmtId="0" fontId="9" fillId="8" borderId="10" pivotButton="0" quotePrefix="0" xfId="4"/>
    <xf numFmtId="0" fontId="9" fillId="8" borderId="11" pivotButton="0" quotePrefix="0" xfId="4"/>
    <xf numFmtId="0" fontId="9" fillId="8" borderId="12" pivotButton="0" quotePrefix="0" xfId="4"/>
    <xf numFmtId="169" fontId="28" fillId="8" borderId="13" pivotButton="0" quotePrefix="0" xfId="11"/>
    <xf numFmtId="169" fontId="25" fillId="8" borderId="13" pivotButton="0" quotePrefix="0" xfId="11"/>
    <xf numFmtId="169" fontId="24" fillId="8" borderId="34" pivotButton="0" quotePrefix="0" xfId="11"/>
    <xf numFmtId="0" fontId="9" fillId="8" borderId="13" pivotButton="0" quotePrefix="0" xfId="4"/>
    <xf numFmtId="0" fontId="9" fillId="8" borderId="34" pivotButton="0" quotePrefix="0" xfId="4"/>
    <xf numFmtId="0" fontId="9" fillId="8" borderId="0" applyAlignment="1" pivotButton="0" quotePrefix="0" xfId="4">
      <alignment horizontal="center"/>
    </xf>
    <xf numFmtId="10" fontId="9" fillId="8" borderId="0" applyAlignment="1" pivotButton="0" quotePrefix="0" xfId="4">
      <alignment horizontal="center"/>
    </xf>
    <xf numFmtId="49" fontId="9" fillId="8" borderId="0" applyAlignment="1" pivotButton="0" quotePrefix="0" xfId="4">
      <alignment horizontal="center"/>
    </xf>
    <xf numFmtId="0" fontId="9" fillId="8" borderId="15" pivotButton="0" quotePrefix="0" xfId="4"/>
    <xf numFmtId="0" fontId="9" fillId="8" borderId="1" pivotButton="0" quotePrefix="0" xfId="4"/>
    <xf numFmtId="0" fontId="9" fillId="8" borderId="31" pivotButton="0" quotePrefix="0" xfId="4"/>
    <xf numFmtId="0" fontId="24" fillId="8" borderId="0" applyAlignment="1" pivotButton="0" quotePrefix="0" xfId="4">
      <alignment horizontal="center"/>
    </xf>
    <xf numFmtId="0" fontId="33" fillId="0" borderId="10" pivotButton="0" quotePrefix="0" xfId="4"/>
    <xf numFmtId="0" fontId="33" fillId="0" borderId="12" pivotButton="0" quotePrefix="0" xfId="4"/>
    <xf numFmtId="0" fontId="33" fillId="0" borderId="14" pivotButton="0" quotePrefix="0" xfId="4"/>
    <xf numFmtId="0" fontId="9" fillId="0" borderId="36" applyAlignment="1" applyProtection="1" pivotButton="0" quotePrefix="0" xfId="4">
      <alignment horizontal="left"/>
      <protection locked="0" hidden="0"/>
    </xf>
    <xf numFmtId="9" fontId="9" fillId="0" borderId="36" applyAlignment="1" applyProtection="1" pivotButton="0" quotePrefix="0" xfId="10">
      <alignment horizontal="left"/>
      <protection locked="0" hidden="0"/>
    </xf>
    <xf numFmtId="0" fontId="33" fillId="0" borderId="36" applyAlignment="1" applyProtection="1" pivotButton="0" quotePrefix="0" xfId="4">
      <alignment horizontal="left"/>
      <protection locked="0" hidden="0"/>
    </xf>
    <xf numFmtId="9" fontId="33" fillId="0" borderId="36" applyAlignment="1" applyProtection="1" pivotButton="0" quotePrefix="0" xfId="10">
      <alignment horizontal="left"/>
      <protection locked="0" hidden="0"/>
    </xf>
    <xf numFmtId="14" fontId="24" fillId="2" borderId="13" applyAlignment="1" pivotButton="0" quotePrefix="0" xfId="4">
      <alignment horizontal="left"/>
    </xf>
    <xf numFmtId="0" fontId="12" fillId="8" borderId="0" applyAlignment="1" pivotButton="0" quotePrefix="0" xfId="0">
      <alignment horizontal="center" vertical="top" wrapText="1"/>
    </xf>
    <xf numFmtId="0" fontId="0" fillId="0" borderId="10" pivotButton="0" quotePrefix="0" xfId="0"/>
    <xf numFmtId="0" fontId="0" fillId="0" borderId="12" pivotButton="0" quotePrefix="0" xfId="0"/>
    <xf numFmtId="0" fontId="0" fillId="0" borderId="14" pivotButton="0" quotePrefix="0" xfId="0"/>
    <xf numFmtId="0" fontId="0" fillId="0" borderId="13" pivotButton="0" quotePrefix="0" xfId="0"/>
    <xf numFmtId="0" fontId="0" fillId="0" borderId="15" pivotButton="0" quotePrefix="0" xfId="0"/>
    <xf numFmtId="0" fontId="0" fillId="0" borderId="31" pivotButton="0" quotePrefix="0" xfId="0"/>
    <xf numFmtId="0" fontId="0" fillId="0" borderId="11" pivotButton="0" quotePrefix="0" xfId="0"/>
    <xf numFmtId="0" fontId="16" fillId="0" borderId="11" applyAlignment="1" pivotButton="0" quotePrefix="0" xfId="0">
      <alignment horizontal="center"/>
    </xf>
    <xf numFmtId="0" fontId="10" fillId="0" borderId="11" pivotButton="0" quotePrefix="0" xfId="0"/>
    <xf numFmtId="0" fontId="8" fillId="0" borderId="13" pivotButton="0" quotePrefix="0" xfId="0"/>
    <xf numFmtId="0" fontId="0" fillId="0" borderId="1" pivotButton="0" quotePrefix="0" xfId="0"/>
    <xf numFmtId="0" fontId="8" fillId="0" borderId="1" pivotButton="0" quotePrefix="0" xfId="0"/>
    <xf numFmtId="164" fontId="8" fillId="0" borderId="1" pivotButton="0" quotePrefix="0" xfId="0"/>
    <xf numFmtId="0" fontId="8" fillId="0" borderId="31" pivotButton="0" quotePrefix="0" xfId="0"/>
    <xf numFmtId="0" fontId="0" fillId="8" borderId="27" pivotButton="0" quotePrefix="0" xfId="0"/>
    <xf numFmtId="10" fontId="0" fillId="8" borderId="27" pivotButton="0" quotePrefix="0" xfId="2"/>
    <xf numFmtId="0" fontId="7" fillId="8" borderId="0" pivotButton="0" quotePrefix="0" xfId="0"/>
    <xf numFmtId="10" fontId="7" fillId="8" borderId="0" pivotButton="0" quotePrefix="0" xfId="2"/>
    <xf numFmtId="10" fontId="7" fillId="8" borderId="27" pivotButton="0" quotePrefix="0" xfId="2"/>
    <xf numFmtId="169" fontId="7" fillId="0" borderId="43" pivotButton="0" quotePrefix="0" xfId="0"/>
    <xf numFmtId="0" fontId="2" fillId="8" borderId="27" applyAlignment="1" pivotButton="0" quotePrefix="0" xfId="0">
      <alignment wrapText="1"/>
    </xf>
    <xf numFmtId="0" fontId="0" fillId="0" borderId="43" applyAlignment="1" pivotButton="0" quotePrefix="0" xfId="0">
      <alignment wrapText="1"/>
    </xf>
    <xf numFmtId="0" fontId="21" fillId="0" borderId="27" applyAlignment="1" pivotButton="0" quotePrefix="0" xfId="0">
      <alignment wrapText="1"/>
    </xf>
    <xf numFmtId="0" fontId="7" fillId="0" borderId="0" applyAlignment="1" pivotButton="0" quotePrefix="0" xfId="0">
      <alignment wrapText="1"/>
    </xf>
    <xf numFmtId="0" fontId="21" fillId="0" borderId="43" applyAlignment="1" pivotButton="0" quotePrefix="0" xfId="0">
      <alignment wrapText="1"/>
    </xf>
    <xf numFmtId="0" fontId="2" fillId="0" borderId="27" applyAlignment="1" pivotButton="0" quotePrefix="0" xfId="0">
      <alignment wrapText="1"/>
    </xf>
    <xf numFmtId="0" fontId="7" fillId="0" borderId="43" applyAlignment="1" pivotButton="0" quotePrefix="0" xfId="0">
      <alignment wrapText="1"/>
    </xf>
    <xf numFmtId="0" fontId="7" fillId="0" borderId="27" applyAlignment="1" pivotButton="0" quotePrefix="0" xfId="0">
      <alignment wrapText="1"/>
    </xf>
    <xf numFmtId="0" fontId="0" fillId="0" borderId="27" applyAlignment="1" pivotButton="0" quotePrefix="0" xfId="0">
      <alignment wrapText="1"/>
    </xf>
    <xf numFmtId="169" fontId="0" fillId="0" borderId="0" applyAlignment="1" pivotButton="0" quotePrefix="0" xfId="1">
      <alignment wrapText="1"/>
    </xf>
    <xf numFmtId="169" fontId="0" fillId="8" borderId="0" applyAlignment="1" pivotButton="0" quotePrefix="0" xfId="1">
      <alignment wrapText="1"/>
    </xf>
    <xf numFmtId="169" fontId="2" fillId="8" borderId="0" applyAlignment="1" pivotButton="0" quotePrefix="0" xfId="1">
      <alignment wrapText="1"/>
    </xf>
    <xf numFmtId="169" fontId="2" fillId="8" borderId="27" applyAlignment="1" pivotButton="0" quotePrefix="0" xfId="1">
      <alignment wrapText="1"/>
    </xf>
    <xf numFmtId="169" fontId="7" fillId="0" borderId="0" applyAlignment="1" pivotButton="0" quotePrefix="0" xfId="1">
      <alignment wrapText="1"/>
    </xf>
    <xf numFmtId="169" fontId="21" fillId="0" borderId="0" applyAlignment="1" pivotButton="0" quotePrefix="0" xfId="1">
      <alignment wrapText="1"/>
    </xf>
    <xf numFmtId="169" fontId="0" fillId="8" borderId="27" applyAlignment="1" pivotButton="0" quotePrefix="0" xfId="1">
      <alignment wrapText="1"/>
    </xf>
    <xf numFmtId="169" fontId="7" fillId="8" borderId="0" applyAlignment="1" pivotButton="0" quotePrefix="0" xfId="1">
      <alignment wrapText="1"/>
    </xf>
    <xf numFmtId="169" fontId="21" fillId="8" borderId="0" applyAlignment="1" pivotButton="0" quotePrefix="0" xfId="1">
      <alignment wrapText="1"/>
    </xf>
    <xf numFmtId="169" fontId="21" fillId="8" borderId="27" applyAlignment="1" pivotButton="0" quotePrefix="0" xfId="1">
      <alignment wrapText="1"/>
    </xf>
    <xf numFmtId="169" fontId="0" fillId="8" borderId="27" applyAlignment="1" pivotButton="0" quotePrefix="0" xfId="0">
      <alignment wrapText="1"/>
    </xf>
    <xf numFmtId="0" fontId="0" fillId="8" borderId="0" applyAlignment="1" pivotButton="0" quotePrefix="0" xfId="0">
      <alignment wrapText="1"/>
    </xf>
    <xf numFmtId="0" fontId="2" fillId="8" borderId="0" applyAlignment="1" pivotButton="0" quotePrefix="0" xfId="0">
      <alignment wrapText="1"/>
    </xf>
    <xf numFmtId="0" fontId="0" fillId="8" borderId="27" applyAlignment="1" pivotButton="0" quotePrefix="0" xfId="0">
      <alignment wrapText="1"/>
    </xf>
    <xf numFmtId="0" fontId="7" fillId="8" borderId="0" applyAlignment="1" pivotButton="0" quotePrefix="0" xfId="0">
      <alignment wrapText="1"/>
    </xf>
    <xf numFmtId="0" fontId="21" fillId="8" borderId="0" applyAlignment="1" pivotButton="0" quotePrefix="0" xfId="0">
      <alignment wrapText="1"/>
    </xf>
    <xf numFmtId="0" fontId="21" fillId="8" borderId="27" applyAlignment="1" pivotButton="0" quotePrefix="0" xfId="0">
      <alignment wrapText="1"/>
    </xf>
    <xf numFmtId="0" fontId="0" fillId="8" borderId="10" pivotButton="0" quotePrefix="0" xfId="0"/>
    <xf numFmtId="0" fontId="0" fillId="8" borderId="11" pivotButton="0" quotePrefix="0" xfId="0"/>
    <xf numFmtId="0" fontId="0" fillId="8" borderId="12" pivotButton="0" quotePrefix="0" xfId="0"/>
    <xf numFmtId="0" fontId="0" fillId="8" borderId="14" pivotButton="0" quotePrefix="0" xfId="0"/>
    <xf numFmtId="0" fontId="0" fillId="8" borderId="13" pivotButton="0" quotePrefix="0" xfId="0"/>
    <xf numFmtId="0" fontId="0" fillId="8" borderId="14" applyAlignment="1" pivotButton="0" quotePrefix="0" xfId="0">
      <alignment horizontal="center"/>
    </xf>
    <xf numFmtId="0" fontId="0" fillId="8" borderId="0" applyAlignment="1" pivotButton="0" quotePrefix="0" xfId="0">
      <alignment horizontal="center"/>
    </xf>
    <xf numFmtId="0" fontId="0" fillId="8" borderId="13" applyAlignment="1" pivotButton="0" quotePrefix="0" xfId="0">
      <alignment horizontal="center"/>
    </xf>
    <xf numFmtId="10" fontId="8" fillId="8" borderId="13" pivotButton="0" quotePrefix="0" xfId="2"/>
    <xf numFmtId="0" fontId="8" fillId="8" borderId="13" pivotButton="0" quotePrefix="0" xfId="0"/>
    <xf numFmtId="167" fontId="8" fillId="8" borderId="13" pivotButton="0" quotePrefix="0" xfId="2"/>
    <xf numFmtId="0" fontId="0" fillId="8" borderId="15" pivotButton="0" quotePrefix="0" xfId="0"/>
    <xf numFmtId="0" fontId="0" fillId="8" borderId="1" pivotButton="0" quotePrefix="0" xfId="0"/>
    <xf numFmtId="0" fontId="8" fillId="8" borderId="31" pivotButton="0" quotePrefix="0" xfId="0"/>
    <xf numFmtId="14" fontId="0" fillId="0" borderId="36" applyAlignment="1" applyProtection="1" pivotButton="0" quotePrefix="0" xfId="9">
      <alignment horizontal="center"/>
      <protection locked="0" hidden="0"/>
    </xf>
    <xf numFmtId="0" fontId="47" fillId="0" borderId="0" applyAlignment="1" pivotButton="0" quotePrefix="0" xfId="4">
      <alignment vertical="center" wrapText="1"/>
    </xf>
    <xf numFmtId="0" fontId="24" fillId="0" borderId="0" applyAlignment="1" pivotButton="0" quotePrefix="0" xfId="4">
      <alignment horizontal="center" wrapText="1"/>
    </xf>
    <xf numFmtId="0" fontId="9" fillId="0" borderId="0" applyAlignment="1" pivotButton="0" quotePrefix="0" xfId="4">
      <alignment horizontal="center"/>
    </xf>
    <xf numFmtId="0" fontId="9" fillId="0" borderId="1" applyAlignment="1" pivotButton="0" quotePrefix="0" xfId="4">
      <alignment horizontal="center"/>
    </xf>
    <xf numFmtId="10" fontId="9" fillId="0" borderId="0" applyAlignment="1" pivotButton="0" quotePrefix="0" xfId="4">
      <alignment horizontal="center"/>
    </xf>
    <xf numFmtId="10" fontId="9" fillId="0" borderId="1" applyAlignment="1" pivotButton="0" quotePrefix="0" xfId="4">
      <alignment horizontal="center"/>
    </xf>
    <xf numFmtId="0" fontId="9" fillId="0" borderId="10" pivotButton="0" quotePrefix="0" xfId="4"/>
    <xf numFmtId="0" fontId="0" fillId="0" borderId="36" applyAlignment="1" pivotButton="0" quotePrefix="0" xfId="0">
      <alignment horizontal="left"/>
    </xf>
    <xf numFmtId="169" fontId="24" fillId="0" borderId="61" pivotButton="0" quotePrefix="0" xfId="1"/>
    <xf numFmtId="0" fontId="24" fillId="2" borderId="11" applyAlignment="1" pivotButton="0" quotePrefix="0" xfId="4">
      <alignment wrapText="1"/>
    </xf>
    <xf numFmtId="169" fontId="24" fillId="2" borderId="11" applyAlignment="1" pivotButton="0" quotePrefix="0" xfId="9">
      <alignment wrapText="1"/>
    </xf>
    <xf numFmtId="169" fontId="24" fillId="2" borderId="12" applyAlignment="1" pivotButton="0" quotePrefix="0" xfId="9">
      <alignment wrapText="1"/>
    </xf>
    <xf numFmtId="169" fontId="24" fillId="2" borderId="11" pivotButton="0" quotePrefix="0" xfId="9"/>
    <xf numFmtId="0" fontId="9" fillId="0" borderId="3" applyProtection="1" pivotButton="0" quotePrefix="0" xfId="4">
      <protection locked="0" hidden="0"/>
    </xf>
    <xf numFmtId="169" fontId="0" fillId="0" borderId="3" applyProtection="1" pivotButton="0" quotePrefix="0" xfId="9">
      <protection locked="0" hidden="0"/>
    </xf>
    <xf numFmtId="0" fontId="0" fillId="0" borderId="3" applyProtection="1" pivotButton="0" quotePrefix="0" xfId="9">
      <protection locked="0" hidden="0"/>
    </xf>
    <xf numFmtId="166" fontId="2" fillId="8" borderId="0" applyAlignment="1" pivotButton="0" quotePrefix="0" xfId="2">
      <alignment wrapText="1"/>
    </xf>
    <xf numFmtId="167" fontId="0" fillId="8" borderId="0" pivotButton="0" quotePrefix="0" xfId="2"/>
    <xf numFmtId="166" fontId="2" fillId="8" borderId="27" applyAlignment="1" pivotButton="0" quotePrefix="0" xfId="2">
      <alignment wrapText="1"/>
    </xf>
    <xf numFmtId="167" fontId="0" fillId="8" borderId="27" pivotButton="0" quotePrefix="0" xfId="2"/>
    <xf numFmtId="0" fontId="24" fillId="2" borderId="11" applyAlignment="1" pivotButton="0" quotePrefix="0" xfId="9">
      <alignment wrapText="1"/>
    </xf>
    <xf numFmtId="0" fontId="28" fillId="0" borderId="0" pivotButton="0" quotePrefix="0" xfId="4"/>
    <xf numFmtId="167" fontId="9" fillId="0" borderId="36" applyAlignment="1" applyProtection="1" pivotButton="0" quotePrefix="0" xfId="10">
      <alignment horizontal="center"/>
      <protection locked="0" hidden="0"/>
    </xf>
    <xf numFmtId="10" fontId="24" fillId="8" borderId="27" applyAlignment="1" pivotButton="0" quotePrefix="0" xfId="10">
      <alignment horizontal="left"/>
    </xf>
    <xf numFmtId="10" fontId="24" fillId="8" borderId="62" applyAlignment="1" pivotButton="0" quotePrefix="0" xfId="10">
      <alignment horizontal="left"/>
    </xf>
    <xf numFmtId="167" fontId="0" fillId="8" borderId="0" applyAlignment="1" pivotButton="0" quotePrefix="0" xfId="0">
      <alignment horizontal="center"/>
    </xf>
    <xf numFmtId="167" fontId="33" fillId="0" borderId="0" applyAlignment="1" applyProtection="1" pivotButton="0" quotePrefix="0" xfId="4">
      <alignment horizontal="left"/>
      <protection locked="0" hidden="0"/>
    </xf>
    <xf numFmtId="167" fontId="9" fillId="0" borderId="36" applyAlignment="1" applyProtection="1" pivotButton="0" quotePrefix="0" xfId="2">
      <alignment horizontal="center"/>
      <protection locked="0" hidden="0"/>
    </xf>
    <xf numFmtId="10" fontId="24" fillId="7" borderId="36" pivotButton="0" quotePrefix="0" xfId="2"/>
    <xf numFmtId="170" fontId="24" fillId="7" borderId="36" pivotButton="0" quotePrefix="0" xfId="8"/>
    <xf numFmtId="170" fontId="24" fillId="7" borderId="54" pivotButton="0" quotePrefix="0" xfId="8"/>
    <xf numFmtId="0" fontId="48" fillId="0" borderId="0" applyAlignment="1" pivotButton="0" quotePrefix="0" xfId="0">
      <alignment vertical="center"/>
    </xf>
    <xf numFmtId="0" fontId="48" fillId="0" borderId="5" applyAlignment="1" pivotButton="0" quotePrefix="0" xfId="0">
      <alignment vertical="center"/>
    </xf>
    <xf numFmtId="0" fontId="48" fillId="0" borderId="8" applyAlignment="1" pivotButton="0" quotePrefix="0" xfId="0">
      <alignment vertical="center"/>
    </xf>
    <xf numFmtId="0" fontId="48" fillId="0" borderId="35" applyAlignment="1" pivotButton="0" quotePrefix="0" xfId="0">
      <alignment vertical="center"/>
    </xf>
    <xf numFmtId="0" fontId="48" fillId="0" borderId="31" applyAlignment="1" pivotButton="0" quotePrefix="0" xfId="0">
      <alignment vertical="center"/>
    </xf>
    <xf numFmtId="10" fontId="48" fillId="0" borderId="31" applyAlignment="1" pivotButton="0" quotePrefix="0" xfId="0">
      <alignment vertical="center"/>
    </xf>
    <xf numFmtId="10" fontId="48" fillId="0" borderId="35" applyAlignment="1" pivotButton="0" quotePrefix="0" xfId="0">
      <alignment vertical="center"/>
    </xf>
    <xf numFmtId="0" fontId="51" fillId="0" borderId="0" pivotButton="0" quotePrefix="0" xfId="17"/>
    <xf numFmtId="0" fontId="52" fillId="0" borderId="0" applyAlignment="1" pivotButton="0" quotePrefix="0" xfId="17">
      <alignment wrapText="1"/>
    </xf>
    <xf numFmtId="0" fontId="53" fillId="0" borderId="0" applyAlignment="1" pivotButton="0" quotePrefix="0" xfId="0">
      <alignment horizontal="center" vertical="center"/>
    </xf>
    <xf numFmtId="0" fontId="57" fillId="0" borderId="0" applyAlignment="1" pivotButton="0" quotePrefix="0" xfId="17">
      <alignment vertical="center"/>
    </xf>
    <xf numFmtId="0" fontId="51" fillId="0" borderId="0" pivotButton="0" quotePrefix="1" xfId="17"/>
    <xf numFmtId="0" fontId="59" fillId="0" borderId="0" pivotButton="0" quotePrefix="0" xfId="17"/>
    <xf numFmtId="14" fontId="59" fillId="0" borderId="0" applyAlignment="1" pivotButton="0" quotePrefix="0" xfId="17">
      <alignment horizontal="right"/>
    </xf>
    <xf numFmtId="0" fontId="59" fillId="0" borderId="0" applyAlignment="1" pivotButton="0" quotePrefix="0" xfId="17">
      <alignment horizontal="right"/>
    </xf>
    <xf numFmtId="0" fontId="22" fillId="10" borderId="0" applyAlignment="1" pivotButton="0" quotePrefix="0" xfId="0">
      <alignment horizontal="left" vertical="center"/>
    </xf>
    <xf numFmtId="14" fontId="49" fillId="10" borderId="0" pivotButton="0" quotePrefix="0" xfId="0"/>
    <xf numFmtId="0" fontId="22" fillId="0" borderId="0" applyAlignment="1" pivotButton="0" quotePrefix="0" xfId="0">
      <alignment horizontal="left" vertical="center"/>
    </xf>
    <xf numFmtId="14" fontId="49" fillId="0" borderId="0" pivotButton="0" quotePrefix="0" xfId="0"/>
    <xf numFmtId="0" fontId="22" fillId="10" borderId="0" pivotButton="0" quotePrefix="0" xfId="0"/>
    <xf numFmtId="14" fontId="22" fillId="10" borderId="0" applyAlignment="1" pivotButton="0" quotePrefix="0" xfId="0">
      <alignment horizontal="left" vertical="center"/>
    </xf>
    <xf numFmtId="43" fontId="0" fillId="0" borderId="0" pivotButton="0" quotePrefix="0" xfId="0"/>
    <xf numFmtId="43" fontId="22" fillId="10" borderId="0" pivotButton="0" quotePrefix="0" xfId="0"/>
    <xf numFmtId="0" fontId="49" fillId="10" borderId="0" pivotButton="0" quotePrefix="0" xfId="0"/>
    <xf numFmtId="0" fontId="12" fillId="0" borderId="0" applyAlignment="1" pivotButton="0" quotePrefix="0" xfId="0">
      <alignment horizontal="center" vertical="top" wrapText="1"/>
    </xf>
    <xf numFmtId="0" fontId="22" fillId="10" borderId="0" applyAlignment="1" pivotButton="0" quotePrefix="0" xfId="0">
      <alignment horizontal="center" vertical="center" wrapText="1"/>
    </xf>
    <xf numFmtId="0" fontId="15" fillId="0" borderId="0" applyAlignment="1" pivotButton="0" quotePrefix="1" xfId="0">
      <alignment horizontal="center" vertical="center" wrapText="1"/>
    </xf>
    <xf numFmtId="43" fontId="0" fillId="0" borderId="0" applyAlignment="1" pivotButton="0" quotePrefix="0" xfId="1">
      <alignment horizontal="center"/>
    </xf>
    <xf numFmtId="43" fontId="8" fillId="0" borderId="0" applyAlignment="1" pivotButton="0" quotePrefix="0" xfId="3">
      <alignment horizontal="center"/>
    </xf>
    <xf numFmtId="43" fontId="8" fillId="0" borderId="0" applyAlignment="1" pivotButton="0" quotePrefix="0" xfId="0">
      <alignment horizontal="center"/>
    </xf>
    <xf numFmtId="43" fontId="0" fillId="0" borderId="0" applyAlignment="1" pivotButton="0" quotePrefix="0" xfId="0">
      <alignment horizontal="center"/>
    </xf>
    <xf numFmtId="43" fontId="0" fillId="0" borderId="0" applyAlignment="1" pivotButton="0" quotePrefix="1" xfId="0">
      <alignment horizontal="center"/>
    </xf>
    <xf numFmtId="10" fontId="8" fillId="0" borderId="0" applyAlignment="1" pivotButton="0" quotePrefix="0" xfId="2">
      <alignment horizontal="right"/>
    </xf>
    <xf numFmtId="43" fontId="8" fillId="0" borderId="0" pivotButton="0" quotePrefix="0" xfId="0"/>
    <xf numFmtId="10" fontId="0" fillId="0" borderId="0" applyAlignment="1" pivotButton="0" quotePrefix="0" xfId="2">
      <alignment horizontal="right"/>
    </xf>
    <xf numFmtId="43" fontId="5" fillId="0" borderId="0" applyAlignment="1" pivotButton="0" quotePrefix="0" xfId="3">
      <alignment horizontal="center"/>
    </xf>
    <xf numFmtId="43" fontId="5" fillId="0" borderId="0" pivotButton="0" quotePrefix="0" xfId="0"/>
    <xf numFmtId="10" fontId="5" fillId="0" borderId="0" applyAlignment="1" pivotButton="0" quotePrefix="0" xfId="2">
      <alignment horizontal="right"/>
    </xf>
    <xf numFmtId="0" fontId="5" fillId="0" borderId="0" pivotButton="0" quotePrefix="0" xfId="0"/>
    <xf numFmtId="43" fontId="2" fillId="0" borderId="0" applyAlignment="1" pivotButton="0" quotePrefix="0" xfId="0">
      <alignment horizontal="right"/>
    </xf>
    <xf numFmtId="43" fontId="16" fillId="0" borderId="0" applyAlignment="1" pivotButton="0" quotePrefix="0" xfId="0">
      <alignment horizontal="center"/>
    </xf>
    <xf numFmtId="43" fontId="8" fillId="0" borderId="0" pivotButton="0" quotePrefix="0" xfId="1"/>
    <xf numFmtId="43" fontId="16" fillId="0" borderId="0" applyAlignment="1" pivotButton="0" quotePrefix="0" xfId="0">
      <alignment horizontal="left"/>
    </xf>
    <xf numFmtId="43" fontId="8" fillId="0" borderId="0" pivotButton="0" quotePrefix="0" xfId="3"/>
    <xf numFmtId="0" fontId="60" fillId="0" borderId="0" applyAlignment="1" pivotButton="0" quotePrefix="0" xfId="16">
      <alignment horizontal="right"/>
    </xf>
    <xf numFmtId="0" fontId="60" fillId="0" borderId="0" pivotButton="0" quotePrefix="0" xfId="16"/>
    <xf numFmtId="0" fontId="62" fillId="0" borderId="0" pivotButton="0" quotePrefix="0" xfId="16"/>
    <xf numFmtId="0" fontId="15" fillId="0" borderId="0" applyAlignment="1" pivotButton="0" quotePrefix="0" xfId="16">
      <alignment horizontal="center"/>
    </xf>
    <xf numFmtId="0" fontId="63" fillId="0" borderId="0" applyAlignment="1" pivotButton="0" quotePrefix="0" xfId="16">
      <alignment horizontal="center"/>
    </xf>
    <xf numFmtId="0" fontId="5" fillId="0" borderId="0" pivotButton="0" quotePrefix="0" xfId="16"/>
    <xf numFmtId="0" fontId="64" fillId="4" borderId="0" pivotButton="0" quotePrefix="0" xfId="16"/>
    <xf numFmtId="0" fontId="61" fillId="4" borderId="0" pivotButton="0" quotePrefix="0" xfId="16"/>
    <xf numFmtId="0" fontId="2" fillId="4" borderId="0" applyAlignment="1" pivotButton="0" quotePrefix="0" xfId="16">
      <alignment horizontal="left" vertical="center"/>
    </xf>
    <xf numFmtId="0" fontId="2" fillId="4" borderId="0" applyAlignment="1" pivotButton="0" quotePrefix="0" xfId="16">
      <alignment horizontal="left" vertical="center" wrapText="1"/>
    </xf>
    <xf numFmtId="0" fontId="21" fillId="0" borderId="0" pivotButton="0" quotePrefix="0" xfId="16"/>
    <xf numFmtId="10" fontId="60" fillId="4" borderId="0" applyAlignment="1" pivotButton="0" quotePrefix="0" xfId="16">
      <alignment horizontal="left" vertical="center"/>
    </xf>
    <xf numFmtId="10" fontId="1" fillId="4" borderId="0" applyAlignment="1" pivotButton="0" quotePrefix="0" xfId="10">
      <alignment horizontal="right" vertical="center"/>
    </xf>
    <xf numFmtId="170" fontId="1" fillId="4" borderId="0" applyAlignment="1" pivotButton="0" quotePrefix="0" xfId="12">
      <alignment horizontal="right" vertical="center"/>
    </xf>
    <xf numFmtId="170" fontId="1" fillId="4" borderId="0" applyAlignment="1" pivotButton="0" quotePrefix="0" xfId="13">
      <alignment horizontal="right" vertical="center"/>
    </xf>
    <xf numFmtId="10" fontId="1" fillId="0" borderId="0" pivotButton="0" quotePrefix="0" xfId="13"/>
    <xf numFmtId="10" fontId="1" fillId="4" borderId="0" applyAlignment="1" pivotButton="0" quotePrefix="0" xfId="13">
      <alignment horizontal="right" vertical="center"/>
    </xf>
    <xf numFmtId="0" fontId="2" fillId="0" borderId="0" pivotButton="0" quotePrefix="0" xfId="16"/>
    <xf numFmtId="0" fontId="65" fillId="0" borderId="0" pivotButton="0" quotePrefix="0" xfId="14"/>
    <xf numFmtId="0" fontId="22" fillId="10" borderId="0" applyAlignment="1" pivotButton="0" quotePrefix="0" xfId="0">
      <alignment horizontal="left" vertical="center" wrapText="1"/>
    </xf>
    <xf numFmtId="0" fontId="22" fillId="0" borderId="0" applyAlignment="1" pivotButton="0" quotePrefix="0" xfId="0">
      <alignment horizontal="left" vertical="center" wrapText="1"/>
    </xf>
    <xf numFmtId="170" fontId="7" fillId="0" borderId="0" applyAlignment="1" pivotButton="0" quotePrefix="0" xfId="12">
      <alignment wrapText="1"/>
    </xf>
    <xf numFmtId="10" fontId="1" fillId="0" borderId="0" applyAlignment="1" pivotButton="0" quotePrefix="0" xfId="13">
      <alignment wrapText="1"/>
    </xf>
    <xf numFmtId="0" fontId="60" fillId="0" borderId="0" applyAlignment="1" pivotButton="0" quotePrefix="0" xfId="16">
      <alignment wrapText="1"/>
    </xf>
    <xf numFmtId="0" fontId="5" fillId="0" borderId="0" applyAlignment="1" pivotButton="0" quotePrefix="0" xfId="16">
      <alignment wrapText="1"/>
    </xf>
    <xf numFmtId="0" fontId="63" fillId="0" borderId="0" pivotButton="0" quotePrefix="0" xfId="16"/>
    <xf numFmtId="167" fontId="8" fillId="0" borderId="0" applyAlignment="1" pivotButton="0" quotePrefix="0" xfId="16">
      <alignment horizontal="center"/>
    </xf>
    <xf numFmtId="10" fontId="8" fillId="0" borderId="0" applyAlignment="1" pivotButton="0" quotePrefix="0" xfId="16">
      <alignment horizontal="center"/>
    </xf>
    <xf numFmtId="10" fontId="62" fillId="0" borderId="0" pivotButton="0" quotePrefix="0" xfId="16"/>
    <xf numFmtId="0" fontId="33" fillId="0" borderId="0" pivotButton="0" quotePrefix="0" xfId="16"/>
    <xf numFmtId="0" fontId="9" fillId="0" borderId="0" applyAlignment="1" pivotButton="0" quotePrefix="0" xfId="16">
      <alignment horizontal="center"/>
    </xf>
    <xf numFmtId="10" fontId="9" fillId="0" borderId="0" applyAlignment="1" pivotButton="0" quotePrefix="0" xfId="16">
      <alignment horizontal="center"/>
    </xf>
    <xf numFmtId="49" fontId="9" fillId="0" borderId="0" applyAlignment="1" pivotButton="0" quotePrefix="0" xfId="16">
      <alignment horizontal="center"/>
    </xf>
    <xf numFmtId="0" fontId="63" fillId="0" borderId="0" applyAlignment="1" pivotButton="0" quotePrefix="0" xfId="16">
      <alignment horizontal="center" vertical="center" wrapText="1"/>
    </xf>
    <xf numFmtId="0" fontId="64" fillId="0" borderId="0" applyAlignment="1" pivotButton="0" quotePrefix="0" xfId="16">
      <alignment horizontal="center"/>
    </xf>
    <xf numFmtId="0" fontId="60" fillId="0" borderId="0" applyAlignment="1" pivotButton="0" quotePrefix="0" xfId="16">
      <alignment horizontal="left"/>
    </xf>
    <xf numFmtId="0" fontId="60" fillId="0" borderId="0" applyAlignment="1" pivotButton="0" quotePrefix="0" xfId="16">
      <alignment horizontal="center"/>
    </xf>
    <xf numFmtId="10" fontId="60" fillId="0" borderId="0" applyAlignment="1" pivotButton="0" quotePrefix="0" xfId="10">
      <alignment horizontal="left"/>
    </xf>
    <xf numFmtId="43" fontId="60" fillId="0" borderId="0" applyAlignment="1" pivotButton="0" quotePrefix="0" xfId="8">
      <alignment horizontal="left"/>
    </xf>
    <xf numFmtId="0" fontId="66" fillId="10" borderId="0" applyAlignment="1" pivotButton="0" quotePrefix="0" xfId="16">
      <alignment horizontal="left" vertical="center"/>
    </xf>
    <xf numFmtId="14" fontId="66" fillId="10" borderId="0" applyAlignment="1" pivotButton="0" quotePrefix="0" xfId="16">
      <alignment horizontal="left" vertical="center" wrapText="1"/>
    </xf>
    <xf numFmtId="43" fontId="66" fillId="10" borderId="0" applyAlignment="1" pivotButton="0" quotePrefix="0" xfId="8">
      <alignment horizontal="left" vertical="center"/>
    </xf>
    <xf numFmtId="0" fontId="60" fillId="10" borderId="0" applyAlignment="1" pivotButton="0" quotePrefix="0" xfId="16">
      <alignment horizontal="left"/>
    </xf>
    <xf numFmtId="43" fontId="60" fillId="10" borderId="0" applyAlignment="1" pivotButton="0" quotePrefix="0" xfId="8">
      <alignment horizontal="left"/>
    </xf>
    <xf numFmtId="10" fontId="60" fillId="10" borderId="0" applyAlignment="1" pivotButton="0" quotePrefix="0" xfId="10">
      <alignment horizontal="left"/>
    </xf>
    <xf numFmtId="43" fontId="66" fillId="10" borderId="0" applyAlignment="1" pivotButton="0" quotePrefix="0" xfId="8">
      <alignment horizontal="center" vertical="center" wrapText="1"/>
    </xf>
    <xf numFmtId="0" fontId="60" fillId="0" borderId="0" applyAlignment="1" applyProtection="1" pivotButton="0" quotePrefix="0" xfId="16">
      <alignment horizontal="left"/>
      <protection locked="0" hidden="0"/>
    </xf>
    <xf numFmtId="9" fontId="60" fillId="0" borderId="0" applyAlignment="1" applyProtection="1" pivotButton="0" quotePrefix="0" xfId="10">
      <alignment horizontal="center"/>
      <protection locked="0" hidden="0"/>
    </xf>
    <xf numFmtId="43" fontId="60" fillId="0" borderId="0" pivotButton="0" quotePrefix="0" xfId="8"/>
    <xf numFmtId="169" fontId="1" fillId="0" borderId="0" applyAlignment="1" pivotButton="0" quotePrefix="0" xfId="9">
      <alignment horizontal="left"/>
    </xf>
    <xf numFmtId="0" fontId="62" fillId="0" borderId="0" applyAlignment="1" pivotButton="0" quotePrefix="0" xfId="16">
      <alignment horizontal="left"/>
    </xf>
    <xf numFmtId="9" fontId="60" fillId="0" borderId="0" applyAlignment="1" pivotButton="0" quotePrefix="0" xfId="10">
      <alignment horizontal="left"/>
    </xf>
    <xf numFmtId="43" fontId="63" fillId="0" borderId="0" pivotButton="0" quotePrefix="0" xfId="8"/>
    <xf numFmtId="14" fontId="60" fillId="0" borderId="0" applyAlignment="1" pivotButton="0" quotePrefix="0" xfId="16">
      <alignment horizontal="left"/>
    </xf>
    <xf numFmtId="0" fontId="67" fillId="0" borderId="0" applyAlignment="1" pivotButton="0" quotePrefix="0" xfId="16">
      <alignment horizontal="center"/>
    </xf>
    <xf numFmtId="0" fontId="68" fillId="0" borderId="0" applyAlignment="1" pivotButton="0" quotePrefix="0" xfId="16">
      <alignment horizontal="center"/>
    </xf>
    <xf numFmtId="0" fontId="68" fillId="0" borderId="0" pivotButton="0" quotePrefix="0" xfId="16"/>
    <xf numFmtId="0" fontId="68" fillId="0" borderId="0" applyAlignment="1" pivotButton="0" quotePrefix="0" xfId="16">
      <alignment horizontal="left"/>
    </xf>
    <xf numFmtId="0" fontId="66" fillId="10" borderId="0" applyAlignment="1" pivotButton="0" quotePrefix="0" xfId="16">
      <alignment horizontal="left" vertical="center" wrapText="1"/>
    </xf>
    <xf numFmtId="0" fontId="66" fillId="10" borderId="0" applyAlignment="1" pivotButton="0" quotePrefix="0" xfId="16">
      <alignment horizontal="center" vertical="center" wrapText="1"/>
    </xf>
    <xf numFmtId="169" fontId="66" fillId="10" borderId="0" applyAlignment="1" pivotButton="0" quotePrefix="0" xfId="9">
      <alignment horizontal="center" vertical="center" wrapText="1"/>
    </xf>
    <xf numFmtId="0" fontId="66" fillId="10" borderId="0" applyAlignment="1" pivotButton="0" quotePrefix="0" xfId="9">
      <alignment horizontal="center" vertical="center" wrapText="1"/>
    </xf>
    <xf numFmtId="169" fontId="66" fillId="10" borderId="0" applyAlignment="1" pivotButton="0" quotePrefix="0" xfId="9">
      <alignment horizontal="center" vertical="center"/>
    </xf>
    <xf numFmtId="169" fontId="66" fillId="0" borderId="0" applyAlignment="1" pivotButton="0" quotePrefix="0" xfId="9">
      <alignment horizontal="center" vertical="center"/>
    </xf>
    <xf numFmtId="10" fontId="66" fillId="10" borderId="0" applyAlignment="1" pivotButton="0" quotePrefix="0" xfId="10">
      <alignment horizontal="center" vertical="center" wrapText="1"/>
    </xf>
    <xf numFmtId="0" fontId="63" fillId="0" borderId="0" applyAlignment="1" pivotButton="0" quotePrefix="0" xfId="16">
      <alignment horizontal="left" vertical="center" wrapText="1"/>
    </xf>
    <xf numFmtId="0" fontId="60" fillId="0" borderId="63" applyProtection="1" pivotButton="0" quotePrefix="0" xfId="16">
      <protection locked="0" hidden="0"/>
    </xf>
    <xf numFmtId="43" fontId="1" fillId="0" borderId="63" applyProtection="1" pivotButton="0" quotePrefix="0" xfId="8">
      <protection locked="0" hidden="0"/>
    </xf>
    <xf numFmtId="0" fontId="1" fillId="0" borderId="63" applyProtection="1" pivotButton="0" quotePrefix="0" xfId="9">
      <protection locked="0" hidden="0"/>
    </xf>
    <xf numFmtId="169" fontId="1" fillId="0" borderId="63" applyProtection="1" pivotButton="0" quotePrefix="0" xfId="9">
      <protection locked="0" hidden="0"/>
    </xf>
    <xf numFmtId="169" fontId="1" fillId="0" borderId="0" applyProtection="1" pivotButton="0" quotePrefix="0" xfId="9">
      <protection locked="0" hidden="0"/>
    </xf>
    <xf numFmtId="0" fontId="60" fillId="4" borderId="64" applyProtection="1" pivotButton="0" quotePrefix="0" xfId="16">
      <protection locked="0" hidden="0"/>
    </xf>
    <xf numFmtId="169" fontId="1" fillId="4" borderId="64" pivotButton="0" quotePrefix="0" xfId="9"/>
    <xf numFmtId="43" fontId="1" fillId="4" borderId="64" pivotButton="0" quotePrefix="0" xfId="8"/>
    <xf numFmtId="10" fontId="1" fillId="4" borderId="64" pivotButton="0" quotePrefix="0" xfId="10"/>
    <xf numFmtId="9" fontId="60" fillId="4" borderId="64" pivotButton="0" quotePrefix="0" xfId="10"/>
    <xf numFmtId="43" fontId="60" fillId="4" borderId="64" pivotButton="0" quotePrefix="0" xfId="8"/>
    <xf numFmtId="43" fontId="1" fillId="0" borderId="0" applyProtection="1" pivotButton="0" quotePrefix="0" xfId="8">
      <protection locked="0" hidden="0"/>
    </xf>
    <xf numFmtId="0" fontId="63" fillId="0" borderId="0" applyAlignment="1" pivotButton="0" quotePrefix="0" xfId="16">
      <alignment horizontal="left" vertical="center"/>
    </xf>
    <xf numFmtId="43" fontId="1" fillId="0" borderId="0" applyAlignment="1" pivotButton="0" quotePrefix="0" xfId="8">
      <alignment horizontal="left"/>
    </xf>
    <xf numFmtId="0" fontId="69" fillId="0" borderId="0" applyAlignment="1" pivotButton="0" quotePrefix="0" xfId="0">
      <alignment horizontal="left" vertical="center"/>
    </xf>
    <xf numFmtId="0" fontId="51" fillId="0" borderId="0" pivotButton="0" quotePrefix="0" xfId="16"/>
    <xf numFmtId="0" fontId="70" fillId="0" borderId="0" applyAlignment="1" pivotButton="0" quotePrefix="0" xfId="0">
      <alignment horizontal="left" vertical="center"/>
    </xf>
    <xf numFmtId="0" fontId="69" fillId="0" borderId="0" applyAlignment="1" pivotButton="0" quotePrefix="0" xfId="0">
      <alignment horizontal="left" vertical="center" wrapText="1"/>
    </xf>
    <xf numFmtId="0" fontId="51" fillId="0" borderId="0" applyAlignment="1" pivotButton="0" quotePrefix="0" xfId="16">
      <alignment wrapText="1"/>
    </xf>
    <xf numFmtId="0" fontId="53" fillId="0" borderId="0" applyAlignment="1" pivotButton="0" quotePrefix="0" xfId="16">
      <alignment vertical="center" wrapText="1"/>
    </xf>
    <xf numFmtId="0" fontId="71" fillId="0" borderId="0" pivotButton="0" quotePrefix="0" xfId="16"/>
    <xf numFmtId="168" fontId="51" fillId="0" borderId="0" pivotButton="0" quotePrefix="0" xfId="16"/>
    <xf numFmtId="0" fontId="51" fillId="0" borderId="0" applyAlignment="1" pivotButton="0" quotePrefix="0" xfId="16">
      <alignment horizontal="right"/>
    </xf>
    <xf numFmtId="0" fontId="59" fillId="0" borderId="0" applyAlignment="1" pivotButton="0" quotePrefix="0" xfId="16">
      <alignment horizontal="left"/>
    </xf>
    <xf numFmtId="0" fontId="59" fillId="0" borderId="0" pivotButton="0" quotePrefix="0" xfId="16"/>
    <xf numFmtId="0" fontId="70" fillId="0" borderId="0" applyAlignment="1" pivotButton="0" quotePrefix="0" xfId="0">
      <alignment horizontal="left" vertical="center" wrapText="1"/>
    </xf>
    <xf numFmtId="0" fontId="70" fillId="0" borderId="0" pivotButton="0" quotePrefix="0" xfId="0"/>
    <xf numFmtId="0" fontId="72" fillId="0" borderId="0" pivotButton="0" quotePrefix="0" xfId="0"/>
    <xf numFmtId="0" fontId="12" fillId="0" borderId="0" applyAlignment="1" pivotButton="0" quotePrefix="0" xfId="0">
      <alignment horizontal="left" vertical="center" wrapText="1"/>
    </xf>
    <xf numFmtId="0" fontId="10" fillId="0" borderId="0" applyAlignment="1" pivotButton="0" quotePrefix="0" xfId="0">
      <alignment horizontal="left" vertical="center" wrapText="1"/>
    </xf>
    <xf numFmtId="0" fontId="10" fillId="0" borderId="0" applyAlignment="1" pivotButton="0" quotePrefix="0" xfId="0">
      <alignment wrapText="1"/>
    </xf>
    <xf numFmtId="0" fontId="10" fillId="0" borderId="0" applyAlignment="1" pivotButton="0" quotePrefix="0" xfId="0">
      <alignment horizontal="left" vertical="center"/>
    </xf>
    <xf numFmtId="0" fontId="73" fillId="0" borderId="0" pivotButton="0" quotePrefix="0" xfId="0"/>
    <xf numFmtId="0" fontId="15" fillId="0" borderId="0" applyAlignment="1" pivotButton="0" quotePrefix="0" xfId="0">
      <alignment horizontal="left" vertical="center" wrapText="1"/>
    </xf>
    <xf numFmtId="0" fontId="15" fillId="0" borderId="0" pivotButton="0" quotePrefix="0" xfId="16"/>
    <xf numFmtId="0" fontId="74" fillId="0" borderId="0" applyAlignment="1" pivotButton="0" quotePrefix="0" xfId="16">
      <alignment wrapText="1"/>
    </xf>
    <xf numFmtId="0" fontId="15" fillId="0" borderId="0" applyAlignment="1" pivotButton="0" quotePrefix="0" xfId="16">
      <alignment wrapText="1"/>
    </xf>
    <xf numFmtId="0" fontId="63" fillId="0" borderId="0" applyAlignment="1" pivotButton="0" quotePrefix="0" xfId="16">
      <alignment wrapText="1"/>
    </xf>
    <xf numFmtId="0" fontId="74" fillId="0" borderId="0" applyAlignment="1" pivotButton="0" quotePrefix="0" xfId="16">
      <alignment vertical="center" wrapText="1"/>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horizontal="left" vertical="center" wrapText="1"/>
    </xf>
    <xf numFmtId="169" fontId="15" fillId="0" borderId="0" pivotButton="0" quotePrefix="0" xfId="11"/>
    <xf numFmtId="169" fontId="19" fillId="0" borderId="0" pivotButton="0" quotePrefix="0" xfId="11"/>
    <xf numFmtId="169" fontId="63" fillId="0" borderId="0" pivotButton="0" quotePrefix="0" xfId="11"/>
    <xf numFmtId="169" fontId="75" fillId="0" borderId="0" pivotButton="0" quotePrefix="0" xfId="11"/>
    <xf numFmtId="0" fontId="63" fillId="12" borderId="0" applyAlignment="1" pivotButton="0" quotePrefix="0" xfId="16">
      <alignment horizontal="center" wrapText="1"/>
    </xf>
    <xf numFmtId="0" fontId="60" fillId="11" borderId="0" pivotButton="0" quotePrefix="0" xfId="16"/>
    <xf numFmtId="0" fontId="63" fillId="11" borderId="0" applyAlignment="1" pivotButton="0" quotePrefix="0" xfId="16">
      <alignment horizontal="center" wrapText="1"/>
    </xf>
    <xf numFmtId="0" fontId="63" fillId="12" borderId="0" applyAlignment="1" pivotButton="0" quotePrefix="0" xfId="16">
      <alignment horizontal="center"/>
    </xf>
    <xf numFmtId="0" fontId="60" fillId="11" borderId="0" applyAlignment="1" pivotButton="0" quotePrefix="0" xfId="16">
      <alignment horizontal="center"/>
    </xf>
    <xf numFmtId="10" fontId="60" fillId="11" borderId="0" applyAlignment="1" pivotButton="0" quotePrefix="0" xfId="16">
      <alignment horizontal="center"/>
    </xf>
    <xf numFmtId="0" fontId="60" fillId="12" borderId="0" applyAlignment="1" pivotButton="0" quotePrefix="0" xfId="16">
      <alignment horizontal="center"/>
    </xf>
    <xf numFmtId="10" fontId="60" fillId="12" borderId="0" applyAlignment="1" pivotButton="0" quotePrefix="0" xfId="16">
      <alignment horizontal="center"/>
    </xf>
    <xf numFmtId="0" fontId="60" fillId="0" borderId="0" pivotButton="0" quotePrefix="1" xfId="16"/>
    <xf numFmtId="10" fontId="62" fillId="0" borderId="0" pivotButton="0" quotePrefix="0" xfId="10"/>
    <xf numFmtId="9" fontId="62" fillId="0" borderId="0" pivotButton="0" quotePrefix="0" xfId="10"/>
    <xf numFmtId="9" fontId="60" fillId="0" borderId="0" pivotButton="0" quotePrefix="0" xfId="16"/>
    <xf numFmtId="49" fontId="60" fillId="12" borderId="0" applyAlignment="1" pivotButton="0" quotePrefix="0" xfId="16">
      <alignment horizontal="center"/>
    </xf>
    <xf numFmtId="10" fontId="60" fillId="0" borderId="0" applyAlignment="1" pivotButton="0" quotePrefix="0" xfId="16">
      <alignment horizontal="center"/>
    </xf>
    <xf numFmtId="49" fontId="60" fillId="0" borderId="0" applyAlignment="1" pivotButton="0" quotePrefix="0" xfId="16">
      <alignment horizontal="center"/>
    </xf>
    <xf numFmtId="0" fontId="76" fillId="0" borderId="0" applyAlignment="1" pivotButton="0" quotePrefix="0" xfId="0">
      <alignment wrapText="1"/>
    </xf>
    <xf numFmtId="0" fontId="49" fillId="10" borderId="0" applyAlignment="1" pivotButton="0" quotePrefix="0" xfId="0">
      <alignment wrapText="1"/>
    </xf>
    <xf numFmtId="169" fontId="49" fillId="10" borderId="0" applyAlignment="1" pivotButton="0" quotePrefix="0" xfId="1">
      <alignment wrapText="1"/>
    </xf>
    <xf numFmtId="41" fontId="7" fillId="0" borderId="0" pivotButton="0" quotePrefix="0" xfId="1"/>
    <xf numFmtId="41" fontId="0" fillId="0" borderId="0" pivotButton="0" quotePrefix="0" xfId="8"/>
    <xf numFmtId="0" fontId="0" fillId="4" borderId="0" applyAlignment="1" pivotButton="0" quotePrefix="0" xfId="0">
      <alignment wrapText="1"/>
    </xf>
    <xf numFmtId="0" fontId="2" fillId="4" borderId="0" applyAlignment="1" pivotButton="0" quotePrefix="0" xfId="0">
      <alignment wrapText="1"/>
    </xf>
    <xf numFmtId="170" fontId="2" fillId="4" borderId="0" applyAlignment="1" pivotButton="0" quotePrefix="0" xfId="8">
      <alignment wrapText="1"/>
    </xf>
    <xf numFmtId="0" fontId="0" fillId="4" borderId="27" applyAlignment="1" pivotButton="0" quotePrefix="0" xfId="0">
      <alignment wrapText="1"/>
    </xf>
    <xf numFmtId="0" fontId="2" fillId="4" borderId="27" applyAlignment="1" pivotButton="0" quotePrefix="0" xfId="0">
      <alignment wrapText="1"/>
    </xf>
    <xf numFmtId="170" fontId="2" fillId="4" borderId="27" applyAlignment="1" pivotButton="0" quotePrefix="0" xfId="8">
      <alignment wrapText="1"/>
    </xf>
    <xf numFmtId="0" fontId="2" fillId="0" borderId="43" applyAlignment="1" pivotButton="0" quotePrefix="0" xfId="0">
      <alignment wrapText="1"/>
    </xf>
    <xf numFmtId="41" fontId="2" fillId="0" borderId="43" pivotButton="0" quotePrefix="0" xfId="8"/>
    <xf numFmtId="170" fontId="2" fillId="4" borderId="0" applyAlignment="1" pivotButton="0" quotePrefix="0" xfId="1">
      <alignment wrapText="1"/>
    </xf>
    <xf numFmtId="10" fontId="0" fillId="4" borderId="0" pivotButton="0" quotePrefix="0" xfId="2"/>
    <xf numFmtId="10" fontId="0" fillId="4" borderId="27" pivotButton="0" quotePrefix="0" xfId="2"/>
    <xf numFmtId="0" fontId="2" fillId="4" borderId="0" pivotButton="0" quotePrefix="0" xfId="0"/>
    <xf numFmtId="169" fontId="49" fillId="10" borderId="0" applyAlignment="1" pivotButton="0" quotePrefix="0" xfId="0">
      <alignment wrapText="1"/>
    </xf>
    <xf numFmtId="166" fontId="2" fillId="4" borderId="0" applyAlignment="1" pivotButton="0" quotePrefix="0" xfId="2">
      <alignment wrapText="1"/>
    </xf>
    <xf numFmtId="167" fontId="0" fillId="4" borderId="0" pivotButton="0" quotePrefix="0" xfId="2"/>
    <xf numFmtId="166" fontId="2" fillId="4" borderId="27" applyAlignment="1" pivotButton="0" quotePrefix="0" xfId="2">
      <alignment wrapText="1"/>
    </xf>
    <xf numFmtId="167" fontId="0" fillId="4" borderId="27" pivotButton="0" quotePrefix="0" xfId="2"/>
    <xf numFmtId="167" fontId="8" fillId="0" borderId="0" applyAlignment="1" pivotButton="0" quotePrefix="0" xfId="2">
      <alignment horizontal="center"/>
    </xf>
    <xf numFmtId="169" fontId="0" fillId="0" borderId="36" pivotButton="0" quotePrefix="0" xfId="1"/>
    <xf numFmtId="10" fontId="0" fillId="0" borderId="36" pivotButton="0" quotePrefix="0" xfId="2"/>
    <xf numFmtId="0" fontId="28" fillId="0" borderId="34" applyAlignment="1" pivotButton="0" quotePrefix="0" xfId="15">
      <alignment horizontal="center" vertical="center"/>
    </xf>
    <xf numFmtId="0" fontId="39" fillId="0" borderId="0" pivotButton="0" quotePrefix="0" xfId="15"/>
    <xf numFmtId="0" fontId="0" fillId="0" borderId="13" pivotButton="0" quotePrefix="0" xfId="0"/>
    <xf numFmtId="0" fontId="42" fillId="0" borderId="34" applyAlignment="1" pivotButton="0" quotePrefix="0" xfId="15">
      <alignment horizontal="center"/>
    </xf>
    <xf numFmtId="0" fontId="9" fillId="0" borderId="34" applyAlignment="1" pivotButton="0" quotePrefix="0" xfId="15">
      <alignment horizontal="center"/>
    </xf>
    <xf numFmtId="0" fontId="43" fillId="0" borderId="34" applyAlignment="1" pivotButton="0" quotePrefix="0" xfId="15">
      <alignment horizontal="center" vertical="center" wrapText="1"/>
    </xf>
    <xf numFmtId="0" fontId="40" fillId="0" borderId="34" applyAlignment="1" pivotButton="0" quotePrefix="0" xfId="15">
      <alignment horizontal="center"/>
    </xf>
    <xf numFmtId="0" fontId="41" fillId="0" borderId="34" applyAlignment="1" pivotButton="0" quotePrefix="0" xfId="15">
      <alignment horizontal="center" wrapText="1"/>
    </xf>
    <xf numFmtId="14" fontId="28" fillId="0" borderId="34" applyAlignment="1" pivotButton="0" quotePrefix="0" xfId="15">
      <alignment horizontal="center" vertical="center"/>
    </xf>
    <xf numFmtId="0" fontId="9" fillId="0" borderId="34" applyAlignment="1" pivotButton="0" quotePrefix="0" xfId="15">
      <alignment horizontal="center" vertical="center"/>
    </xf>
    <xf numFmtId="0" fontId="47" fillId="0" borderId="0" applyAlignment="1" pivotButton="0" quotePrefix="0" xfId="4">
      <alignment horizontal="left" vertical="center" wrapText="1"/>
    </xf>
    <xf numFmtId="0" fontId="9" fillId="0" borderId="0" pivotButton="0" quotePrefix="0" xfId="16"/>
    <xf numFmtId="0" fontId="46" fillId="0" borderId="35" applyAlignment="1" pivotButton="0" quotePrefix="0" xfId="16">
      <alignment horizontal="center"/>
    </xf>
    <xf numFmtId="0" fontId="0" fillId="0" borderId="1" pivotButton="0" quotePrefix="0" xfId="0"/>
    <xf numFmtId="0" fontId="0" fillId="0" borderId="31" pivotButton="0" quotePrefix="0" xfId="0"/>
    <xf numFmtId="10" fontId="45" fillId="0" borderId="45" applyAlignment="1" pivotButton="0" quotePrefix="0" xfId="16">
      <alignment horizontal="center"/>
    </xf>
    <xf numFmtId="0" fontId="0" fillId="0" borderId="11" pivotButton="0" quotePrefix="0" xfId="0"/>
    <xf numFmtId="0" fontId="0" fillId="0" borderId="12" pivotButton="0" quotePrefix="0" xfId="0"/>
    <xf numFmtId="0" fontId="25" fillId="0" borderId="45" applyAlignment="1" pivotButton="0" quotePrefix="0" xfId="16">
      <alignment horizontal="center"/>
    </xf>
    <xf numFmtId="0" fontId="25" fillId="0" borderId="34" applyAlignment="1" pivotButton="0" quotePrefix="0" xfId="16">
      <alignment horizontal="center"/>
    </xf>
    <xf numFmtId="0" fontId="47" fillId="0" borderId="43" applyAlignment="1" pivotButton="0" quotePrefix="0" xfId="4">
      <alignment horizontal="left" vertical="center" wrapText="1"/>
    </xf>
    <xf numFmtId="0" fontId="0" fillId="0" borderId="43" pivotButton="0" quotePrefix="0" xfId="0"/>
    <xf numFmtId="0" fontId="6" fillId="0" borderId="11" applyAlignment="1" pivotButton="0" quotePrefix="0" xfId="0">
      <alignment horizontal="center"/>
    </xf>
    <xf numFmtId="0" fontId="2" fillId="0" borderId="27" applyAlignment="1" pivotButton="0" quotePrefix="0" xfId="0">
      <alignment horizontal="center"/>
    </xf>
    <xf numFmtId="0" fontId="0" fillId="0" borderId="27" pivotButton="0" quotePrefix="0" xfId="0"/>
    <xf numFmtId="0" fontId="0" fillId="0" borderId="0" applyAlignment="1" pivotButton="0" quotePrefix="0" xfId="0">
      <alignment horizontal="left"/>
    </xf>
    <xf numFmtId="0" fontId="0" fillId="0" borderId="0" pivotButton="0" quotePrefix="0" xfId="0"/>
    <xf numFmtId="0" fontId="6" fillId="0" borderId="0" applyAlignment="1" pivotButton="0" quotePrefix="0" xfId="0">
      <alignment horizontal="center"/>
    </xf>
    <xf numFmtId="0" fontId="0" fillId="0" borderId="0" applyAlignment="1" pivotButton="0" quotePrefix="0" xfId="0">
      <alignment horizontal="left" wrapText="1"/>
    </xf>
    <xf numFmtId="0" fontId="6" fillId="0" borderId="1" applyAlignment="1" pivotButton="0" quotePrefix="0" xfId="0">
      <alignment horizontal="center"/>
    </xf>
    <xf numFmtId="0" fontId="28" fillId="0" borderId="45" applyAlignment="1" pivotButton="0" quotePrefix="0" xfId="4">
      <alignment horizontal="center"/>
    </xf>
    <xf numFmtId="0" fontId="24" fillId="0" borderId="65" applyAlignment="1" pivotButton="0" quotePrefix="0" xfId="4">
      <alignment horizontal="center" wrapText="1"/>
    </xf>
    <xf numFmtId="0" fontId="0" fillId="0" borderId="41" pivotButton="0" quotePrefix="0" xfId="0"/>
    <xf numFmtId="10" fontId="27" fillId="0" borderId="5" applyAlignment="1" pivotButton="0" quotePrefix="0" xfId="4">
      <alignment horizontal="center"/>
    </xf>
    <xf numFmtId="0" fontId="0" fillId="0" borderId="15" pivotButton="0" quotePrefix="0" xfId="0"/>
    <xf numFmtId="0" fontId="24" fillId="0" borderId="5" applyAlignment="1" pivotButton="0" quotePrefix="0" xfId="4">
      <alignment horizontal="center"/>
    </xf>
    <xf numFmtId="0" fontId="0" fillId="0" borderId="8" pivotButton="0" quotePrefix="0" xfId="0"/>
    <xf numFmtId="0" fontId="24" fillId="2" borderId="5" applyAlignment="1" pivotButton="0" quotePrefix="0" xfId="4">
      <alignment horizontal="center"/>
    </xf>
    <xf numFmtId="0" fontId="0" fillId="0" borderId="7" pivotButton="0" quotePrefix="0" xfId="0"/>
    <xf numFmtId="0" fontId="9" fillId="0" borderId="34" applyAlignment="1" pivotButton="0" quotePrefix="0" xfId="4">
      <alignment horizontal="left" wrapText="1"/>
    </xf>
    <xf numFmtId="0" fontId="9" fillId="0" borderId="0" pivotButton="0" quotePrefix="0" xfId="4"/>
    <xf numFmtId="0" fontId="28" fillId="0" borderId="5" applyAlignment="1" pivotButton="0" quotePrefix="0" xfId="4">
      <alignment horizontal="center"/>
    </xf>
    <xf numFmtId="0" fontId="25" fillId="0" borderId="34" applyAlignment="1" pivotButton="0" quotePrefix="0" xfId="4">
      <alignment horizontal="center"/>
    </xf>
    <xf numFmtId="0" fontId="24" fillId="0" borderId="65" applyAlignment="1" pivotButton="0" quotePrefix="0" xfId="4">
      <alignment horizontal="center"/>
    </xf>
    <xf numFmtId="0" fontId="0" fillId="0" borderId="40" pivotButton="0" quotePrefix="0" xfId="0"/>
    <xf numFmtId="0" fontId="24" fillId="0" borderId="34" applyAlignment="1" pivotButton="0" quotePrefix="0" xfId="4">
      <alignment horizontal="center"/>
    </xf>
    <xf numFmtId="0" fontId="9" fillId="0" borderId="0" applyAlignment="1" pivotButton="0" quotePrefix="0" xfId="4">
      <alignment horizontal="left" wrapText="1"/>
    </xf>
    <xf numFmtId="0" fontId="24" fillId="0" borderId="27" applyAlignment="1" pivotButton="0" quotePrefix="0" xfId="4">
      <alignment horizontal="center"/>
    </xf>
    <xf numFmtId="169" fontId="24" fillId="0" borderId="35" applyAlignment="1" pivotButton="0" quotePrefix="0" xfId="11">
      <alignment horizontal="center"/>
    </xf>
    <xf numFmtId="0" fontId="24" fillId="0" borderId="0" applyAlignment="1" pivotButton="0" quotePrefix="0" xfId="4">
      <alignment horizontal="left" wrapText="1"/>
    </xf>
    <xf numFmtId="0" fontId="24" fillId="0" borderId="34" applyAlignment="1" pivotButton="0" quotePrefix="0" xfId="4">
      <alignment horizontal="center" wrapText="1"/>
    </xf>
    <xf numFmtId="0" fontId="24" fillId="2" borderId="45" applyAlignment="1" pivotButton="0" quotePrefix="0" xfId="4">
      <alignment horizontal="center"/>
    </xf>
    <xf numFmtId="169" fontId="25" fillId="0" borderId="34" applyAlignment="1" pivotButton="0" quotePrefix="0" xfId="11">
      <alignment horizontal="center"/>
    </xf>
    <xf numFmtId="169" fontId="28" fillId="0" borderId="45" applyAlignment="1" pivotButton="0" quotePrefix="0" xfId="11">
      <alignment horizontal="center"/>
    </xf>
    <xf numFmtId="0" fontId="25" fillId="0" borderId="0" applyAlignment="1" pivotButton="0" quotePrefix="0" xfId="4">
      <alignment horizontal="center"/>
    </xf>
    <xf numFmtId="14" fontId="9" fillId="0" borderId="0" applyAlignment="1" pivotButton="0" quotePrefix="0" xfId="4">
      <alignment horizontal="left"/>
    </xf>
    <xf numFmtId="0" fontId="9" fillId="0" borderId="0" applyAlignment="1" pivotButton="0" quotePrefix="0" xfId="4">
      <alignment horizontal="left"/>
    </xf>
    <xf numFmtId="169" fontId="0" fillId="0" borderId="0" applyAlignment="1" pivotButton="0" quotePrefix="0" xfId="9">
      <alignment horizontal="left"/>
    </xf>
    <xf numFmtId="169" fontId="9" fillId="0" borderId="0" applyAlignment="1" pivotButton="0" quotePrefix="0" xfId="9">
      <alignment horizontal="left"/>
    </xf>
    <xf numFmtId="10" fontId="9" fillId="0" borderId="0" applyAlignment="1" pivotButton="0" quotePrefix="0" xfId="10">
      <alignment horizontal="left"/>
    </xf>
    <xf numFmtId="0" fontId="27" fillId="0" borderId="0" applyAlignment="1" pivotButton="0" quotePrefix="0" xfId="4">
      <alignment horizontal="center"/>
    </xf>
    <xf numFmtId="14" fontId="57" fillId="0" borderId="0" applyAlignment="1" pivotButton="0" quotePrefix="0" xfId="17">
      <alignment horizontal="center" vertical="center"/>
    </xf>
    <xf numFmtId="0" fontId="51" fillId="0" borderId="0" pivotButton="0" quotePrefix="0" xfId="17"/>
    <xf numFmtId="0" fontId="55" fillId="0" borderId="0" applyAlignment="1" pivotButton="0" quotePrefix="0" xfId="17">
      <alignment horizontal="center" wrapText="1"/>
    </xf>
    <xf numFmtId="0" fontId="58" fillId="0" borderId="0" applyAlignment="1" pivotButton="0" quotePrefix="0" xfId="17">
      <alignment horizontal="left" vertical="center" wrapText="1"/>
    </xf>
    <xf numFmtId="0" fontId="51" fillId="0" borderId="0" applyAlignment="1" pivotButton="0" quotePrefix="0" xfId="17">
      <alignment horizontal="center" vertical="center"/>
    </xf>
    <xf numFmtId="0" fontId="50" fillId="0" borderId="0" applyAlignment="1" pivotButton="0" quotePrefix="0" xfId="17">
      <alignment horizontal="center"/>
    </xf>
    <xf numFmtId="0" fontId="54" fillId="0" borderId="0" applyAlignment="1" pivotButton="0" quotePrefix="0" xfId="17">
      <alignment horizontal="center"/>
    </xf>
    <xf numFmtId="0" fontId="56" fillId="0" borderId="0" applyAlignment="1" pivotButton="0" quotePrefix="0" xfId="17">
      <alignment horizontal="center" vertical="center" wrapText="1"/>
    </xf>
    <xf numFmtId="0" fontId="15" fillId="0" borderId="0" applyAlignment="1" pivotButton="0" quotePrefix="0" xfId="16">
      <alignment horizontal="center"/>
    </xf>
    <xf numFmtId="0" fontId="60" fillId="0" borderId="0" pivotButton="0" quotePrefix="0" xfId="16"/>
    <xf numFmtId="0" fontId="61" fillId="0" borderId="0" applyAlignment="1" pivotButton="0" quotePrefix="0" xfId="16">
      <alignment horizontal="center"/>
    </xf>
    <xf numFmtId="0" fontId="63" fillId="0" borderId="0" applyAlignment="1" pivotButton="0" quotePrefix="0" xfId="16">
      <alignment horizontal="center"/>
    </xf>
    <xf numFmtId="0" fontId="64" fillId="0" borderId="0" applyAlignment="1" pivotButton="0" quotePrefix="0" xfId="16">
      <alignment horizontal="center"/>
    </xf>
    <xf numFmtId="14" fontId="60" fillId="0" borderId="0" applyAlignment="1" pivotButton="0" quotePrefix="0" xfId="16">
      <alignment horizontal="left"/>
    </xf>
    <xf numFmtId="0" fontId="60" fillId="0" borderId="0" applyAlignment="1" pivotButton="0" quotePrefix="0" xfId="16">
      <alignment horizontal="left"/>
    </xf>
    <xf numFmtId="169" fontId="1" fillId="0" borderId="0" applyAlignment="1" pivotButton="0" quotePrefix="0" xfId="9">
      <alignment horizontal="left"/>
    </xf>
    <xf numFmtId="43" fontId="60" fillId="0" borderId="0" applyAlignment="1" pivotButton="0" quotePrefix="0" xfId="8">
      <alignment horizontal="left"/>
    </xf>
    <xf numFmtId="10" fontId="60" fillId="0" borderId="0" applyAlignment="1" pivotButton="0" quotePrefix="0" xfId="10">
      <alignment horizontal="left"/>
    </xf>
    <xf numFmtId="0" fontId="60" fillId="0" borderId="0" applyAlignment="1" pivotButton="0" quotePrefix="0" xfId="16">
      <alignment horizontal="center"/>
    </xf>
    <xf numFmtId="0" fontId="67" fillId="0" borderId="0" applyAlignment="1" pivotButton="0" quotePrefix="0" xfId="16">
      <alignment horizontal="center"/>
    </xf>
    <xf numFmtId="0" fontId="68" fillId="0" borderId="0" applyAlignment="1" pivotButton="0" quotePrefix="0" xfId="16">
      <alignment horizontal="left"/>
    </xf>
    <xf numFmtId="0" fontId="53" fillId="0" borderId="0" applyAlignment="1" pivotButton="0" quotePrefix="0" xfId="16">
      <alignment horizontal="left" vertical="center" wrapText="1"/>
    </xf>
    <xf numFmtId="0" fontId="51" fillId="0" borderId="0" pivotButton="0" quotePrefix="0" xfId="16"/>
    <xf numFmtId="169" fontId="63" fillId="0" borderId="0" applyAlignment="1" pivotButton="0" quotePrefix="0" xfId="11">
      <alignment horizontal="left"/>
    </xf>
    <xf numFmtId="169" fontId="15" fillId="0" borderId="0" applyAlignment="1" pivotButton="0" quotePrefix="0" xfId="11">
      <alignment horizontal="left"/>
    </xf>
    <xf numFmtId="0" fontId="63" fillId="12" borderId="0" applyAlignment="1" pivotButton="0" quotePrefix="0" xfId="16">
      <alignment horizontal="center" wrapText="1"/>
    </xf>
    <xf numFmtId="0" fontId="66" fillId="0" borderId="0" applyAlignment="1" pivotButton="0" quotePrefix="0" xfId="16">
      <alignment horizontal="center"/>
    </xf>
    <xf numFmtId="0" fontId="63" fillId="11" borderId="0" applyAlignment="1" pivotButton="0" quotePrefix="0" xfId="16">
      <alignment horizontal="center"/>
    </xf>
    <xf numFmtId="0" fontId="12" fillId="7" borderId="5" applyAlignment="1" pivotButton="0" quotePrefix="0" xfId="0">
      <alignment horizontal="left" vertical="top" wrapText="1"/>
    </xf>
    <xf numFmtId="0" fontId="12" fillId="7" borderId="3" applyAlignment="1" pivotButton="0" quotePrefix="0" xfId="0">
      <alignment horizontal="left" vertical="top" wrapText="1"/>
    </xf>
    <xf numFmtId="0" fontId="0" fillId="0" borderId="23" pivotButton="0" quotePrefix="0" xfId="0"/>
    <xf numFmtId="0" fontId="0" fillId="0" borderId="24" pivotButton="0" quotePrefix="0" xfId="0"/>
    <xf numFmtId="0" fontId="6" fillId="0" borderId="0" applyAlignment="1" pivotButton="0" quotePrefix="0" xfId="0">
      <alignment horizontal="left"/>
    </xf>
    <xf numFmtId="0" fontId="0" fillId="0" borderId="1" applyAlignment="1" pivotButton="0" quotePrefix="0" xfId="0">
      <alignment horizontal="center"/>
    </xf>
    <xf numFmtId="0" fontId="2" fillId="2" borderId="45" applyAlignment="1" pivotButton="0" quotePrefix="0" xfId="0">
      <alignment horizontal="center"/>
    </xf>
    <xf numFmtId="0" fontId="3" fillId="4" borderId="45" applyAlignment="1" pivotButton="0" quotePrefix="0" xfId="0">
      <alignment horizontal="center"/>
    </xf>
    <xf numFmtId="0" fontId="17" fillId="6" borderId="5" applyAlignment="1" pivotButton="0" quotePrefix="0" xfId="0">
      <alignment horizontal="center" vertical="center"/>
    </xf>
    <xf numFmtId="0" fontId="18" fillId="0" borderId="45" applyAlignment="1" pivotButton="0" quotePrefix="0" xfId="0">
      <alignment vertical="top" wrapText="1"/>
    </xf>
    <xf numFmtId="0" fontId="7" fillId="2" borderId="35" applyAlignment="1" pivotButton="0" quotePrefix="0" xfId="0">
      <alignment horizontal="center"/>
    </xf>
    <xf numFmtId="0" fontId="0" fillId="0" borderId="35" applyAlignment="1" pivotButton="0" quotePrefix="0" xfId="0">
      <alignment vertical="top" wrapText="1"/>
    </xf>
    <xf numFmtId="0" fontId="2" fillId="2" borderId="34" applyAlignment="1" pivotButton="0" quotePrefix="0" xfId="0">
      <alignment horizontal="center"/>
    </xf>
    <xf numFmtId="0" fontId="0" fillId="0" borderId="5" applyAlignment="1" pivotButton="0" quotePrefix="0" xfId="0">
      <alignment horizontal="left" vertical="top" wrapText="1"/>
    </xf>
    <xf numFmtId="0" fontId="17" fillId="6" borderId="5" applyAlignment="1" pivotButton="0" quotePrefix="0" xfId="0">
      <alignment horizontal="center"/>
    </xf>
    <xf numFmtId="0" fontId="2" fillId="2" borderId="5" applyAlignment="1" pivotButton="0" quotePrefix="0" xfId="0">
      <alignment horizontal="center"/>
    </xf>
    <xf numFmtId="0" fontId="10" fillId="2" borderId="3" applyAlignment="1" pivotButton="0" quotePrefix="0" xfId="0">
      <alignment vertical="top"/>
    </xf>
    <xf numFmtId="0" fontId="0" fillId="0" borderId="35" applyAlignment="1" pivotButton="0" quotePrefix="0" xfId="0">
      <alignment wrapText="1"/>
    </xf>
    <xf numFmtId="0" fontId="10" fillId="5" borderId="3" applyAlignment="1" pivotButton="0" quotePrefix="0" xfId="0">
      <alignment horizontal="center"/>
    </xf>
    <xf numFmtId="0" fontId="23" fillId="5" borderId="2" applyAlignment="1" pivotButton="0" quotePrefix="0" xfId="0">
      <alignment horizontal="left" wrapText="1"/>
    </xf>
    <xf numFmtId="0" fontId="0" fillId="0" borderId="28" pivotButton="0" quotePrefix="0" xfId="0"/>
    <xf numFmtId="0" fontId="10" fillId="2" borderId="2" applyAlignment="1" pivotButton="0" quotePrefix="0" xfId="0">
      <alignment vertical="top"/>
    </xf>
    <xf numFmtId="0" fontId="12" fillId="2" borderId="32" applyAlignment="1" pivotButton="0" quotePrefix="0" xfId="0">
      <alignment horizontal="center"/>
    </xf>
    <xf numFmtId="0" fontId="0" fillId="0" borderId="39" pivotButton="0" quotePrefix="0" xfId="0"/>
    <xf numFmtId="0" fontId="20" fillId="0" borderId="0" applyAlignment="1" pivotButton="0" quotePrefix="0" xfId="0">
      <alignment horizontal="left" wrapText="1"/>
    </xf>
    <xf numFmtId="0" fontId="23" fillId="5" borderId="5" applyAlignment="1" pivotButton="0" quotePrefix="0" xfId="0">
      <alignment vertical="top" wrapText="1"/>
    </xf>
    <xf numFmtId="0" fontId="15" fillId="2" borderId="33" applyAlignment="1" pivotButton="0" quotePrefix="0" xfId="0">
      <alignment horizontal="center"/>
    </xf>
    <xf numFmtId="0" fontId="0" fillId="0" borderId="34" applyAlignment="1" pivotButton="0" quotePrefix="0" xfId="0">
      <alignment horizontal="left" wrapText="1" indent="2"/>
    </xf>
    <xf numFmtId="0" fontId="0" fillId="0" borderId="45" applyAlignment="1" pivotButton="0" quotePrefix="0" xfId="0">
      <alignment horizontal="left" vertical="top" wrapText="1"/>
    </xf>
    <xf numFmtId="0" fontId="19" fillId="7" borderId="5" applyAlignment="1" pivotButton="0" quotePrefix="0" xfId="0">
      <alignment horizontal="left" vertical="top" wrapText="1"/>
    </xf>
    <xf numFmtId="0" fontId="22" fillId="6" borderId="5" applyAlignment="1" pivotButton="0" quotePrefix="0" xfId="0">
      <alignment horizontal="center" vertical="center"/>
    </xf>
    <xf numFmtId="0" fontId="15" fillId="7" borderId="5" applyAlignment="1" pivotButton="0" quotePrefix="0" xfId="0">
      <alignment horizontal="center" vertical="top" wrapText="1"/>
    </xf>
    <xf numFmtId="0" fontId="0" fillId="0" borderId="5" applyAlignment="1" pivotButton="0" quotePrefix="0" xfId="0">
      <alignment horizontal="center" vertical="top" wrapText="1"/>
    </xf>
    <xf numFmtId="170" fontId="0" fillId="0" borderId="27" applyAlignment="1" pivotButton="0" quotePrefix="0" xfId="12">
      <alignment horizontal="center"/>
    </xf>
    <xf numFmtId="170" fontId="0" fillId="0" borderId="50" applyAlignment="1" pivotButton="0" quotePrefix="0" xfId="13">
      <alignment horizontal="center"/>
    </xf>
    <xf numFmtId="170" fontId="7" fillId="0" borderId="0" pivotButton="0" quotePrefix="0" xfId="12"/>
    <xf numFmtId="169" fontId="28" fillId="0" borderId="45" applyAlignment="1" pivotButton="0" quotePrefix="0" xfId="11">
      <alignment horizontal="center"/>
    </xf>
    <xf numFmtId="169" fontId="28" fillId="8" borderId="13" pivotButton="0" quotePrefix="0" xfId="11"/>
    <xf numFmtId="169" fontId="28" fillId="0" borderId="0" pivotButton="0" quotePrefix="0" xfId="11"/>
    <xf numFmtId="169" fontId="37" fillId="0" borderId="0" pivotButton="0" quotePrefix="0" xfId="11"/>
    <xf numFmtId="169" fontId="25" fillId="0" borderId="34" applyAlignment="1" pivotButton="0" quotePrefix="0" xfId="11">
      <alignment horizontal="center"/>
    </xf>
    <xf numFmtId="169" fontId="25" fillId="8" borderId="13" pivotButton="0" quotePrefix="0" xfId="11"/>
    <xf numFmtId="169" fontId="25" fillId="0" borderId="0" pivotButton="0" quotePrefix="0" xfId="11"/>
    <xf numFmtId="169" fontId="38" fillId="0" borderId="0" pivotButton="0" quotePrefix="0" xfId="11"/>
    <xf numFmtId="169" fontId="24" fillId="0" borderId="35" applyAlignment="1" pivotButton="0" quotePrefix="0" xfId="11">
      <alignment horizontal="center"/>
    </xf>
    <xf numFmtId="169" fontId="24" fillId="8" borderId="34" pivotButton="0" quotePrefix="0" xfId="11"/>
    <xf numFmtId="169" fontId="24" fillId="0" borderId="0" pivotButton="0" quotePrefix="0" xfId="11"/>
    <xf numFmtId="169" fontId="26" fillId="0" borderId="0" pivotButton="0" quotePrefix="0" xfId="11"/>
    <xf numFmtId="169" fontId="0" fillId="0" borderId="0" applyAlignment="1" pivotButton="0" quotePrefix="0" xfId="9">
      <alignment horizontal="left"/>
    </xf>
    <xf numFmtId="169" fontId="9" fillId="0" borderId="0" applyAlignment="1" pivotButton="0" quotePrefix="0" xfId="9">
      <alignment horizontal="left"/>
    </xf>
    <xf numFmtId="169" fontId="24" fillId="2" borderId="22" pivotButton="0" quotePrefix="0" xfId="9"/>
    <xf numFmtId="169" fontId="24" fillId="2" borderId="23" pivotButton="0" quotePrefix="0" xfId="11"/>
    <xf numFmtId="169" fontId="24" fillId="2" borderId="24" pivotButton="0" quotePrefix="0" xfId="11"/>
    <xf numFmtId="169" fontId="9" fillId="2" borderId="37" pivotButton="0" quotePrefix="0" xfId="9"/>
    <xf numFmtId="169" fontId="9" fillId="2" borderId="0" pivotButton="0" quotePrefix="0" xfId="11"/>
    <xf numFmtId="169" fontId="9" fillId="2" borderId="38" pivotButton="0" quotePrefix="0" xfId="11"/>
    <xf numFmtId="169" fontId="7" fillId="0" borderId="0" applyAlignment="1" pivotButton="0" quotePrefix="0" xfId="9">
      <alignment horizontal="left"/>
    </xf>
    <xf numFmtId="169" fontId="33" fillId="2" borderId="0" pivotButton="0" quotePrefix="0" xfId="11"/>
    <xf numFmtId="169" fontId="33" fillId="2" borderId="38" pivotButton="0" quotePrefix="0" xfId="11"/>
    <xf numFmtId="169" fontId="33" fillId="2" borderId="37" pivotButton="0" quotePrefix="0" xfId="9"/>
    <xf numFmtId="169" fontId="33" fillId="2" borderId="26" pivotButton="0" quotePrefix="0" xfId="9"/>
    <xf numFmtId="169" fontId="33" fillId="2" borderId="27" pivotButton="0" quotePrefix="0" xfId="11"/>
    <xf numFmtId="169" fontId="33" fillId="2" borderId="28" pivotButton="0" quotePrefix="0" xfId="11"/>
    <xf numFmtId="169" fontId="24" fillId="2" borderId="23" pivotButton="0" quotePrefix="0" xfId="4"/>
    <xf numFmtId="169" fontId="9" fillId="0" borderId="7" applyAlignment="1" pivotButton="0" quotePrefix="0" xfId="9">
      <alignment horizontal="center"/>
    </xf>
    <xf numFmtId="169" fontId="24" fillId="2" borderId="11" applyAlignment="1" pivotButton="0" quotePrefix="0" xfId="9">
      <alignment wrapText="1"/>
    </xf>
    <xf numFmtId="169" fontId="24" fillId="2" borderId="12" applyAlignment="1" pivotButton="0" quotePrefix="0" xfId="9">
      <alignment wrapText="1"/>
    </xf>
    <xf numFmtId="169" fontId="24" fillId="2" borderId="11" pivotButton="0" quotePrefix="0" xfId="9"/>
    <xf numFmtId="169" fontId="24" fillId="2" borderId="7" applyAlignment="1" pivotButton="0" quotePrefix="0" xfId="9">
      <alignment wrapText="1"/>
    </xf>
    <xf numFmtId="169" fontId="0" fillId="0" borderId="3" applyProtection="1" pivotButton="0" quotePrefix="0" xfId="9">
      <protection locked="0" hidden="0"/>
    </xf>
    <xf numFmtId="169" fontId="0" fillId="8" borderId="0" pivotButton="0" quotePrefix="0" xfId="9"/>
    <xf numFmtId="169" fontId="9" fillId="8" borderId="0" pivotButton="0" quotePrefix="0" xfId="11"/>
    <xf numFmtId="169" fontId="9" fillId="8" borderId="38" pivotButton="0" quotePrefix="0" xfId="9"/>
    <xf numFmtId="169" fontId="0" fillId="0" borderId="0" applyAlignment="1" pivotButton="0" quotePrefix="0" xfId="1">
      <alignment wrapText="1"/>
    </xf>
    <xf numFmtId="169" fontId="0" fillId="8" borderId="0" applyAlignment="1" pivotButton="0" quotePrefix="0" xfId="1">
      <alignment wrapText="1"/>
    </xf>
    <xf numFmtId="169" fontId="7" fillId="0" borderId="0" pivotButton="0" quotePrefix="0" xfId="1"/>
    <xf numFmtId="169" fontId="0" fillId="0" borderId="0" pivotButton="0" quotePrefix="0" xfId="1"/>
    <xf numFmtId="169" fontId="2" fillId="8" borderId="0" applyAlignment="1" pivotButton="0" quotePrefix="0" xfId="1">
      <alignment wrapText="1"/>
    </xf>
    <xf numFmtId="169" fontId="2" fillId="0" borderId="0" pivotButton="0" quotePrefix="0" xfId="0"/>
    <xf numFmtId="169" fontId="2" fillId="8" borderId="27" applyAlignment="1" pivotButton="0" quotePrefix="0" xfId="1">
      <alignment wrapText="1"/>
    </xf>
    <xf numFmtId="169" fontId="7" fillId="0" borderId="43" pivotButton="0" quotePrefix="0" xfId="0"/>
    <xf numFmtId="169" fontId="0" fillId="0" borderId="43" pivotButton="0" quotePrefix="0" xfId="0"/>
    <xf numFmtId="169" fontId="7" fillId="0" borderId="0" applyAlignment="1" pivotButton="0" quotePrefix="0" xfId="1">
      <alignment wrapText="1"/>
    </xf>
    <xf numFmtId="169" fontId="21" fillId="0" borderId="43" pivotButton="0" quotePrefix="0" xfId="0"/>
    <xf numFmtId="169" fontId="21" fillId="0" borderId="0" applyAlignment="1" pivotButton="0" quotePrefix="0" xfId="1">
      <alignment wrapText="1"/>
    </xf>
    <xf numFmtId="169" fontId="0" fillId="8" borderId="27" applyAlignment="1" pivotButton="0" quotePrefix="0" xfId="1">
      <alignment wrapText="1"/>
    </xf>
    <xf numFmtId="169" fontId="7" fillId="8" borderId="0" applyAlignment="1" pivotButton="0" quotePrefix="0" xfId="1">
      <alignment wrapText="1"/>
    </xf>
    <xf numFmtId="169" fontId="21" fillId="8" borderId="0" applyAlignment="1" pivotButton="0" quotePrefix="0" xfId="1">
      <alignment wrapText="1"/>
    </xf>
    <xf numFmtId="169" fontId="21" fillId="8" borderId="27" applyAlignment="1" pivotButton="0" quotePrefix="0" xfId="1">
      <alignment wrapText="1"/>
    </xf>
    <xf numFmtId="169" fontId="7" fillId="0" borderId="27" pivotButton="0" quotePrefix="0" xfId="1"/>
    <xf numFmtId="169" fontId="21" fillId="0" borderId="0" pivotButton="0" quotePrefix="0" xfId="0"/>
    <xf numFmtId="169" fontId="0" fillId="8" borderId="27" applyAlignment="1" pivotButton="0" quotePrefix="0" xfId="0">
      <alignment wrapText="1"/>
    </xf>
    <xf numFmtId="170" fontId="1" fillId="4" borderId="0" applyAlignment="1" pivotButton="0" quotePrefix="0" xfId="12">
      <alignment horizontal="right" vertical="center"/>
    </xf>
    <xf numFmtId="170" fontId="1" fillId="4" borderId="0" applyAlignment="1" pivotButton="0" quotePrefix="0" xfId="13">
      <alignment horizontal="right" vertical="center"/>
    </xf>
    <xf numFmtId="170" fontId="7" fillId="0" borderId="0" applyAlignment="1" pivotButton="0" quotePrefix="0" xfId="12">
      <alignment wrapText="1"/>
    </xf>
    <xf numFmtId="169" fontId="1" fillId="0" borderId="0" applyAlignment="1" pivotButton="0" quotePrefix="0" xfId="9">
      <alignment horizontal="left"/>
    </xf>
    <xf numFmtId="169" fontId="66" fillId="10" borderId="0" applyAlignment="1" pivotButton="0" quotePrefix="0" xfId="9">
      <alignment horizontal="center" vertical="center" wrapText="1"/>
    </xf>
    <xf numFmtId="169" fontId="66" fillId="10" borderId="0" applyAlignment="1" pivotButton="0" quotePrefix="0" xfId="9">
      <alignment horizontal="center" vertical="center"/>
    </xf>
    <xf numFmtId="169" fontId="66" fillId="0" borderId="0" applyAlignment="1" pivotButton="0" quotePrefix="0" xfId="9">
      <alignment horizontal="center" vertical="center"/>
    </xf>
    <xf numFmtId="169" fontId="1" fillId="0" borderId="63" applyProtection="1" pivotButton="0" quotePrefix="0" xfId="9">
      <protection locked="0" hidden="0"/>
    </xf>
    <xf numFmtId="169" fontId="1" fillId="0" borderId="0" applyProtection="1" pivotButton="0" quotePrefix="0" xfId="9">
      <protection locked="0" hidden="0"/>
    </xf>
    <xf numFmtId="169" fontId="1" fillId="4" borderId="64" pivotButton="0" quotePrefix="0" xfId="9"/>
    <xf numFmtId="169" fontId="15" fillId="0" borderId="0" applyAlignment="1" pivotButton="0" quotePrefix="0" xfId="11">
      <alignment horizontal="left"/>
    </xf>
    <xf numFmtId="169" fontId="15" fillId="0" borderId="0" pivotButton="0" quotePrefix="0" xfId="11"/>
    <xf numFmtId="169" fontId="19" fillId="0" borderId="0" pivotButton="0" quotePrefix="0" xfId="11"/>
    <xf numFmtId="169" fontId="63" fillId="0" borderId="0" applyAlignment="1" pivotButton="0" quotePrefix="0" xfId="11">
      <alignment horizontal="left"/>
    </xf>
    <xf numFmtId="169" fontId="63" fillId="0" borderId="0" pivotButton="0" quotePrefix="0" xfId="11"/>
    <xf numFmtId="169" fontId="75" fillId="0" borderId="0" pivotButton="0" quotePrefix="0" xfId="11"/>
    <xf numFmtId="169" fontId="49" fillId="10" borderId="0" applyAlignment="1" pivotButton="0" quotePrefix="0" xfId="1">
      <alignment wrapText="1"/>
    </xf>
    <xf numFmtId="170" fontId="2" fillId="4" borderId="0" applyAlignment="1" pivotButton="0" quotePrefix="0" xfId="8">
      <alignment wrapText="1"/>
    </xf>
    <xf numFmtId="170" fontId="2" fillId="4" borderId="27" applyAlignment="1" pivotButton="0" quotePrefix="0" xfId="8">
      <alignment wrapText="1"/>
    </xf>
    <xf numFmtId="170" fontId="2" fillId="4" borderId="0" applyAlignment="1" pivotButton="0" quotePrefix="0" xfId="1">
      <alignment wrapText="1"/>
    </xf>
    <xf numFmtId="169" fontId="49" fillId="10" borderId="0" applyAlignment="1" pivotButton="0" quotePrefix="0" xfId="0">
      <alignment wrapText="1"/>
    </xf>
    <xf numFmtId="169" fontId="0" fillId="0" borderId="36" pivotButton="0" quotePrefix="0" xfId="1"/>
    <xf numFmtId="169" fontId="24" fillId="0" borderId="0" pivotButton="0" quotePrefix="0" xfId="1"/>
    <xf numFmtId="169" fontId="24" fillId="2" borderId="0" pivotButton="0" quotePrefix="0" xfId="1"/>
    <xf numFmtId="169" fontId="24" fillId="0" borderId="61" pivotButton="0" quotePrefix="0" xfId="1"/>
    <xf numFmtId="169" fontId="24" fillId="0" borderId="27" pivotButton="0" quotePrefix="0" xfId="1"/>
    <xf numFmtId="169" fontId="24" fillId="0" borderId="1" pivotButton="0" quotePrefix="0" xfId="1"/>
    <xf numFmtId="169" fontId="24" fillId="2" borderId="1" pivotButton="0" quotePrefix="0" xfId="1"/>
    <xf numFmtId="169" fontId="24" fillId="2" borderId="11" pivotButton="0" quotePrefix="0" xfId="1"/>
    <xf numFmtId="169" fontId="24" fillId="0" borderId="11" pivotButton="0" quotePrefix="0" xfId="1"/>
    <xf numFmtId="169" fontId="24" fillId="2" borderId="27" pivotButton="0" quotePrefix="0" xfId="1"/>
    <xf numFmtId="169" fontId="24" fillId="0" borderId="0" pivotButton="0" quotePrefix="0" xfId="0"/>
    <xf numFmtId="170" fontId="24" fillId="7" borderId="36" pivotButton="0" quotePrefix="0" xfId="8"/>
    <xf numFmtId="169" fontId="24" fillId="0" borderId="1" pivotButton="0" quotePrefix="0" xfId="0"/>
    <xf numFmtId="170" fontId="24" fillId="7" borderId="54" pivotButton="0" quotePrefix="0" xfId="8"/>
    <xf numFmtId="169" fontId="24" fillId="2" borderId="14" pivotButton="0" quotePrefix="0" xfId="1"/>
    <xf numFmtId="169" fontId="24" fillId="2" borderId="7" pivotButton="0" quotePrefix="0" xfId="1"/>
    <xf numFmtId="169" fontId="24" fillId="2" borderId="15" pivotButton="0" quotePrefix="0" xfId="1"/>
    <xf numFmtId="0" fontId="73" fillId="0" borderId="0" applyAlignment="1" pivotButton="0" quotePrefix="0" xfId="0">
      <alignment vertical="top" wrapText="1"/>
    </xf>
    <xf numFmtId="0" fontId="15" fillId="0" borderId="0" applyAlignment="1" pivotButton="0" quotePrefix="0" xfId="0">
      <alignment horizontal="left" vertical="top" wrapText="1"/>
    </xf>
    <xf numFmtId="0" fontId="61" fillId="0" borderId="0" applyAlignment="1" pivotButton="0" quotePrefix="0" xfId="0">
      <alignment horizontal="center"/>
    </xf>
    <xf numFmtId="0" fontId="15" fillId="0" borderId="0" applyAlignment="1" pivotButton="0" quotePrefix="0" xfId="0">
      <alignment horizontal="center"/>
    </xf>
    <xf numFmtId="0" fontId="63" fillId="0" borderId="0" applyAlignment="1" pivotButton="0" quotePrefix="0" xfId="0">
      <alignment horizontal="center"/>
    </xf>
    <xf numFmtId="0" fontId="64" fillId="4" borderId="0" pivotButton="0" quotePrefix="0" xfId="0"/>
    <xf numFmtId="0" fontId="61" fillId="4" borderId="0" pivotButton="0" quotePrefix="0" xfId="0"/>
    <xf numFmtId="0" fontId="2" fillId="4" borderId="0" applyAlignment="1" pivotButton="0" quotePrefix="0" xfId="0">
      <alignment horizontal="left" vertical="center"/>
    </xf>
    <xf numFmtId="0" fontId="2" fillId="4" borderId="0" applyAlignment="1" pivotButton="0" quotePrefix="0" xfId="0">
      <alignment horizontal="left" vertical="center" wrapText="1"/>
    </xf>
    <xf numFmtId="10" fontId="60" fillId="4" borderId="0" applyAlignment="1" pivotButton="0" quotePrefix="0" xfId="0">
      <alignment horizontal="left" vertical="center"/>
    </xf>
    <xf numFmtId="10" fontId="1" fillId="4" borderId="0" applyAlignment="1" pivotButton="0" quotePrefix="0" xfId="0">
      <alignment horizontal="right" vertical="center"/>
    </xf>
    <xf numFmtId="170" fontId="1" fillId="4" borderId="0" applyAlignment="1" pivotButton="0" quotePrefix="0" xfId="0">
      <alignment horizontal="right" vertical="center"/>
    </xf>
    <xf numFmtId="10" fontId="1" fillId="0" borderId="0" pivotButton="0" quotePrefix="0" xfId="0"/>
    <xf numFmtId="0" fontId="65" fillId="0" borderId="0" pivotButton="0" quotePrefix="0" xfId="0"/>
    <xf numFmtId="170" fontId="7" fillId="0" borderId="0" pivotButton="0" quotePrefix="0" xfId="0"/>
    <xf numFmtId="170" fontId="7" fillId="0" borderId="0" applyAlignment="1" pivotButton="0" quotePrefix="0" xfId="0">
      <alignment wrapText="1"/>
    </xf>
    <xf numFmtId="10" fontId="1" fillId="0" borderId="0" applyAlignment="1" pivotButton="0" quotePrefix="0" xfId="0">
      <alignment wrapText="1"/>
    </xf>
    <xf numFmtId="0" fontId="5" fillId="0" borderId="0" applyAlignment="1" pivotButton="0" quotePrefix="0" xfId="0">
      <alignment wrapText="1"/>
    </xf>
    <xf numFmtId="0" fontId="63" fillId="0" borderId="0" pivotButton="0" quotePrefix="0" xfId="0"/>
    <xf numFmtId="167" fontId="8" fillId="0" borderId="0" applyAlignment="1" pivotButton="0" quotePrefix="0" xfId="0">
      <alignment horizontal="center"/>
    </xf>
    <xf numFmtId="10" fontId="8" fillId="0" borderId="0" applyAlignment="1" pivotButton="0" quotePrefix="0" xfId="0">
      <alignment horizontal="center"/>
    </xf>
    <xf numFmtId="0" fontId="62" fillId="0" borderId="0" pivotButton="0" quotePrefix="0" xfId="0"/>
    <xf numFmtId="10" fontId="62" fillId="0" borderId="0" pivotButton="0" quotePrefix="0" xfId="0"/>
    <xf numFmtId="0" fontId="60" fillId="0" borderId="0" pivotButton="0" quotePrefix="0" xfId="0"/>
    <xf numFmtId="169" fontId="15" fillId="0" borderId="0" pivotButton="0" quotePrefix="0" xfId="0"/>
    <xf numFmtId="169" fontId="19" fillId="0" borderId="0" pivotButton="0" quotePrefix="0" xfId="0"/>
    <xf numFmtId="169" fontId="15" fillId="0" borderId="45" applyAlignment="1" pivotButton="0" quotePrefix="0" xfId="0">
      <alignment horizontal="center"/>
    </xf>
    <xf numFmtId="169" fontId="63" fillId="0" borderId="0" pivotButton="0" quotePrefix="0" xfId="0"/>
    <xf numFmtId="169" fontId="75" fillId="0" borderId="0" pivotButton="0" quotePrefix="0" xfId="0"/>
    <xf numFmtId="0" fontId="66" fillId="0" borderId="0" pivotButton="0" quotePrefix="0" xfId="0"/>
    <xf numFmtId="169" fontId="63" fillId="0" borderId="35" applyAlignment="1" pivotButton="0" quotePrefix="0" xfId="0">
      <alignment horizontal="center"/>
    </xf>
    <xf numFmtId="0" fontId="63" fillId="11" borderId="10" applyAlignment="1" pivotButton="0" quotePrefix="0" xfId="0">
      <alignment horizontal="center"/>
    </xf>
    <xf numFmtId="0" fontId="63" fillId="12" borderId="12" applyAlignment="1" pivotButton="0" quotePrefix="0" xfId="0">
      <alignment horizontal="center" wrapText="1"/>
    </xf>
    <xf numFmtId="0" fontId="63" fillId="11" borderId="14" applyAlignment="1" pivotButton="0" quotePrefix="0" xfId="0">
      <alignment horizontal="center" wrapText="1"/>
    </xf>
    <xf numFmtId="0" fontId="63" fillId="11" borderId="0" applyAlignment="1" pivotButton="0" quotePrefix="0" xfId="0">
      <alignment horizontal="center" wrapText="1"/>
    </xf>
    <xf numFmtId="0" fontId="63" fillId="12" borderId="0" applyAlignment="1" pivotButton="0" quotePrefix="0" xfId="0">
      <alignment horizontal="center" wrapText="1"/>
    </xf>
    <xf numFmtId="0" fontId="63" fillId="12" borderId="13" applyAlignment="1" pivotButton="0" quotePrefix="0" xfId="0">
      <alignment horizontal="center"/>
    </xf>
    <xf numFmtId="0" fontId="60" fillId="11" borderId="14" applyAlignment="1" pivotButton="0" quotePrefix="0" xfId="0">
      <alignment horizontal="center"/>
    </xf>
    <xf numFmtId="10" fontId="60" fillId="11" borderId="0" applyAlignment="1" pivotButton="0" quotePrefix="0" xfId="0">
      <alignment horizontal="center"/>
    </xf>
    <xf numFmtId="0" fontId="60" fillId="12" borderId="0" applyAlignment="1" pivotButton="0" quotePrefix="0" xfId="0">
      <alignment horizontal="center"/>
    </xf>
    <xf numFmtId="10" fontId="60" fillId="12" borderId="13" applyAlignment="1" pivotButton="0" quotePrefix="0" xfId="0">
      <alignment horizontal="center"/>
    </xf>
    <xf numFmtId="9" fontId="62" fillId="0" borderId="0" pivotButton="0" quotePrefix="0" xfId="0"/>
    <xf numFmtId="49" fontId="60" fillId="12" borderId="0" applyAlignment="1" pivotButton="0" quotePrefix="0" xfId="0">
      <alignment horizontal="center"/>
    </xf>
    <xf numFmtId="0" fontId="60" fillId="11" borderId="15" applyAlignment="1" pivotButton="0" quotePrefix="0" xfId="0">
      <alignment horizontal="center"/>
    </xf>
    <xf numFmtId="10" fontId="60" fillId="11" borderId="1" applyAlignment="1" pivotButton="0" quotePrefix="0" xfId="0">
      <alignment horizontal="center"/>
    </xf>
    <xf numFmtId="49" fontId="60" fillId="12" borderId="1" applyAlignment="1" pivotButton="0" quotePrefix="0" xfId="0">
      <alignment horizontal="center"/>
    </xf>
    <xf numFmtId="10" fontId="60" fillId="12" borderId="31" applyAlignment="1" pivotButton="0" quotePrefix="0" xfId="0">
      <alignment horizontal="center"/>
    </xf>
    <xf numFmtId="0" fontId="33" fillId="0" borderId="0" pivotButton="0" quotePrefix="0" xfId="0"/>
    <xf numFmtId="0" fontId="39" fillId="0" borderId="0" applyAlignment="1" pivotButton="0" quotePrefix="0" xfId="0">
      <alignment horizontal="center"/>
    </xf>
    <xf numFmtId="10" fontId="39" fillId="0" borderId="0" applyAlignment="1" pivotButton="0" quotePrefix="0" xfId="0">
      <alignment horizontal="center"/>
    </xf>
    <xf numFmtId="49" fontId="39" fillId="0" borderId="0" applyAlignment="1" pivotButton="0" quotePrefix="0" xfId="0">
      <alignment horizontal="center"/>
    </xf>
    <xf numFmtId="0" fontId="63" fillId="0" borderId="0" applyAlignment="1" pivotButton="0" quotePrefix="0" xfId="0">
      <alignment horizontal="center" vertical="center" wrapText="1"/>
    </xf>
    <xf numFmtId="0" fontId="50" fillId="0" borderId="0" applyAlignment="1" pivotButton="0" quotePrefix="0" xfId="0">
      <alignment horizontal="center"/>
    </xf>
    <xf numFmtId="0" fontId="52" fillId="0" borderId="0" applyAlignment="1" pivotButton="0" quotePrefix="0" xfId="0">
      <alignment wrapText="1"/>
    </xf>
    <xf numFmtId="0" fontId="54" fillId="0" borderId="0" applyAlignment="1" pivotButton="0" quotePrefix="0" xfId="0">
      <alignment horizontal="center"/>
    </xf>
    <xf numFmtId="0" fontId="77" fillId="0" borderId="0" applyAlignment="1" pivotButton="0" quotePrefix="0" xfId="0">
      <alignment horizontal="center" wrapText="1"/>
    </xf>
    <xf numFmtId="0" fontId="78" fillId="0" borderId="0" applyAlignment="1" pivotButton="0" quotePrefix="0" xfId="0">
      <alignment horizontal="center" vertical="center"/>
    </xf>
    <xf numFmtId="0" fontId="56" fillId="0" borderId="0" applyAlignment="1" pivotButton="0" quotePrefix="0" xfId="0">
      <alignment horizontal="center" vertical="center" wrapText="1"/>
    </xf>
    <xf numFmtId="14" fontId="57" fillId="0" borderId="0" applyAlignment="1" pivotButton="0" quotePrefix="0" xfId="0">
      <alignment horizontal="center" vertical="center"/>
    </xf>
    <xf numFmtId="0" fontId="57" fillId="0" borderId="0" applyAlignment="1" pivotButton="0" quotePrefix="0" xfId="0">
      <alignment vertical="center"/>
    </xf>
    <xf numFmtId="0" fontId="58" fillId="0" borderId="0" applyAlignment="1" pivotButton="0" quotePrefix="0" xfId="0">
      <alignment horizontal="left" vertical="center" wrapText="1"/>
    </xf>
    <xf numFmtId="0" fontId="51" fillId="0" borderId="0" pivotButton="0" quotePrefix="0" xfId="0"/>
    <xf numFmtId="0" fontId="59" fillId="0" borderId="0" pivotButton="0" quotePrefix="0" xfId="0"/>
    <xf numFmtId="14" fontId="59" fillId="0" borderId="0" applyAlignment="1" pivotButton="0" quotePrefix="0" xfId="0">
      <alignment horizontal="right"/>
    </xf>
    <xf numFmtId="0" fontId="59" fillId="0" borderId="0" applyAlignment="1" pivotButton="0" quotePrefix="0" xfId="0">
      <alignment horizontal="right"/>
    </xf>
    <xf numFmtId="0" fontId="67" fillId="10" borderId="0" applyAlignment="1" pivotButton="0" quotePrefix="0" xfId="0">
      <alignment horizontal="left" vertical="center"/>
    </xf>
    <xf numFmtId="14" fontId="67" fillId="10" borderId="0" pivotButton="0" quotePrefix="0" xfId="0"/>
    <xf numFmtId="0" fontId="67" fillId="0" borderId="0" applyAlignment="1" pivotButton="0" quotePrefix="0" xfId="0">
      <alignment horizontal="left" vertical="center"/>
    </xf>
    <xf numFmtId="14" fontId="67" fillId="0" borderId="0" pivotButton="0" quotePrefix="0" xfId="0"/>
    <xf numFmtId="0" fontId="67" fillId="10" borderId="0" pivotButton="0" quotePrefix="0" xfId="0"/>
    <xf numFmtId="14" fontId="67" fillId="10" borderId="0" applyAlignment="1" pivotButton="0" quotePrefix="0" xfId="0">
      <alignment horizontal="left" vertical="center"/>
    </xf>
    <xf numFmtId="43" fontId="79" fillId="0" borderId="0" pivotButton="0" quotePrefix="0" xfId="0"/>
    <xf numFmtId="10" fontId="79" fillId="0" borderId="0" pivotButton="0" quotePrefix="0" xfId="0"/>
    <xf numFmtId="0" fontId="79" fillId="0" borderId="0" pivotButton="0" quotePrefix="0" xfId="0"/>
    <xf numFmtId="43" fontId="67" fillId="10" borderId="0" pivotButton="0" quotePrefix="0" xfId="0"/>
    <xf numFmtId="0" fontId="10" fillId="0" borderId="0" applyAlignment="1" pivotButton="0" quotePrefix="0" xfId="0">
      <alignment vertical="center" wrapText="1"/>
    </xf>
    <xf numFmtId="14" fontId="49" fillId="10" borderId="0" applyAlignment="1" pivotButton="0" quotePrefix="0" xfId="0">
      <alignment vertical="center" wrapText="1"/>
    </xf>
    <xf numFmtId="0" fontId="1" fillId="0" borderId="0" applyAlignment="1" pivotButton="0" quotePrefix="0" xfId="0">
      <alignment vertical="center" wrapText="1"/>
    </xf>
    <xf numFmtId="41" fontId="1" fillId="0" borderId="0" pivotButton="0" quotePrefix="0" xfId="0"/>
    <xf numFmtId="0" fontId="1" fillId="4" borderId="0" applyAlignment="1" pivotButton="0" quotePrefix="0" xfId="0">
      <alignment wrapText="1"/>
    </xf>
    <xf numFmtId="170" fontId="2" fillId="4" borderId="0" applyAlignment="1" pivotButton="0" quotePrefix="0" xfId="0">
      <alignment wrapText="1"/>
    </xf>
    <xf numFmtId="0" fontId="2" fillId="0" borderId="0" applyAlignment="1" pivotButton="0" quotePrefix="0" xfId="0">
      <alignment vertical="center" wrapText="1"/>
    </xf>
    <xf numFmtId="41" fontId="2" fillId="0" borderId="0" pivotButton="0" quotePrefix="0" xfId="0"/>
    <xf numFmtId="0" fontId="21" fillId="0" borderId="0" applyAlignment="1" pivotButton="0" quotePrefix="0" xfId="0">
      <alignment vertical="center" wrapText="1"/>
    </xf>
    <xf numFmtId="14" fontId="7" fillId="8" borderId="0" pivotButton="0" quotePrefix="0" xfId="0"/>
    <xf numFmtId="0" fontId="7" fillId="0" borderId="0" applyAlignment="1" pivotButton="0" quotePrefix="0" xfId="0">
      <alignment vertical="center" wrapText="1"/>
    </xf>
    <xf numFmtId="169" fontId="7" fillId="0" borderId="0" pivotButton="0" quotePrefix="0" xfId="0"/>
    <xf numFmtId="10" fontId="1" fillId="4" borderId="0" pivotButton="0" quotePrefix="0" xfId="0"/>
    <xf numFmtId="169" fontId="7" fillId="8" borderId="0" applyAlignment="1" pivotButton="0" quotePrefix="0" xfId="0">
      <alignment wrapText="1"/>
    </xf>
    <xf numFmtId="169" fontId="21" fillId="8" borderId="0" applyAlignment="1" pivotButton="0" quotePrefix="0" xfId="0">
      <alignment wrapText="1"/>
    </xf>
    <xf numFmtId="10" fontId="7" fillId="8" borderId="0" pivotButton="0" quotePrefix="0" xfId="0"/>
    <xf numFmtId="167" fontId="1" fillId="0" borderId="0" pivotButton="0" quotePrefix="0" xfId="0"/>
    <xf numFmtId="166" fontId="2" fillId="4" borderId="0" applyAlignment="1" pivotButton="0" quotePrefix="0" xfId="0">
      <alignment wrapText="1"/>
    </xf>
    <xf numFmtId="167" fontId="1" fillId="4" borderId="0" pivotButton="0" quotePrefix="0" xfId="0"/>
  </cellXfs>
  <cellStyles count="18">
    <cellStyle name="Normal" xfId="0" builtinId="0"/>
    <cellStyle name="Currency" xfId="1" builtinId="4"/>
    <cellStyle name="Percent" xfId="2" builtinId="5"/>
    <cellStyle name="Calculation" xfId="3" builtinId="22"/>
    <cellStyle name="Normal 2" xfId="4"/>
    <cellStyle name="Percent 2" xfId="5"/>
    <cellStyle name="Normal 2 2" xfId="6"/>
    <cellStyle name="Percent 2 2" xfId="7"/>
    <cellStyle name="Comma" xfId="8" builtinId="3"/>
    <cellStyle name="Currency 2" xfId="9"/>
    <cellStyle name="Percent 11" xfId="10"/>
    <cellStyle name="Currency 11 2" xfId="11"/>
    <cellStyle name="Comma 2 2" xfId="12"/>
    <cellStyle name="Percent 5" xfId="13"/>
    <cellStyle name="Hyperlink" xfId="14" builtinId="8"/>
    <cellStyle name="Normal 3" xfId="15"/>
    <cellStyle name="Normal 2 4" xfId="16"/>
    <cellStyle name="Normal 3 2" xfId="17"/>
  </cellStyles>
  <dxfs count="14">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3999450666829432"/>
        </patternFill>
      </fill>
    </dxf>
    <dxf>
      <fill>
        <patternFill>
          <bgColor theme="5" tint="0.3999450666829432"/>
        </patternFill>
      </fill>
    </dxf>
    <dxf>
      <fill>
        <patternFill>
          <bgColor theme="5"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s>
</file>

<file path=xl/drawings/drawing1.xml><?xml version="1.0" encoding="utf-8"?>
<wsDr xmlns="http://schemas.openxmlformats.org/drawingml/2006/spreadsheetDrawing">
  <twoCellAnchor>
    <from>
      <col>3</col>
      <colOff>57150</colOff>
      <row>0</row>
      <rowOff>37418</rowOff>
    </from>
    <to>
      <col>3</col>
      <colOff>2228850</colOff>
      <row>6</row>
      <rowOff>0</rowOff>
    </to>
    <pic>
      <nvPicPr>
        <cNvPr id="2" name="Picture 1"/>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1"/>
        <a:srcRect xmlns:a="http://schemas.openxmlformats.org/drawingml/2006/main" l="1743" t="2700" r="4712" b="3542"/>
        <a:stretch xmlns:a="http://schemas.openxmlformats.org/drawingml/2006/main">
          <a:fillRect/>
        </a:stretch>
      </blipFill>
      <spPr bwMode="auto">
        <a:xfrm xmlns:a="http://schemas.openxmlformats.org/drawingml/2006/main">
          <a:off x="2209800" y="361268"/>
          <a:ext cx="2171700" cy="2473372"/>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1</col>
      <colOff>57151</colOff>
      <row>28</row>
      <rowOff>95250</rowOff>
    </from>
    <to>
      <col>2</col>
      <colOff>1171024</colOff>
      <row>30</row>
      <rowOff>76200</rowOff>
    </to>
    <pic>
      <nvPicPr>
        <cNvPr id="4" name="Picture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238126" y="7591425"/>
          <a:ext cx="1694898" cy="333375"/>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Vizo Color Theme 1">
      <a:dk1>
        <a:srgbClr val="000000"/>
      </a:dk1>
      <a:lt1>
        <a:sysClr val="window" lastClr="FFFFFF"/>
      </a:lt1>
      <a:dk2>
        <a:srgbClr val="829901"/>
      </a:dk2>
      <a:lt2>
        <a:srgbClr val="3D1A1A"/>
      </a:lt2>
      <a:accent1>
        <a:srgbClr val="0D4D5E"/>
      </a:accent1>
      <a:accent2>
        <a:srgbClr val="829901"/>
      </a:accent2>
      <a:accent3>
        <a:srgbClr val="3D1A1A"/>
      </a:accent3>
      <a:accent4>
        <a:srgbClr val="48A5AD"/>
      </a:accent4>
      <a:accent5>
        <a:srgbClr val="5F5F5F"/>
      </a:accent5>
      <a:accent6>
        <a:srgbClr val="FFC000"/>
      </a:accent6>
      <a:hlink>
        <a:srgbClr val="0D4D5E"/>
      </a:hlink>
      <a:folHlink>
        <a:srgbClr val="3D1A1A"/>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Relationships xmlns="http://schemas.openxmlformats.org/package/2006/relationships"><Relationship Type="http://schemas.openxmlformats.org/officeDocument/2006/relationships/drawing" Target="/xl/drawings/drawing1.xml" Id="rId1"/></Relationships>
</file>

<file path=xl/worksheets/_rels/sheet20.xml.rels><Relationships xmlns="http://schemas.openxmlformats.org/package/2006/relationships"><Relationship Type="http://schemas.openxmlformats.org/officeDocument/2006/relationships/hyperlink" Target="http://www.bls.gov/lau/data.htm" TargetMode="External" Id="rId1"/><Relationship Type="http://schemas.openxmlformats.org/officeDocument/2006/relationships/hyperlink" Target="https://www.sofi.com/learn/content/foreclosure-rates-for-50-states/" TargetMode="External" Id="rId2"/></Relationships>
</file>

<file path=xl/worksheets/sheet1.xml><?xml version="1.0" encoding="utf-8"?>
<worksheet xmlns="http://schemas.openxmlformats.org/spreadsheetml/2006/main">
  <sheetPr>
    <tabColor theme="0" tint="-0.1499984740745262"/>
    <outlinePr summaryBelow="1" summaryRight="1"/>
    <pageSetUpPr fitToPage="1"/>
  </sheetPr>
  <dimension ref="A1:F40"/>
  <sheetViews>
    <sheetView topLeftCell="A4" workbookViewId="0">
      <selection activeCell="A1" sqref="A1"/>
    </sheetView>
  </sheetViews>
  <sheetFormatPr baseColWidth="8" defaultRowHeight="12.75"/>
  <cols>
    <col width="2.7109375" customWidth="1" style="660" min="1" max="1"/>
    <col width="8.7109375" customWidth="1" style="660" min="2" max="2"/>
    <col width="20.85546875" customWidth="1" style="660" min="3" max="3"/>
    <col width="51.28515625" customWidth="1" style="660" min="4" max="4"/>
    <col width="8.7109375" customWidth="1" style="660" min="5" max="5"/>
    <col width="2.7109375" customWidth="1" style="660" min="6" max="6"/>
    <col width="9.140625" customWidth="1" style="660" min="7" max="13"/>
    <col width="9.140625" customWidth="1" style="660" min="14" max="16384"/>
  </cols>
  <sheetData>
    <row r="1">
      <c r="A1" s="271" t="n"/>
      <c r="B1" s="272" t="n"/>
      <c r="C1" s="272" t="n"/>
      <c r="D1" s="272" t="n"/>
      <c r="E1" s="272" t="n"/>
      <c r="F1" s="273" t="n"/>
    </row>
    <row r="2">
      <c r="A2" s="275" t="n"/>
      <c r="F2" s="276" t="n"/>
    </row>
    <row r="3">
      <c r="A3" s="275" t="n"/>
      <c r="F3" s="276" t="n"/>
    </row>
    <row r="4">
      <c r="A4" s="275" t="n"/>
      <c r="F4" s="276" t="n"/>
    </row>
    <row r="5" ht="44.25" customHeight="1" s="685">
      <c r="A5" s="665" t="n"/>
      <c r="F5" s="661" t="n"/>
    </row>
    <row r="6" ht="76.5" customHeight="1" s="685">
      <c r="A6" s="666" t="inlineStr">
        <is>
          <t>Scaled CECL Allowance for Losses Estimator (SCALE)</t>
        </is>
      </c>
      <c r="F6" s="661" t="n"/>
    </row>
    <row r="7" ht="23.25" customHeight="1" s="685">
      <c r="A7" s="662" t="n"/>
      <c r="F7" s="661" t="n"/>
    </row>
    <row r="8" ht="23.25" customHeight="1" s="685">
      <c r="A8" s="662" t="n"/>
      <c r="F8" s="661" t="n"/>
    </row>
    <row r="9" ht="23.25" customHeight="1" s="685">
      <c r="A9" s="662" t="n"/>
      <c r="F9" s="661" t="n"/>
    </row>
    <row r="10" ht="23.25" customHeight="1" s="685">
      <c r="A10" s="662" t="n"/>
      <c r="F10" s="661" t="n"/>
    </row>
    <row r="11" ht="35.25" customHeight="1" s="685">
      <c r="A11" s="275" t="n"/>
      <c r="B11" s="277" t="n"/>
      <c r="C11" s="277" t="n"/>
      <c r="D11" s="277" t="n"/>
      <c r="E11" s="277" t="n"/>
      <c r="F11" s="276" t="n"/>
    </row>
    <row r="12" ht="15" customHeight="1" s="685">
      <c r="A12" s="668" t="inlineStr">
        <is>
          <t xml:space="preserve"> Prepared For:</t>
        </is>
      </c>
      <c r="F12" s="661" t="n"/>
    </row>
    <row r="13" ht="45" customHeight="1" s="685">
      <c r="A13" s="664">
        <f>'Historical Data'!B2</f>
        <v/>
      </c>
      <c r="F13" s="661" t="n"/>
    </row>
    <row r="14" ht="45" customHeight="1" s="685">
      <c r="A14" s="275" t="n"/>
      <c r="B14" s="278" t="n"/>
      <c r="C14" s="278" t="n"/>
      <c r="D14" s="278" t="n"/>
      <c r="E14" s="278" t="n"/>
      <c r="F14" s="276" t="n"/>
    </row>
    <row r="15" ht="45" customHeight="1" s="685">
      <c r="A15" s="659" t="n"/>
      <c r="F15" s="661" t="n"/>
    </row>
    <row r="16" ht="21" customHeight="1" s="685">
      <c r="A16" s="659" t="inlineStr">
        <is>
          <t>For Period Ending</t>
        </is>
      </c>
      <c r="F16" s="661" t="n"/>
    </row>
    <row r="17" ht="24" customHeight="1" s="685">
      <c r="A17" s="667">
        <f>'Calc tab'!AE6</f>
        <v/>
      </c>
      <c r="F17" s="661" t="n"/>
    </row>
    <row r="18" ht="15" customHeight="1" s="685">
      <c r="A18" s="663" t="n"/>
      <c r="F18" s="661" t="n"/>
    </row>
    <row r="19" ht="15" customHeight="1" s="685">
      <c r="A19" s="663" t="inlineStr">
        <is>
          <t>Presented by:</t>
        </is>
      </c>
      <c r="F19" s="661" t="n"/>
    </row>
    <row r="20">
      <c r="A20" s="275" t="n"/>
      <c r="F20" s="276" t="n"/>
    </row>
    <row r="21">
      <c r="A21" s="275" t="n"/>
      <c r="F21" s="276" t="n"/>
    </row>
    <row r="22">
      <c r="A22" s="275" t="n"/>
      <c r="F22" s="276" t="n"/>
    </row>
    <row r="23">
      <c r="A23" s="275" t="n"/>
      <c r="F23" s="276" t="n"/>
    </row>
    <row r="24">
      <c r="A24" s="275" t="n"/>
      <c r="F24" s="276" t="n"/>
    </row>
    <row r="25">
      <c r="A25" s="275" t="n"/>
      <c r="F25" s="276" t="n"/>
    </row>
    <row r="26">
      <c r="A26" s="275" t="n"/>
      <c r="F26" s="276" t="n"/>
    </row>
    <row r="27">
      <c r="A27" s="275" t="n"/>
      <c r="F27" s="276" t="n"/>
    </row>
    <row r="28">
      <c r="A28" s="275" t="n"/>
      <c r="F28" s="276" t="n"/>
    </row>
    <row r="29">
      <c r="A29" s="275" t="n"/>
      <c r="F29" s="276" t="n"/>
    </row>
    <row r="30">
      <c r="A30" s="275" t="n"/>
      <c r="F30" s="276" t="n"/>
    </row>
    <row r="31">
      <c r="A31" s="275" t="n"/>
      <c r="F31" s="276" t="n"/>
    </row>
    <row r="32">
      <c r="A32" s="275" t="n"/>
      <c r="F32" s="276" t="n"/>
    </row>
    <row r="33">
      <c r="A33" s="275" t="n"/>
      <c r="F33" s="276" t="n"/>
    </row>
    <row r="34">
      <c r="A34" s="275" t="n"/>
      <c r="F34" s="276" t="n"/>
    </row>
    <row r="35">
      <c r="A35" s="275" t="n"/>
      <c r="B35" s="279">
        <f>"© "&amp;YEAR('Historical Data'!AY8)&amp;" TCT Risk Solutions"</f>
        <v/>
      </c>
      <c r="C35" s="280" t="n"/>
      <c r="D35" s="280" t="n"/>
      <c r="E35" s="281">
        <f>"For Period Ending "&amp;TEXT(Cover!A17,"mm/dd/yyyy")</f>
        <v/>
      </c>
      <c r="F35" s="276" t="n"/>
    </row>
    <row r="36">
      <c r="A36" s="275" t="n"/>
      <c r="B36" s="279" t="inlineStr">
        <is>
          <t>P.O. Box 2210</t>
        </is>
      </c>
      <c r="C36" s="280" t="n"/>
      <c r="D36" s="280" t="n"/>
      <c r="E36" s="282">
        <f>A13</f>
        <v/>
      </c>
      <c r="F36" s="276" t="n"/>
    </row>
    <row r="37">
      <c r="A37" s="275" t="n"/>
      <c r="B37" s="279" t="inlineStr">
        <is>
          <t>Eagle, ID 83616</t>
        </is>
      </c>
      <c r="C37" s="280" t="n"/>
      <c r="D37" s="280" t="n"/>
      <c r="E37" s="280" t="n"/>
      <c r="F37" s="276" t="n"/>
    </row>
    <row r="38">
      <c r="A38" s="275" t="n"/>
      <c r="B38" s="279" t="inlineStr">
        <is>
          <t>Voice (208) 939-8366 - Fax (208) 938-6276</t>
        </is>
      </c>
      <c r="C38" s="280" t="n"/>
      <c r="D38" s="280" t="n"/>
      <c r="E38" s="282" t="n"/>
      <c r="F38" s="276" t="n"/>
    </row>
    <row r="39">
      <c r="A39" s="275" t="n"/>
      <c r="B39" s="279" t="inlineStr">
        <is>
          <t>E-Mail: RThompson@tctrisk.com or Office@tctrisk.com</t>
        </is>
      </c>
      <c r="C39" s="280" t="n"/>
      <c r="D39" s="280" t="n"/>
      <c r="E39" s="280" t="n"/>
      <c r="F39" s="276" t="n"/>
    </row>
    <row r="40" ht="12.75" customHeight="1" s="685" thickBot="1">
      <c r="A40" s="283" t="n"/>
      <c r="B40" s="284" t="n"/>
      <c r="C40" s="284" t="n"/>
      <c r="D40" s="284" t="n"/>
      <c r="E40" s="284" t="n"/>
      <c r="F40" s="285" t="n"/>
    </row>
  </sheetData>
  <mergeCells count="13">
    <mergeCell ref="A16:F16"/>
    <mergeCell ref="A10:F10"/>
    <mergeCell ref="A19:F19"/>
    <mergeCell ref="A13:F13"/>
    <mergeCell ref="A5:F5"/>
    <mergeCell ref="A9:F9"/>
    <mergeCell ref="A8:F8"/>
    <mergeCell ref="A6:F6"/>
    <mergeCell ref="A17:F17"/>
    <mergeCell ref="A18:F18"/>
    <mergeCell ref="A12:F12"/>
    <mergeCell ref="A15:F15"/>
    <mergeCell ref="A7:F7"/>
  </mergeCells>
  <printOptions horizontalCentered="1" verticalCentered="1"/>
  <pageMargins left="0.2" right="0.2" top="0.25" bottom="0.25" header="0.05" footer="0.05"/>
  <pageSetup orientation="portrait"/>
  <headerFooter differentFirst="1">
    <oddHeader/>
    <oddFooter>&amp;C&amp;P of &amp;N</oddFooter>
    <evenHeader/>
    <evenFooter/>
    <firstHeader/>
    <firstFooter/>
  </headerFooter>
</worksheet>
</file>

<file path=xl/worksheets/sheet2.xml><?xml version="1.0" encoding="utf-8"?>
<worksheet xmlns="http://schemas.openxmlformats.org/spreadsheetml/2006/main">
  <sheetPr>
    <tabColor theme="0" tint="-0.1499984740745262"/>
    <outlinePr summaryBelow="1" summaryRight="1"/>
    <pageSetUpPr fitToPage="1"/>
  </sheetPr>
  <dimension ref="A1:N48"/>
  <sheetViews>
    <sheetView workbookViewId="0">
      <selection activeCell="A1" sqref="A1"/>
    </sheetView>
  </sheetViews>
  <sheetFormatPr baseColWidth="8" defaultColWidth="8.85546875" defaultRowHeight="12.75"/>
  <cols>
    <col width="3.42578125" customWidth="1" style="670" min="1" max="1"/>
    <col width="3.28515625" customWidth="1" style="670" min="2" max="2"/>
    <col width="8.5703125" customWidth="1" style="670" min="3" max="3"/>
    <col width="10.140625" bestFit="1" customWidth="1" style="670" min="4" max="4"/>
    <col width="8.85546875" customWidth="1" style="670" min="5" max="11"/>
    <col width="9.85546875" customWidth="1" style="670" min="12" max="12"/>
    <col width="3.28515625" customWidth="1" style="670" min="13" max="13"/>
    <col width="3.42578125" customWidth="1" style="670" min="14" max="14"/>
    <col width="8.85546875" customWidth="1" style="670" min="15" max="21"/>
    <col width="8.85546875" customWidth="1" style="670" min="22" max="16384"/>
  </cols>
  <sheetData>
    <row r="1" ht="13.5" customHeight="1" s="685" thickBot="1">
      <c r="A1" s="286" t="n"/>
      <c r="B1" s="287" t="n"/>
      <c r="C1" s="287" t="n"/>
      <c r="D1" s="287" t="n"/>
      <c r="E1" s="287" t="n"/>
      <c r="F1" s="287" t="n"/>
      <c r="G1" s="287" t="n"/>
      <c r="H1" s="287" t="n"/>
      <c r="I1" s="287" t="n"/>
      <c r="J1" s="287" t="n"/>
      <c r="K1" s="287" t="n"/>
      <c r="L1" s="287" t="n"/>
      <c r="M1" s="287" t="n"/>
      <c r="N1" s="288" t="n"/>
    </row>
    <row r="2" ht="20.25" customHeight="1" s="685">
      <c r="A2" s="290" t="n"/>
      <c r="B2" s="674">
        <f>'Historical Data'!B2</f>
        <v/>
      </c>
      <c r="C2" s="675" t="n"/>
      <c r="D2" s="675" t="n"/>
      <c r="E2" s="675" t="n"/>
      <c r="F2" s="675" t="n"/>
      <c r="G2" s="675" t="n"/>
      <c r="H2" s="675" t="n"/>
      <c r="I2" s="675" t="n"/>
      <c r="J2" s="675" t="n"/>
      <c r="K2" s="675" t="n"/>
      <c r="L2" s="675" t="n"/>
      <c r="M2" s="676" t="n"/>
      <c r="N2" s="291" t="n"/>
    </row>
    <row r="3" ht="15.75" customHeight="1" s="685">
      <c r="A3" s="290" t="n"/>
      <c r="B3" s="678">
        <f>Cover!A6</f>
        <v/>
      </c>
      <c r="M3" s="661" t="n"/>
      <c r="N3" s="291" t="n"/>
    </row>
    <row r="4" ht="15.75" customHeight="1" s="685" thickBot="1">
      <c r="A4" s="290" t="n"/>
      <c r="B4" s="671">
        <f>"For Period Ending "&amp;TEXT(Cover!A17,"mm/dd/yyyy")</f>
        <v/>
      </c>
      <c r="C4" s="672" t="n"/>
      <c r="D4" s="672" t="n"/>
      <c r="E4" s="672" t="n"/>
      <c r="F4" s="672" t="n"/>
      <c r="G4" s="672" t="n"/>
      <c r="H4" s="672" t="n"/>
      <c r="I4" s="672" t="n"/>
      <c r="J4" s="672" t="n"/>
      <c r="K4" s="672" t="n"/>
      <c r="L4" s="672" t="n"/>
      <c r="M4" s="673" t="n"/>
      <c r="N4" s="291" t="n"/>
    </row>
    <row r="5" ht="15.75" customHeight="1" s="685">
      <c r="A5" s="290" t="n"/>
      <c r="B5" s="292" t="n"/>
      <c r="C5" s="292" t="n"/>
      <c r="D5" s="292" t="n"/>
      <c r="E5" s="292" t="n"/>
      <c r="F5" s="292" t="n"/>
      <c r="G5" s="292" t="n"/>
      <c r="H5" s="292" t="n"/>
      <c r="I5" s="292" t="n"/>
      <c r="J5" s="292" t="n"/>
      <c r="K5" s="292" t="n"/>
      <c r="L5" s="292" t="n"/>
      <c r="M5" s="292" t="n"/>
      <c r="N5" s="291" t="n"/>
    </row>
    <row r="6" ht="15.75" customHeight="1" s="685" thickBot="1">
      <c r="A6" s="290" t="n"/>
      <c r="B6" s="292" t="n"/>
      <c r="C6" s="292" t="n"/>
      <c r="D6" s="292" t="n"/>
      <c r="E6" s="292" t="n"/>
      <c r="F6" s="292" t="n"/>
      <c r="G6" s="292" t="n"/>
      <c r="H6" s="292" t="n"/>
      <c r="I6" s="292" t="n"/>
      <c r="J6" s="292" t="n"/>
      <c r="K6" s="292" t="n"/>
      <c r="L6" s="292" t="n"/>
      <c r="M6" s="292" t="n"/>
      <c r="N6" s="291" t="n"/>
    </row>
    <row r="7" ht="15.75" customHeight="1" s="685">
      <c r="A7" s="290" t="n"/>
      <c r="B7" s="677" t="n"/>
      <c r="C7" s="675" t="n"/>
      <c r="D7" s="675" t="n"/>
      <c r="E7" s="675" t="n"/>
      <c r="F7" s="675" t="n"/>
      <c r="G7" s="675" t="n"/>
      <c r="H7" s="675" t="n"/>
      <c r="I7" s="675" t="n"/>
      <c r="J7" s="675" t="n"/>
      <c r="K7" s="675" t="n"/>
      <c r="L7" s="675" t="n"/>
      <c r="M7" s="676" t="n"/>
      <c r="N7" s="291" t="n"/>
    </row>
    <row r="8" ht="15.75" customHeight="1" s="685">
      <c r="A8" s="290" t="n"/>
      <c r="B8" s="678" t="inlineStr">
        <is>
          <t>Introduction to the Model</t>
        </is>
      </c>
      <c r="M8" s="661" t="n"/>
      <c r="N8" s="291" t="n"/>
    </row>
    <row r="9" ht="62.25" customHeight="1" s="685">
      <c r="A9" s="290" t="n"/>
      <c r="B9" s="293" t="n"/>
      <c r="C9" s="679" t="inlineStr">
        <is>
          <t xml:space="preserve">This report explains the anticipated loan loss exposure to the credit union using the Scaled CECL Allowance for Losses Estimator (SCALE).  A credit union’s allowance account is directly related to the risk of loss resulting from non-performing loans in the portfolio.  Because of this relationship, it is critical that a credit union accurately identify risk and allow for that risk in its financial statements. </t>
        </is>
      </c>
      <c r="D9" s="680" t="n"/>
      <c r="E9" s="680" t="n"/>
      <c r="F9" s="680" t="n"/>
      <c r="G9" s="680" t="n"/>
      <c r="H9" s="680" t="n"/>
      <c r="I9" s="680" t="n"/>
      <c r="J9" s="680" t="n"/>
      <c r="K9" s="680" t="n"/>
      <c r="L9" s="680" t="n"/>
      <c r="M9" s="294" t="n"/>
      <c r="N9" s="291" t="n"/>
    </row>
    <row r="10">
      <c r="A10" s="290" t="n"/>
      <c r="B10" s="293" t="n"/>
      <c r="C10" s="295" t="n"/>
      <c r="D10" s="295" t="n"/>
      <c r="E10" s="295" t="n"/>
      <c r="F10" s="295" t="n"/>
      <c r="G10" s="295" t="n"/>
      <c r="H10" s="295" t="n"/>
      <c r="I10" s="295" t="n"/>
      <c r="J10" s="295" t="n"/>
      <c r="K10" s="295" t="n"/>
      <c r="L10" s="295" t="n"/>
      <c r="M10" s="294" t="n"/>
      <c r="N10" s="291" t="n"/>
    </row>
    <row r="11" ht="15.75" customHeight="1" s="685">
      <c r="A11" s="290" t="n"/>
      <c r="B11" s="293" t="n"/>
      <c r="C11" s="669" t="inlineStr">
        <is>
          <t>In a Policy Guidance Statement from 2006 the Office of Comptroller of the Currency stated:</t>
        </is>
      </c>
      <c r="M11" s="294" t="n"/>
      <c r="N11" s="291" t="n"/>
    </row>
    <row r="12">
      <c r="A12" s="290" t="n"/>
      <c r="B12" s="293" t="n"/>
      <c r="C12" s="295" t="n"/>
      <c r="D12" s="295" t="n"/>
      <c r="E12" s="295" t="n"/>
      <c r="F12" s="295" t="n"/>
      <c r="G12" s="295" t="n"/>
      <c r="H12" s="295" t="n"/>
      <c r="I12" s="295" t="n"/>
      <c r="J12" s="295" t="n"/>
      <c r="K12" s="295" t="n"/>
      <c r="L12" s="295" t="n"/>
      <c r="M12" s="294" t="n"/>
      <c r="N12" s="291" t="n"/>
    </row>
    <row r="13" ht="124.5" customHeight="1" s="685">
      <c r="A13" s="290" t="n"/>
      <c r="B13" s="293" t="n"/>
      <c r="C13" s="432" t="n"/>
      <c r="D13" s="669" t="inlineStr">
        <is>
          <t>“The ALLL represents one of the most significant estimates in an institution's financial statements and regulatory reports. Because of its significance, each institution has a responsibility for developing, maintaining, and documenting a comprehensive, systematic, and consistently applied process for determining the amounts of the ALLL and the provision for loan and lease losses (PLLL). 
To fulfill this responsibility, each institution should ensure controls are in place to consistently determine the ALLL in accordance with GAAP, the institution's stated policies and procedures, management's best judgment and relevant supervisory guidance.”</t>
        </is>
      </c>
      <c r="M13" s="294" t="n"/>
      <c r="N13" s="291" t="n"/>
    </row>
    <row r="14">
      <c r="A14" s="290" t="n"/>
      <c r="B14" s="293" t="n"/>
      <c r="C14" s="295" t="n"/>
      <c r="D14" s="295" t="n"/>
      <c r="E14" s="295" t="n"/>
      <c r="F14" s="295" t="n"/>
      <c r="G14" s="295" t="n"/>
      <c r="H14" s="295" t="n"/>
      <c r="I14" s="295" t="n"/>
      <c r="J14" s="295" t="n"/>
      <c r="K14" s="295" t="n"/>
      <c r="L14" s="295" t="n"/>
      <c r="M14" s="294" t="n"/>
      <c r="N14" s="291" t="n"/>
    </row>
    <row r="15" ht="77.25" customHeight="1" s="685">
      <c r="A15" s="290" t="n"/>
      <c r="B15" s="293" t="n"/>
      <c r="C15" s="669" t="inlineStr">
        <is>
          <t>For financial institutions adopting the CECL methodology, an Allowance for Credit Losses (ACL) for loans replaces the former Allowance for Loan and Lease Losses (ALLL) referenced by the OCC.  Both methodologies provide for an estimate of uncollectible amounts maintained through a valuation account adjusted through charges to operating income. The measurement framework and conceptual basis supporting an ACL differ, however, from those of the allowance for loan and lease losses.</t>
        </is>
      </c>
      <c r="M15" s="294" t="n"/>
      <c r="N15" s="291" t="n"/>
    </row>
    <row r="16">
      <c r="A16" s="290" t="n"/>
      <c r="B16" s="293" t="n"/>
      <c r="C16" s="295" t="n"/>
      <c r="D16" s="295" t="n"/>
      <c r="E16" s="295" t="n"/>
      <c r="F16" s="295" t="n"/>
      <c r="G16" s="295" t="n"/>
      <c r="H16" s="295" t="n"/>
      <c r="I16" s="295" t="n"/>
      <c r="J16" s="295" t="n"/>
      <c r="K16" s="295" t="n"/>
      <c r="L16" s="295" t="n"/>
      <c r="M16" s="294" t="n"/>
      <c r="N16" s="291" t="n"/>
    </row>
    <row r="17" ht="75.75" customHeight="1" s="685">
      <c r="A17" s="290" t="n"/>
      <c r="B17" s="293" t="n"/>
      <c r="C17" s="669" t="inlineStr">
        <is>
          <t>The SCALE method is one of the two methodologies offered by TCT Risk Solutions for calculating an estimate of uncollectible amounts in the loan portfolio.  It was originally introduced by the Federal Reserve as a simplified application for banks.  TCT has adapted this model with components of the WARM methodology to create a simple, yet statistically valid method of estimating anticipated loss in the loan portfolio.</t>
        </is>
      </c>
      <c r="M17" s="294" t="n"/>
      <c r="N17" s="291" t="n"/>
    </row>
    <row r="18">
      <c r="A18" s="290" t="n"/>
      <c r="B18" s="293" t="n"/>
      <c r="C18" s="295" t="n"/>
      <c r="D18" s="295" t="n"/>
      <c r="E18" s="295" t="n"/>
      <c r="F18" s="295" t="n"/>
      <c r="G18" s="295" t="n"/>
      <c r="H18" s="295" t="n"/>
      <c r="I18" s="295" t="n"/>
      <c r="J18" s="295" t="n"/>
      <c r="K18" s="295" t="n"/>
      <c r="L18" s="295" t="n"/>
      <c r="M18" s="294" t="n"/>
      <c r="N18" s="291" t="n"/>
    </row>
    <row r="19" ht="78" customHeight="1" s="685">
      <c r="A19" s="290" t="n"/>
      <c r="B19" s="293" t="n"/>
      <c r="C19" s="669" t="inlineStr">
        <is>
          <t>Under CECL, ACLs are estimates of the expected credit losses on financial assets measured at amortized cost, which is measured using relevant information about past events, including historical credit loss experience on financial assets with similar risk characteristics, current conditions, and reasonable and supportable forecasts that affect the collectability of the remaining cash flows over the contractual term of the financial assets.</t>
        </is>
      </c>
      <c r="M19" s="294" t="n"/>
      <c r="N19" s="291" t="n"/>
    </row>
    <row r="20">
      <c r="A20" s="290" t="n"/>
      <c r="B20" s="293" t="n"/>
      <c r="C20" s="295" t="n"/>
      <c r="D20" s="295" t="n"/>
      <c r="E20" s="295" t="n"/>
      <c r="F20" s="295" t="n"/>
      <c r="G20" s="295" t="n"/>
      <c r="H20" s="295" t="n"/>
      <c r="I20" s="295" t="n"/>
      <c r="J20" s="295" t="n"/>
      <c r="K20" s="295" t="n"/>
      <c r="L20" s="295" t="n"/>
      <c r="M20" s="294" t="n"/>
      <c r="N20" s="291" t="n"/>
    </row>
    <row r="21" ht="53.25" customHeight="1" s="685">
      <c r="A21" s="290" t="n"/>
      <c r="B21" s="293" t="n"/>
      <c r="C21" s="669" t="inlineStr">
        <is>
          <t>TCT pulls core data from the 5300 to populate the model in order to calculate the ACL.  The credit union provides information relative to individually identified loans to include in the model for calculating the ACL.  Throughout the process TCT relies on input and guidance from Credit Union management.</t>
        </is>
      </c>
      <c r="M21" s="294" t="n"/>
      <c r="N21" s="291" t="n"/>
    </row>
    <row r="22" ht="13.5" customHeight="1" s="685" thickBot="1">
      <c r="A22" s="290" t="n"/>
      <c r="B22" s="296" t="n"/>
      <c r="C22" s="297" t="n"/>
      <c r="D22" s="297" t="n"/>
      <c r="E22" s="297" t="n"/>
      <c r="F22" s="297" t="n"/>
      <c r="G22" s="297" t="n"/>
      <c r="H22" s="297" t="n"/>
      <c r="I22" s="297" t="n"/>
      <c r="J22" s="297" t="n"/>
      <c r="K22" s="297" t="n"/>
      <c r="L22" s="297" t="n"/>
      <c r="M22" s="298" t="n"/>
      <c r="N22" s="291" t="n"/>
    </row>
    <row r="23" ht="15.75" customHeight="1" s="685" thickBot="1">
      <c r="A23" s="290" t="n"/>
      <c r="B23" s="292" t="n"/>
      <c r="C23" s="292" t="n"/>
      <c r="D23" s="292" t="n"/>
      <c r="E23" s="292" t="n"/>
      <c r="F23" s="292" t="n"/>
      <c r="G23" s="292" t="n"/>
      <c r="H23" s="292" t="n"/>
      <c r="I23" s="292" t="n"/>
      <c r="J23" s="292" t="n"/>
      <c r="K23" s="292" t="n"/>
      <c r="L23" s="292" t="n"/>
      <c r="M23" s="292" t="n"/>
      <c r="N23" s="291" t="n"/>
    </row>
    <row r="24">
      <c r="A24" s="290" t="n"/>
      <c r="B24" s="299" t="n"/>
      <c r="C24" s="300" t="n"/>
      <c r="D24" s="300" t="n"/>
      <c r="E24" s="300" t="n"/>
      <c r="F24" s="300" t="n"/>
      <c r="G24" s="300" t="n"/>
      <c r="H24" s="300" t="n"/>
      <c r="I24" s="300" t="n"/>
      <c r="J24" s="300" t="n"/>
      <c r="K24" s="300" t="n"/>
      <c r="L24" s="300" t="n"/>
      <c r="M24" s="301" t="n"/>
      <c r="N24" s="291" t="n"/>
    </row>
    <row r="25">
      <c r="A25" s="290" t="n"/>
      <c r="B25" s="293" t="n"/>
      <c r="C25" s="295" t="n"/>
      <c r="D25" s="295" t="n"/>
      <c r="E25" s="295" t="n"/>
      <c r="F25" s="295" t="n"/>
      <c r="G25" s="295" t="n"/>
      <c r="H25" s="295" t="n"/>
      <c r="I25" s="295" t="n"/>
      <c r="J25" s="295" t="n"/>
      <c r="K25" s="295" t="n"/>
      <c r="L25" s="295" t="n"/>
      <c r="M25" s="294" t="n"/>
      <c r="N25" s="291" t="n"/>
    </row>
    <row r="26">
      <c r="A26" s="290" t="n"/>
      <c r="B26" s="293" t="n"/>
      <c r="C26" s="302" t="n"/>
      <c r="D26" s="303" t="n"/>
      <c r="L26" s="304" t="n"/>
      <c r="M26" s="294" t="n"/>
      <c r="N26" s="291" t="n"/>
    </row>
    <row r="27" ht="13.5" customHeight="1" s="685" thickBot="1">
      <c r="A27" s="290" t="n"/>
      <c r="B27" s="305">
        <f>Cover!B35</f>
        <v/>
      </c>
      <c r="C27" s="306" t="n"/>
      <c r="D27" s="306" t="n"/>
      <c r="E27" s="306" t="n"/>
      <c r="F27" s="306" t="n"/>
      <c r="G27" s="306" t="n"/>
      <c r="H27" s="306" t="n"/>
      <c r="I27" s="306" t="n"/>
      <c r="J27" s="306" t="n"/>
      <c r="K27" s="306" t="n"/>
      <c r="L27" s="307" t="inlineStr">
        <is>
          <t>Confidential</t>
        </is>
      </c>
      <c r="M27" s="308" t="n"/>
      <c r="N27" s="291" t="n"/>
    </row>
    <row r="28" ht="13.5" customHeight="1" s="685" thickBot="1">
      <c r="A28" s="309" t="n"/>
      <c r="B28" s="310" t="n"/>
      <c r="C28" s="310" t="n"/>
      <c r="D28" s="310" t="n"/>
      <c r="E28" s="310" t="n"/>
      <c r="F28" s="310" t="n"/>
      <c r="G28" s="310" t="n"/>
      <c r="H28" s="310" t="n"/>
      <c r="I28" s="310" t="n"/>
      <c r="J28" s="310" t="n"/>
      <c r="K28" s="310" t="n"/>
      <c r="L28" s="310" t="n"/>
      <c r="M28" s="310" t="n"/>
      <c r="N28" s="311" t="n"/>
    </row>
    <row r="32">
      <c r="D32" s="312" t="n"/>
    </row>
    <row r="48">
      <c r="D48" s="295" t="n"/>
    </row>
  </sheetData>
  <mergeCells count="12">
    <mergeCell ref="C19:L19"/>
    <mergeCell ref="B2:M2"/>
    <mergeCell ref="D13:L13"/>
    <mergeCell ref="B7:M7"/>
    <mergeCell ref="B3:M3"/>
    <mergeCell ref="C9:L9"/>
    <mergeCell ref="C17:L17"/>
    <mergeCell ref="B8:M8"/>
    <mergeCell ref="C21:L21"/>
    <mergeCell ref="C15:L15"/>
    <mergeCell ref="B4:M4"/>
    <mergeCell ref="C11:L11"/>
  </mergeCells>
  <printOptions horizontalCentered="1"/>
  <pageMargins left="0.25" right="0.25" top="0.25" bottom="0.25" header="0.3" footer="0.05"/>
  <pageSetup orientation="portrait" scale="98"/>
  <headerFooter differentFirst="1">
    <oddHeader/>
    <oddFooter>&amp;C&amp;P of &amp;N</oddFooter>
    <evenHeader/>
    <evenFooter/>
    <firstHeader/>
    <firstFooter/>
  </headerFooter>
</worksheet>
</file>

<file path=xl/worksheets/sheet3.xml><?xml version="1.0" encoding="utf-8"?>
<worksheet xmlns="http://schemas.openxmlformats.org/spreadsheetml/2006/main">
  <sheetPr>
    <tabColor theme="0" tint="-0.1499984740745262"/>
    <outlinePr summaryBelow="1" summaryRight="1"/>
    <pageSetUpPr fitToPage="1"/>
  </sheetPr>
  <dimension ref="A1:W78"/>
  <sheetViews>
    <sheetView topLeftCell="A8" workbookViewId="0">
      <selection activeCell="S13" sqref="S13"/>
    </sheetView>
  </sheetViews>
  <sheetFormatPr baseColWidth="8" defaultRowHeight="15"/>
  <cols>
    <col width="2.5703125" customWidth="1" style="685" min="1" max="1"/>
    <col width="3" customWidth="1" style="685" min="2" max="2"/>
    <col width="74" customWidth="1" style="685" min="3" max="3"/>
    <col width="5" customWidth="1" style="685" min="4" max="4"/>
    <col width="19.140625" bestFit="1" customWidth="1" style="685" min="5" max="5"/>
    <col width="5" customWidth="1" style="685" min="6" max="6"/>
    <col width="13.85546875" customWidth="1" style="685" min="7" max="7"/>
    <col width="5" customWidth="1" style="685" min="8" max="8"/>
    <col width="14.5703125" customWidth="1" style="685" min="9" max="9"/>
    <col width="1.140625" customWidth="1" style="685" min="10" max="10"/>
    <col width="19.140625" customWidth="1" style="685" min="11" max="11"/>
    <col width="5.42578125" customWidth="1" style="685" min="12" max="12"/>
    <col width="14" customWidth="1" style="685" min="13" max="13"/>
    <col width="5" customWidth="1" style="685" min="14" max="14"/>
    <col width="13.85546875" customWidth="1" style="685" min="15" max="15"/>
    <col width="1" customWidth="1" style="685" min="16" max="16"/>
    <col width="17.28515625" customWidth="1" style="685" min="17" max="17"/>
    <col width="5.42578125" customWidth="1" style="685" min="18" max="18"/>
    <col width="14" customWidth="1" style="685" min="19" max="19"/>
    <col width="1" customWidth="1" style="685" min="20" max="20"/>
    <col width="17.28515625" customWidth="1" style="685" min="21" max="21"/>
    <col width="3.7109375" customWidth="1" style="685" min="22" max="22"/>
    <col width="3.42578125" customWidth="1" style="685" min="23" max="23"/>
    <col width="13.140625" customWidth="1" style="685" min="25" max="25"/>
    <col width="2.140625" customWidth="1" style="685" min="26" max="26"/>
  </cols>
  <sheetData>
    <row r="1" ht="15.75" customHeight="1" s="685" thickBot="1">
      <c r="A1" s="417" t="n"/>
      <c r="B1" s="418" t="n"/>
      <c r="C1" s="418" t="n"/>
      <c r="D1" s="418" t="n"/>
      <c r="E1" s="418" t="n"/>
      <c r="F1" s="418" t="n"/>
      <c r="G1" s="418" t="n"/>
      <c r="H1" s="418" t="n"/>
      <c r="I1" s="418" t="n"/>
      <c r="J1" s="418" t="n"/>
      <c r="K1" s="418" t="n"/>
      <c r="L1" s="418" t="n"/>
      <c r="M1" s="418" t="n"/>
      <c r="N1" s="418" t="n"/>
      <c r="O1" s="418" t="n"/>
      <c r="P1" s="418" t="n"/>
      <c r="Q1" s="418" t="n"/>
      <c r="R1" s="418" t="n"/>
      <c r="S1" s="418" t="n"/>
      <c r="T1" s="418" t="n"/>
      <c r="U1" s="418" t="n"/>
      <c r="V1" s="418" t="n"/>
      <c r="W1" s="419" t="n"/>
    </row>
    <row r="2" ht="21" customHeight="1" s="685">
      <c r="A2" s="420" t="n"/>
      <c r="B2" s="371" t="n"/>
      <c r="C2" s="681" t="inlineStr">
        <is>
          <t>CECL Allowances for Credit Losses (ACL) Calculation</t>
        </is>
      </c>
      <c r="D2" s="675" t="n"/>
      <c r="E2" s="675" t="n"/>
      <c r="F2" s="675" t="n"/>
      <c r="G2" s="675" t="n"/>
      <c r="H2" s="675" t="n"/>
      <c r="I2" s="675" t="n"/>
      <c r="J2" s="675" t="n"/>
      <c r="K2" s="675" t="n"/>
      <c r="L2" s="675" t="n"/>
      <c r="M2" s="675" t="n"/>
      <c r="N2" s="675" t="n"/>
      <c r="O2" s="675" t="n"/>
      <c r="P2" s="675" t="n"/>
      <c r="Q2" s="675" t="n"/>
      <c r="R2" s="675" t="n"/>
      <c r="S2" s="675" t="n"/>
      <c r="T2" s="675" t="n"/>
      <c r="U2" s="675" t="n"/>
      <c r="V2" s="676" t="n"/>
      <c r="W2" s="421" t="n"/>
    </row>
    <row r="3" ht="21" customHeight="1" s="685">
      <c r="A3" s="420" t="n"/>
      <c r="B3" s="373" t="n"/>
      <c r="C3" s="686">
        <f>"Prepared For "&amp;'Historical Data'!B2</f>
        <v/>
      </c>
      <c r="V3" s="661" t="n"/>
      <c r="W3" s="421" t="n"/>
    </row>
    <row r="4" ht="21" customHeight="1" s="685">
      <c r="A4" s="420" t="n"/>
      <c r="B4" s="373" t="n"/>
      <c r="C4" s="686">
        <f>"Quarter Ended "&amp; TEXT('Calc tab'!AE6,"m/d/yyyy")</f>
        <v/>
      </c>
      <c r="V4" s="661" t="n"/>
      <c r="W4" s="421" t="n"/>
    </row>
    <row r="5" ht="21.75" customHeight="1" s="685" thickBot="1">
      <c r="A5" s="420" t="n"/>
      <c r="B5" s="693" t="n"/>
      <c r="C5" s="688">
        <f>"Charter Number "&amp;'Historical Data'!B3</f>
        <v/>
      </c>
      <c r="D5" s="672" t="n"/>
      <c r="E5" s="672" t="n"/>
      <c r="F5" s="672" t="n"/>
      <c r="G5" s="672" t="n"/>
      <c r="H5" s="672" t="n"/>
      <c r="I5" s="672" t="n"/>
      <c r="J5" s="672" t="n"/>
      <c r="K5" s="672" t="n"/>
      <c r="L5" s="672" t="n"/>
      <c r="M5" s="672" t="n"/>
      <c r="N5" s="672" t="n"/>
      <c r="O5" s="672" t="n"/>
      <c r="P5" s="672" t="n"/>
      <c r="Q5" s="672" t="n"/>
      <c r="R5" s="672" t="n"/>
      <c r="S5" s="672" t="n"/>
      <c r="T5" s="672" t="n"/>
      <c r="U5" s="672" t="n"/>
      <c r="V5" s="673" t="n"/>
      <c r="W5" s="421" t="n"/>
    </row>
    <row r="6" ht="9.75" customHeight="1" s="685" thickBot="1">
      <c r="A6" s="422" t="n"/>
      <c r="B6" s="423" t="n"/>
      <c r="C6" s="370" t="n"/>
      <c r="D6" s="370" t="n"/>
      <c r="E6" s="370" t="n"/>
      <c r="F6" s="370" t="n"/>
      <c r="G6" s="370" t="n"/>
      <c r="H6" s="370" t="n"/>
      <c r="I6" s="370" t="n"/>
      <c r="J6" s="370" t="n"/>
      <c r="K6" s="370" t="n"/>
      <c r="L6" s="370" t="n"/>
      <c r="M6" s="370" t="n"/>
      <c r="N6" s="370" t="n"/>
      <c r="O6" s="370" t="n"/>
      <c r="P6" s="370" t="n"/>
      <c r="Q6" s="370" t="n"/>
      <c r="R6" s="370" t="n"/>
      <c r="S6" s="370" t="n"/>
      <c r="T6" s="370" t="n"/>
      <c r="U6" s="370" t="n"/>
      <c r="V6" s="423" t="n"/>
      <c r="W6" s="424" t="n"/>
    </row>
    <row r="7" ht="16.5" customHeight="1" s="685" thickBot="1">
      <c r="A7" s="420" t="n"/>
      <c r="B7" s="371" t="n"/>
      <c r="C7" s="675" t="n"/>
      <c r="D7" s="675" t="n"/>
      <c r="E7" s="675" t="n"/>
      <c r="F7" s="675" t="n"/>
      <c r="G7" s="378" t="n"/>
      <c r="H7" s="379" t="n"/>
      <c r="I7" s="378" t="n"/>
      <c r="J7" s="675" t="n"/>
      <c r="K7" s="675" t="n"/>
      <c r="L7" s="675" t="n"/>
      <c r="M7" s="378" t="n"/>
      <c r="N7" s="675" t="n"/>
      <c r="O7" s="378" t="n"/>
      <c r="P7" s="675" t="n"/>
      <c r="Q7" s="378" t="n"/>
      <c r="R7" s="675" t="n"/>
      <c r="S7" s="378" t="n"/>
      <c r="T7" s="675" t="n"/>
      <c r="U7" s="378" t="n"/>
      <c r="V7" s="676" t="n"/>
      <c r="W7" s="421" t="n"/>
    </row>
    <row r="8" ht="60.75" customHeight="1" s="685" thickBot="1">
      <c r="A8" s="420" t="n"/>
      <c r="B8" s="373" t="n"/>
      <c r="C8" s="5" t="inlineStr">
        <is>
          <t>Portfolio Segment</t>
        </is>
      </c>
      <c r="D8" s="6" t="n"/>
      <c r="E8" s="7" t="inlineStr">
        <is>
          <t>End of Period Loan Balance</t>
        </is>
      </c>
      <c r="F8" s="8" t="inlineStr">
        <is>
          <t>-</t>
        </is>
      </c>
      <c r="G8" s="9" t="inlineStr">
        <is>
          <t>Less Loans Assessed on Individual Basis</t>
        </is>
      </c>
      <c r="H8" s="8" t="inlineStr">
        <is>
          <t>=</t>
        </is>
      </c>
      <c r="I8" s="9" t="inlineStr">
        <is>
          <t xml:space="preserve">Net Loans Assessed on Pooled Basis </t>
        </is>
      </c>
      <c r="J8" s="10" t="n"/>
      <c r="K8" s="7" t="inlineStr">
        <is>
          <t>CECL ACL Lifetime Loss Rate</t>
        </is>
      </c>
      <c r="L8" s="8" t="inlineStr">
        <is>
          <t>+/-</t>
        </is>
      </c>
      <c r="M8" s="7" t="inlineStr">
        <is>
          <t>Mgmt. Adj.</t>
        </is>
      </c>
      <c r="N8" s="8" t="inlineStr">
        <is>
          <t>=</t>
        </is>
      </c>
      <c r="O8" s="7" t="inlineStr">
        <is>
          <t>Life of Loan Loss Rate</t>
        </is>
      </c>
      <c r="Q8" s="7" t="inlineStr">
        <is>
          <t>Base CECL ACL</t>
        </is>
      </c>
      <c r="R8" s="8" t="inlineStr">
        <is>
          <t>+/-</t>
        </is>
      </c>
      <c r="S8" s="7" t="inlineStr">
        <is>
          <t>Adj. for Qualitative Factors</t>
        </is>
      </c>
      <c r="U8" s="7" t="inlineStr">
        <is>
          <t>Final CECL ACL</t>
        </is>
      </c>
      <c r="V8" s="661" t="n"/>
      <c r="W8" s="421" t="n"/>
    </row>
    <row r="9">
      <c r="A9" s="420" t="n"/>
      <c r="B9" s="373" t="n"/>
      <c r="C9" s="213" t="inlineStr">
        <is>
          <t>Unsecured Credit Card Loans</t>
        </is>
      </c>
      <c r="E9" s="100">
        <f>'Calc tab'!AE7</f>
        <v/>
      </c>
      <c r="F9" s="3" t="n"/>
      <c r="G9" s="41">
        <f>SUMIF(' Impaired Loans ASC 310-10'!$D$27:$D$412,C9,' Impaired Loans ASC 310-10'!$Q$27:$Q$412)</f>
        <v/>
      </c>
      <c r="H9" s="35" t="n"/>
      <c r="I9" s="41">
        <f>E9-G9</f>
        <v/>
      </c>
      <c r="J9" s="3" t="n"/>
      <c r="K9" s="29">
        <f>'Calc tab'!AI58</f>
        <v/>
      </c>
      <c r="L9" s="23" t="n"/>
      <c r="M9" s="43">
        <f>'Historical Data'!AY145</f>
        <v/>
      </c>
      <c r="N9" s="40" t="n"/>
      <c r="O9" s="43">
        <f>K9+M9</f>
        <v/>
      </c>
      <c r="P9" s="36" t="n"/>
      <c r="Q9" s="41">
        <f>I9*O9</f>
        <v/>
      </c>
      <c r="R9" s="23" t="n"/>
      <c r="S9" s="43">
        <f>'Env Factor by Pool'!I17</f>
        <v/>
      </c>
      <c r="T9" s="36" t="n"/>
      <c r="U9" s="41">
        <f>Q9+(Q9*S9)</f>
        <v/>
      </c>
      <c r="V9" s="661" t="n"/>
      <c r="W9" s="421" t="n"/>
    </row>
    <row r="10">
      <c r="A10" s="420" t="n"/>
      <c r="B10" s="373" t="n"/>
      <c r="C10" s="214" t="inlineStr">
        <is>
          <t>Payday Alternative Loans</t>
        </is>
      </c>
      <c r="E10" s="100">
        <f>'Calc tab'!AE8</f>
        <v/>
      </c>
      <c r="F10" s="3" t="n"/>
      <c r="G10" s="41">
        <f>SUMIF(' Impaired Loans ASC 310-10'!$D$27:$D$412,C10,' Impaired Loans ASC 310-10'!$Q$27:$Q$412)</f>
        <v/>
      </c>
      <c r="H10" s="35" t="n"/>
      <c r="I10" s="41">
        <f>E10-G10</f>
        <v/>
      </c>
      <c r="J10" s="3" t="n"/>
      <c r="K10" s="29">
        <f>'Calc tab'!AI59</f>
        <v/>
      </c>
      <c r="L10" s="23" t="n"/>
      <c r="M10" s="43">
        <f>'Historical Data'!AY146</f>
        <v/>
      </c>
      <c r="N10" s="40" t="n"/>
      <c r="O10" s="43">
        <f>K10+M10</f>
        <v/>
      </c>
      <c r="P10" s="36" t="n"/>
      <c r="Q10" s="41">
        <f>I10*O10</f>
        <v/>
      </c>
      <c r="R10" s="23" t="n"/>
      <c r="S10" s="43">
        <f>'Env Factor by Pool'!I25</f>
        <v/>
      </c>
      <c r="T10" s="36" t="n"/>
      <c r="U10" s="41">
        <f>Q10+(Q10*S10)</f>
        <v/>
      </c>
      <c r="V10" s="661" t="n"/>
      <c r="W10" s="421" t="n"/>
    </row>
    <row r="11">
      <c r="A11" s="420" t="n"/>
      <c r="B11" s="373" t="n"/>
      <c r="C11" s="214" t="inlineStr">
        <is>
          <t>Non-Federally Guaranteed Student Loans</t>
        </is>
      </c>
      <c r="E11" s="100">
        <f>'Calc tab'!AE9</f>
        <v/>
      </c>
      <c r="F11" s="3" t="n"/>
      <c r="G11" s="41">
        <f>SUMIF(' Impaired Loans ASC 310-10'!$D$27:$D$412,C11,' Impaired Loans ASC 310-10'!$Q$27:$Q$412)</f>
        <v/>
      </c>
      <c r="H11" s="35" t="n"/>
      <c r="I11" s="41">
        <f>E11-G11</f>
        <v/>
      </c>
      <c r="J11" s="3" t="n"/>
      <c r="K11" s="29">
        <f>'Calc tab'!AI60</f>
        <v/>
      </c>
      <c r="L11" s="23" t="n"/>
      <c r="M11" s="43">
        <f>'Historical Data'!AY147</f>
        <v/>
      </c>
      <c r="N11" s="40" t="n"/>
      <c r="O11" s="43">
        <f>K11+M11</f>
        <v/>
      </c>
      <c r="P11" s="36" t="n"/>
      <c r="Q11" s="41">
        <f>I11*O11</f>
        <v/>
      </c>
      <c r="R11" s="23" t="n"/>
      <c r="S11" s="43">
        <f>'Env Factor by Pool'!I33</f>
        <v/>
      </c>
      <c r="T11" s="36" t="n"/>
      <c r="U11" s="41">
        <f>Q11+(Q11*S11)</f>
        <v/>
      </c>
      <c r="V11" s="661" t="n"/>
      <c r="W11" s="421" t="n"/>
    </row>
    <row r="12">
      <c r="A12" s="420" t="n"/>
      <c r="B12" s="373" t="n"/>
      <c r="C12" s="214" t="inlineStr">
        <is>
          <t>All Other Unsecured Loans/Lines of Credit</t>
        </is>
      </c>
      <c r="E12" s="100">
        <f>'Calc tab'!AE10</f>
        <v/>
      </c>
      <c r="F12" s="3" t="n"/>
      <c r="G12" s="41">
        <f>SUMIF(' Impaired Loans ASC 310-10'!$D$27:$D$412,C12,' Impaired Loans ASC 310-10'!$Q$27:$Q$412)</f>
        <v/>
      </c>
      <c r="H12" s="35" t="n"/>
      <c r="I12" s="41">
        <f>E12-G12</f>
        <v/>
      </c>
      <c r="J12" s="3" t="n"/>
      <c r="K12" s="29">
        <f>'Calc tab'!AI61</f>
        <v/>
      </c>
      <c r="L12" s="23" t="n"/>
      <c r="M12" s="43">
        <f>'Historical Data'!AY148</f>
        <v/>
      </c>
      <c r="N12" s="40" t="n"/>
      <c r="O12" s="43">
        <f>K12+M12</f>
        <v/>
      </c>
      <c r="P12" s="36" t="n"/>
      <c r="Q12" s="41">
        <f>I12*O12</f>
        <v/>
      </c>
      <c r="R12" s="23" t="n"/>
      <c r="S12" s="43">
        <f>'Env Factor by Pool'!I41</f>
        <v/>
      </c>
      <c r="T12" s="36" t="n"/>
      <c r="U12" s="41">
        <f>Q12+(Q12*S12)</f>
        <v/>
      </c>
      <c r="V12" s="661" t="n"/>
      <c r="W12" s="421" t="n"/>
    </row>
    <row r="13">
      <c r="A13" s="420" t="n"/>
      <c r="B13" s="373" t="n"/>
      <c r="C13" s="214" t="inlineStr">
        <is>
          <t>New Vehicle Loans</t>
        </is>
      </c>
      <c r="E13" s="100">
        <f>'Calc tab'!AE11</f>
        <v/>
      </c>
      <c r="F13" s="3" t="n"/>
      <c r="G13" s="41">
        <f>SUMIF(' Impaired Loans ASC 310-10'!$D$27:$D$412,C13,' Impaired Loans ASC 310-10'!$Q$27:$Q$412)</f>
        <v/>
      </c>
      <c r="H13" s="35" t="n"/>
      <c r="I13" s="41">
        <f>E13-G13</f>
        <v/>
      </c>
      <c r="J13" s="3" t="n"/>
      <c r="K13" s="29">
        <f>'Calc tab'!AI62</f>
        <v/>
      </c>
      <c r="L13" s="23" t="n"/>
      <c r="M13" s="43">
        <f>'Historical Data'!AY149</f>
        <v/>
      </c>
      <c r="N13" s="40" t="n"/>
      <c r="O13" s="43">
        <f>K13+M13</f>
        <v/>
      </c>
      <c r="P13" s="36" t="n"/>
      <c r="Q13" s="41">
        <f>I13*O13</f>
        <v/>
      </c>
      <c r="R13" s="23" t="n"/>
      <c r="S13" s="43">
        <f>'Env Factor by Pool'!I49</f>
        <v/>
      </c>
      <c r="T13" s="36" t="n"/>
      <c r="U13" s="41">
        <f>Q13+(Q13*S13)</f>
        <v/>
      </c>
      <c r="V13" s="661" t="n"/>
      <c r="W13" s="421" t="n"/>
    </row>
    <row r="14">
      <c r="A14" s="420" t="n"/>
      <c r="B14" s="373" t="n"/>
      <c r="C14" s="214" t="inlineStr">
        <is>
          <t>Used Vehicle Loans</t>
        </is>
      </c>
      <c r="E14" s="100">
        <f>'Calc tab'!AE12</f>
        <v/>
      </c>
      <c r="F14" s="3" t="n"/>
      <c r="G14" s="41">
        <f>SUMIF(' Impaired Loans ASC 310-10'!$D$27:$D$412,C14,' Impaired Loans ASC 310-10'!$Q$27:$Q$412)</f>
        <v/>
      </c>
      <c r="H14" s="35" t="n"/>
      <c r="I14" s="41">
        <f>E14-G14</f>
        <v/>
      </c>
      <c r="J14" s="3" t="n"/>
      <c r="K14" s="29">
        <f>'Calc tab'!AI63</f>
        <v/>
      </c>
      <c r="L14" s="23" t="n"/>
      <c r="M14" s="43">
        <f>'Historical Data'!AY150</f>
        <v/>
      </c>
      <c r="N14" s="40" t="n"/>
      <c r="O14" s="43">
        <f>K14+M14</f>
        <v/>
      </c>
      <c r="P14" s="36" t="n"/>
      <c r="Q14" s="41">
        <f>I14*O14</f>
        <v/>
      </c>
      <c r="R14" s="23" t="n"/>
      <c r="S14" s="43">
        <f>'Env Factor by Pool'!I57</f>
        <v/>
      </c>
      <c r="T14" s="36" t="n"/>
      <c r="U14" s="41">
        <f>Q14+(Q14*S14)</f>
        <v/>
      </c>
      <c r="V14" s="661" t="n"/>
      <c r="W14" s="421" t="n"/>
    </row>
    <row r="15">
      <c r="A15" s="420" t="n"/>
      <c r="B15" s="373" t="n"/>
      <c r="C15" s="214" t="inlineStr">
        <is>
          <t>Leases Receivable</t>
        </is>
      </c>
      <c r="E15" s="100">
        <f>'Calc tab'!AE13</f>
        <v/>
      </c>
      <c r="F15" s="3" t="n"/>
      <c r="G15" s="41">
        <f>SUMIF(' Impaired Loans ASC 310-10'!$D$27:$D$412,C15,' Impaired Loans ASC 310-10'!$Q$27:$Q$412)</f>
        <v/>
      </c>
      <c r="H15" s="35" t="n"/>
      <c r="I15" s="41">
        <f>E15-G15</f>
        <v/>
      </c>
      <c r="J15" s="3" t="n"/>
      <c r="K15" s="29">
        <f>'Calc tab'!AI64</f>
        <v/>
      </c>
      <c r="L15" s="23" t="n"/>
      <c r="M15" s="43">
        <f>'Historical Data'!AY151</f>
        <v/>
      </c>
      <c r="N15" s="40" t="n"/>
      <c r="O15" s="43">
        <f>K15+M15</f>
        <v/>
      </c>
      <c r="P15" s="36" t="n"/>
      <c r="Q15" s="41">
        <f>I15*O15</f>
        <v/>
      </c>
      <c r="R15" s="23" t="n"/>
      <c r="S15" s="43">
        <f>'Env Factor by Pool'!I65</f>
        <v/>
      </c>
      <c r="T15" s="36" t="n"/>
      <c r="U15" s="41">
        <f>Q15+(Q15*S15)</f>
        <v/>
      </c>
      <c r="V15" s="661" t="n"/>
      <c r="W15" s="421" t="n"/>
    </row>
    <row r="16">
      <c r="A16" s="420" t="n"/>
      <c r="B16" s="373" t="n"/>
      <c r="C16" s="214" t="inlineStr">
        <is>
          <t>All Other Secured Non-Real Estate Loans/Lines of Credit</t>
        </is>
      </c>
      <c r="E16" s="100">
        <f>'Calc tab'!AE14</f>
        <v/>
      </c>
      <c r="F16" s="3" t="n"/>
      <c r="G16" s="41">
        <f>SUMIF(' Impaired Loans ASC 310-10'!$D$27:$D$412,C16,' Impaired Loans ASC 310-10'!$Q$27:$Q$412)</f>
        <v/>
      </c>
      <c r="H16" s="35" t="n"/>
      <c r="I16" s="41">
        <f>E16-G16</f>
        <v/>
      </c>
      <c r="J16" s="3" t="n"/>
      <c r="K16" s="29">
        <f>'Calc tab'!AI65</f>
        <v/>
      </c>
      <c r="L16" s="23" t="n"/>
      <c r="M16" s="43">
        <f>'Historical Data'!AY152</f>
        <v/>
      </c>
      <c r="N16" s="40" t="n"/>
      <c r="O16" s="43">
        <f>K16+M16</f>
        <v/>
      </c>
      <c r="P16" s="36" t="n"/>
      <c r="Q16" s="41">
        <f>I16*O16</f>
        <v/>
      </c>
      <c r="R16" s="23" t="n"/>
      <c r="S16" s="43">
        <f>'Env Factor by Pool'!I73</f>
        <v/>
      </c>
      <c r="T16" s="36" t="n"/>
      <c r="U16" s="41">
        <f>Q16+(Q16*S16)</f>
        <v/>
      </c>
      <c r="V16" s="661" t="n"/>
      <c r="W16" s="421" t="n"/>
    </row>
    <row r="17">
      <c r="A17" s="420" t="n"/>
      <c r="B17" s="373" t="n"/>
      <c r="C17" s="214" t="inlineStr">
        <is>
          <t>Loans/Lines of Credit Secured by a First Lien on a single 1- to 4-Family Residential Property</t>
        </is>
      </c>
      <c r="E17" s="100">
        <f>'Calc tab'!AE15</f>
        <v/>
      </c>
      <c r="F17" s="3" t="n"/>
      <c r="G17" s="41">
        <f>SUMIF(' Impaired Loans ASC 310-10'!$D$27:$D$412,C17,' Impaired Loans ASC 310-10'!$Q$27:$Q$412)</f>
        <v/>
      </c>
      <c r="H17" s="35" t="n"/>
      <c r="I17" s="41">
        <f>E17-G17</f>
        <v/>
      </c>
      <c r="J17" s="3" t="n"/>
      <c r="K17" s="29">
        <f>'Calc tab'!AI66</f>
        <v/>
      </c>
      <c r="L17" s="23" t="n"/>
      <c r="M17" s="43">
        <f>'Historical Data'!AY153</f>
        <v/>
      </c>
      <c r="N17" s="40" t="n"/>
      <c r="O17" s="43">
        <f>K17+M17</f>
        <v/>
      </c>
      <c r="P17" s="36" t="n"/>
      <c r="Q17" s="41">
        <f>I17*O17</f>
        <v/>
      </c>
      <c r="R17" s="23" t="n"/>
      <c r="S17" s="43">
        <f>'Env Factor by Pool'!I81</f>
        <v/>
      </c>
      <c r="T17" s="36" t="n"/>
      <c r="U17" s="41">
        <f>Q17+(Q17*S17)</f>
        <v/>
      </c>
      <c r="V17" s="661" t="n"/>
      <c r="W17" s="421" t="n"/>
    </row>
    <row r="18">
      <c r="A18" s="420" t="n"/>
      <c r="B18" s="373" t="n"/>
      <c r="C18" s="214" t="inlineStr">
        <is>
          <t>Loans/Lines of Credit Secured by a Junior Lien on a single 1- to 4-Family Residential Property</t>
        </is>
      </c>
      <c r="E18" s="100">
        <f>'Calc tab'!AE16</f>
        <v/>
      </c>
      <c r="F18" s="3" t="n"/>
      <c r="G18" s="314">
        <f>SUMIF(' Impaired Loans ASC 310-10'!$D$27:$D$412,C18,' Impaired Loans ASC 310-10'!$Q$27:$Q$412)</f>
        <v/>
      </c>
      <c r="H18" s="35" t="n"/>
      <c r="I18" s="314">
        <f>E18-G18</f>
        <v/>
      </c>
      <c r="J18" s="3" t="n"/>
      <c r="K18" s="317">
        <f>'Calc tab'!AI67</f>
        <v/>
      </c>
      <c r="L18" s="23" t="n"/>
      <c r="M18" s="320">
        <f>'Historical Data'!AY154</f>
        <v/>
      </c>
      <c r="N18" s="40" t="n"/>
      <c r="O18" s="320">
        <f>K18+M18</f>
        <v/>
      </c>
      <c r="P18" s="36" t="n"/>
      <c r="Q18" s="314">
        <f>I18*O18</f>
        <v/>
      </c>
      <c r="R18" s="23" t="n"/>
      <c r="S18" s="320">
        <f>'Env Factor by Pool'!I89</f>
        <v/>
      </c>
      <c r="T18" s="36" t="n"/>
      <c r="U18" s="314">
        <f>Q18+(Q18*S18)</f>
        <v/>
      </c>
      <c r="V18" s="661" t="n"/>
      <c r="W18" s="421" t="n"/>
    </row>
    <row r="19" ht="16.5" customHeight="1" s="685" thickBot="1">
      <c r="A19" s="420" t="n"/>
      <c r="B19" s="373" t="n"/>
      <c r="C19" s="215" t="inlineStr">
        <is>
          <t>All Other (Non-Commercial) Real Estate Loans/Lines of Credit</t>
        </is>
      </c>
      <c r="E19" s="313">
        <f>'Calc tab'!AE17</f>
        <v/>
      </c>
      <c r="F19" s="3" t="n"/>
      <c r="G19" s="316">
        <f>SUMIF(' Impaired Loans ASC 310-10'!$D$27:$D$412,C19,' Impaired Loans ASC 310-10'!$Q$27:$Q$412)</f>
        <v/>
      </c>
      <c r="H19" s="35" t="n"/>
      <c r="I19" s="316">
        <f>E19-G19</f>
        <v/>
      </c>
      <c r="J19" s="3" t="n"/>
      <c r="K19" s="319">
        <f>'Calc tab'!AI68</f>
        <v/>
      </c>
      <c r="L19" s="23" t="n"/>
      <c r="M19" s="321">
        <f>'Historical Data'!AY155</f>
        <v/>
      </c>
      <c r="N19" s="40" t="n"/>
      <c r="O19" s="321">
        <f>K19+M19</f>
        <v/>
      </c>
      <c r="P19" s="36" t="n"/>
      <c r="Q19" s="316">
        <f>I19*O19</f>
        <v/>
      </c>
      <c r="R19" s="23" t="n"/>
      <c r="S19" s="321">
        <f>'Env Factor by Pool'!I97</f>
        <v/>
      </c>
      <c r="T19" s="36" t="n"/>
      <c r="U19" s="316">
        <f>Q19+(Q19*S19)</f>
        <v/>
      </c>
      <c r="V19" s="661" t="n"/>
      <c r="W19" s="421" t="n"/>
    </row>
    <row r="20">
      <c r="A20" s="420" t="n"/>
      <c r="B20" s="373" t="n"/>
      <c r="C20" s="341" t="inlineStr">
        <is>
          <t>Commercial Loans/Lines of Credit Real Estate Secured</t>
        </is>
      </c>
      <c r="E20" s="100">
        <f>'Calc tab'!AE18</f>
        <v/>
      </c>
      <c r="F20" s="3" t="n"/>
      <c r="G20" s="315">
        <f>SUMIF(' Impaired Loans ASC 310-10'!$D$27:$D$412,C20,' Impaired Loans ASC 310-10'!$Q$27:$Q$412)</f>
        <v/>
      </c>
      <c r="H20" s="35" t="n"/>
      <c r="I20" s="315">
        <f>E20-G20</f>
        <v/>
      </c>
      <c r="J20" s="3" t="n"/>
      <c r="K20" s="318">
        <f>'Calc tab'!AI69</f>
        <v/>
      </c>
      <c r="L20" s="23" t="n"/>
      <c r="M20" s="51">
        <f>'Historical Data'!AY156</f>
        <v/>
      </c>
      <c r="N20" s="40" t="n"/>
      <c r="O20" s="51">
        <f>K20+M20</f>
        <v/>
      </c>
      <c r="P20" s="36" t="n"/>
      <c r="Q20" s="315">
        <f>I20*O20</f>
        <v/>
      </c>
      <c r="R20" s="23" t="n"/>
      <c r="S20" s="51">
        <f>'Env Factor by Pool'!I145</f>
        <v/>
      </c>
      <c r="T20" s="36" t="n"/>
      <c r="U20" s="315">
        <f>Q20+(Q20*S20)</f>
        <v/>
      </c>
      <c r="V20" s="661" t="n"/>
      <c r="W20" s="421" t="n"/>
    </row>
    <row r="21" ht="15.75" customHeight="1" s="685" thickBot="1">
      <c r="A21" s="420" t="n"/>
      <c r="B21" s="373" t="n"/>
      <c r="C21" s="215" t="inlineStr">
        <is>
          <t>Commercial Loans/Lines of Credit Not Real Estate Secured</t>
        </is>
      </c>
      <c r="E21" s="100">
        <f>'Calc tab'!AE19</f>
        <v/>
      </c>
      <c r="F21" s="3" t="n"/>
      <c r="G21" s="41">
        <f>SUMIF(' Impaired Loans ASC 310-10'!$D$27:$D$412,C21,' Impaired Loans ASC 310-10'!$Q$27:$Q$412)</f>
        <v/>
      </c>
      <c r="H21" s="35" t="n"/>
      <c r="I21" s="41">
        <f>E21-G21</f>
        <v/>
      </c>
      <c r="J21" s="3" t="n"/>
      <c r="K21" s="29">
        <f>'Calc tab'!AI70</f>
        <v/>
      </c>
      <c r="L21" s="23" t="n"/>
      <c r="M21" s="43">
        <f>'Historical Data'!AY157</f>
        <v/>
      </c>
      <c r="N21" s="40" t="n"/>
      <c r="O21" s="43">
        <f>K21+M21</f>
        <v/>
      </c>
      <c r="P21" s="36" t="n"/>
      <c r="Q21" s="41">
        <f>I21*O21</f>
        <v/>
      </c>
      <c r="R21" s="23" t="n"/>
      <c r="S21" s="43">
        <f>'Env Factor by Pool'!I153</f>
        <v/>
      </c>
      <c r="T21" s="36" t="n"/>
      <c r="U21" s="41">
        <f>Q21+(Q21*S21)</f>
        <v/>
      </c>
      <c r="V21" s="661" t="n"/>
      <c r="W21" s="421" t="n"/>
    </row>
    <row r="22">
      <c r="A22" s="420" t="n"/>
      <c r="B22" s="373" t="n"/>
      <c r="E22" s="11" t="n"/>
      <c r="G22" s="36" t="n"/>
      <c r="H22" s="36" t="n"/>
      <c r="I22" s="36" t="n"/>
      <c r="V22" s="661" t="n"/>
      <c r="W22" s="421" t="n"/>
    </row>
    <row r="23" ht="15.75" customHeight="1" s="685" thickBot="1">
      <c r="A23" s="420" t="n"/>
      <c r="B23" s="373" t="n"/>
      <c r="C23" s="1" t="inlineStr">
        <is>
          <t>Total</t>
        </is>
      </c>
      <c r="D23" s="36" t="n"/>
      <c r="E23" s="42">
        <f>SUM(E9:E21)</f>
        <v/>
      </c>
      <c r="F23" s="36" t="n"/>
      <c r="G23" s="37" t="n"/>
      <c r="H23" s="36" t="n"/>
      <c r="I23" s="42">
        <f>SUM(I9:I21)</f>
        <v/>
      </c>
      <c r="J23" s="36" t="n"/>
      <c r="K23" s="36" t="n"/>
      <c r="L23" s="36" t="n"/>
      <c r="M23" s="36" t="n"/>
      <c r="N23" s="36" t="n"/>
      <c r="O23" s="36" t="n"/>
      <c r="P23" s="36" t="n"/>
      <c r="Q23" s="41">
        <f>SUM(Q9:$Q$21)</f>
        <v/>
      </c>
      <c r="R23" s="36" t="n"/>
      <c r="S23" s="36" t="n"/>
      <c r="T23" s="36" t="n"/>
      <c r="U23" s="41">
        <f>SUM(U9:U21)</f>
        <v/>
      </c>
      <c r="V23" s="380" t="n"/>
      <c r="W23" s="425" t="n"/>
    </row>
    <row r="24" ht="15.75" customHeight="1" s="685" thickTop="1">
      <c r="A24" s="420" t="n"/>
      <c r="B24" s="373" t="n"/>
      <c r="D24" s="36" t="n"/>
      <c r="E24" s="36" t="n"/>
      <c r="F24" s="36" t="n"/>
      <c r="G24" s="36" t="n"/>
      <c r="H24" s="36" t="n"/>
      <c r="I24" s="36" t="n"/>
      <c r="J24" s="36" t="n"/>
      <c r="K24" s="37" t="n"/>
      <c r="L24" s="36" t="n"/>
      <c r="M24" s="36" t="n"/>
      <c r="N24" s="36" t="n"/>
      <c r="O24" s="36" t="n"/>
      <c r="P24" s="36" t="n"/>
      <c r="Q24" s="36" t="n"/>
      <c r="R24" s="36" t="n"/>
      <c r="S24" s="36" t="n"/>
      <c r="T24" s="36" t="n"/>
      <c r="U24" s="36" t="n"/>
      <c r="V24" s="380" t="n"/>
      <c r="W24" s="426" t="n"/>
    </row>
    <row r="25" ht="15.75" customHeight="1" s="685">
      <c r="A25" s="420" t="n"/>
      <c r="B25" s="373" t="n"/>
      <c r="D25" s="36" t="n"/>
      <c r="E25" s="36" t="n"/>
      <c r="F25" s="36" t="n"/>
      <c r="J25" s="36" t="n"/>
      <c r="P25" s="36" t="n"/>
      <c r="Q25" s="75" t="inlineStr">
        <is>
          <t xml:space="preserve">Management Adjustment-Additional Environmental Factor </t>
        </is>
      </c>
      <c r="R25" s="56" t="n"/>
      <c r="S25" s="43">
        <f>'Historical Data'!AY159</f>
        <v/>
      </c>
      <c r="T25" s="36" t="n"/>
      <c r="U25" s="44">
        <f>I23*S25</f>
        <v/>
      </c>
      <c r="V25" s="380" t="n"/>
      <c r="W25" s="426" t="n"/>
    </row>
    <row r="26">
      <c r="A26" s="420" t="n"/>
      <c r="B26" s="373" t="n"/>
      <c r="D26" s="36" t="n"/>
      <c r="E26" s="36" t="n"/>
      <c r="F26" s="36" t="n"/>
      <c r="G26" s="36" t="n"/>
      <c r="H26" s="36" t="n"/>
      <c r="I26" s="36" t="n"/>
      <c r="J26" s="36" t="n"/>
      <c r="L26" s="76" t="n"/>
      <c r="M26" s="36" t="n"/>
      <c r="N26" s="36" t="n"/>
      <c r="O26" s="36" t="n"/>
      <c r="P26" s="36" t="n"/>
      <c r="Q26" s="76" t="n"/>
      <c r="R26" s="76" t="n"/>
      <c r="S26" s="36" t="n"/>
      <c r="T26" s="36" t="n"/>
      <c r="U26" s="36" t="n"/>
      <c r="V26" s="380" t="n"/>
      <c r="W26" s="426" t="n"/>
    </row>
    <row r="27" ht="15.75" customHeight="1" s="685">
      <c r="A27" s="420" t="n"/>
      <c r="B27" s="373" t="n"/>
      <c r="D27" s="36" t="n"/>
      <c r="E27" s="36" t="n"/>
      <c r="F27" s="36" t="n"/>
      <c r="G27" s="36" t="n"/>
      <c r="H27" s="36" t="n"/>
      <c r="I27" s="36" t="n"/>
      <c r="J27" s="36" t="n"/>
      <c r="M27" s="36" t="n"/>
      <c r="N27" s="209" t="n"/>
      <c r="P27" s="36" t="n"/>
      <c r="Q27" s="75" t="inlineStr">
        <is>
          <t>Expected Losses on Loans Assessed on Individual Basis</t>
        </is>
      </c>
      <c r="R27" s="75" t="n"/>
      <c r="S27" s="36" t="n"/>
      <c r="T27" s="36" t="n"/>
      <c r="U27" s="45">
        <f>' Impaired Loans ASC 310-10'!P24</f>
        <v/>
      </c>
      <c r="V27" s="380" t="n"/>
      <c r="W27" s="426" t="n"/>
    </row>
    <row r="28">
      <c r="A28" s="420" t="n"/>
      <c r="B28" s="373" t="n"/>
      <c r="D28" s="36" t="n"/>
      <c r="E28" s="36" t="n"/>
      <c r="F28" s="36" t="n"/>
      <c r="G28" s="36" t="n"/>
      <c r="H28" s="36" t="n"/>
      <c r="I28" s="36" t="n"/>
      <c r="J28" s="36" t="n"/>
      <c r="M28" s="36" t="n"/>
      <c r="N28" s="36" t="n"/>
      <c r="O28" s="36" t="n"/>
      <c r="P28" s="36" t="n"/>
      <c r="Q28" s="76" t="n"/>
      <c r="R28" s="76" t="n"/>
      <c r="S28" s="36" t="n"/>
      <c r="T28" s="36" t="n"/>
      <c r="U28" s="36" t="n"/>
      <c r="V28" s="380" t="n"/>
      <c r="W28" s="427" t="n"/>
    </row>
    <row r="29">
      <c r="A29" s="420" t="n"/>
      <c r="B29" s="373" t="n"/>
      <c r="D29" s="36" t="n"/>
      <c r="E29" s="36" t="n"/>
      <c r="F29" s="36" t="n"/>
      <c r="G29" s="36" t="n"/>
      <c r="H29" s="36" t="n"/>
      <c r="I29" s="36" t="n"/>
      <c r="J29" s="36" t="n"/>
      <c r="M29" s="36" t="n"/>
      <c r="N29" s="36" t="n"/>
      <c r="O29" s="36" t="n"/>
      <c r="P29" s="36" t="n"/>
      <c r="Q29" s="75" t="inlineStr">
        <is>
          <t>Total Expected Losses on Loans</t>
        </is>
      </c>
      <c r="R29" s="75" t="n"/>
      <c r="S29" s="36" t="n"/>
      <c r="T29" s="36" t="n"/>
      <c r="U29" s="269">
        <f>U23+U25+U27</f>
        <v/>
      </c>
      <c r="V29" s="380" t="n"/>
      <c r="W29" s="427" t="n"/>
    </row>
    <row r="30">
      <c r="A30" s="420" t="n"/>
      <c r="B30" s="373" t="n"/>
      <c r="D30" s="36" t="n"/>
      <c r="E30" s="36" t="n"/>
      <c r="F30" s="36" t="n"/>
      <c r="G30" s="36" t="n"/>
      <c r="H30" s="36" t="n"/>
      <c r="I30" s="36" t="n"/>
      <c r="J30" s="36" t="n"/>
      <c r="M30" s="36" t="n"/>
      <c r="N30" s="36" t="n"/>
      <c r="O30" s="36" t="n"/>
      <c r="P30" s="36" t="n"/>
      <c r="Q30" s="75" t="inlineStr">
        <is>
          <t>Current ACL Balance</t>
        </is>
      </c>
      <c r="R30" s="75" t="n"/>
      <c r="S30" s="36" t="n"/>
      <c r="T30" s="36" t="n"/>
      <c r="U30" s="270">
        <f>'Historical Data'!AY177</f>
        <v/>
      </c>
      <c r="V30" s="380" t="n"/>
      <c r="W30" s="427" t="n"/>
    </row>
    <row r="31">
      <c r="A31" s="420" t="n"/>
      <c r="B31" s="373" t="n"/>
      <c r="D31" s="36" t="n"/>
      <c r="E31" s="36" t="n"/>
      <c r="F31" s="36" t="n"/>
      <c r="G31" s="36" t="n"/>
      <c r="H31" s="36" t="n"/>
      <c r="I31" s="36" t="n"/>
      <c r="J31" s="36" t="n"/>
      <c r="M31" s="36" t="n"/>
      <c r="N31" s="36" t="n"/>
      <c r="O31" s="36" t="n"/>
      <c r="P31" s="36" t="n"/>
      <c r="Q31" s="75" t="inlineStr">
        <is>
          <t xml:space="preserve">Adjustment </t>
        </is>
      </c>
      <c r="R31" s="75" t="n"/>
      <c r="S31" s="36" t="n"/>
      <c r="T31" s="36" t="n"/>
      <c r="U31" s="270">
        <f>U29-U30</f>
        <v/>
      </c>
      <c r="V31" s="380" t="n"/>
      <c r="W31" s="427" t="n"/>
    </row>
    <row r="32">
      <c r="A32" s="420" t="n"/>
      <c r="B32" s="373" t="n"/>
      <c r="D32" s="36" t="n"/>
      <c r="E32" s="36" t="n"/>
      <c r="F32" s="36" t="n"/>
      <c r="G32" s="36" t="n"/>
      <c r="H32" s="36" t="n"/>
      <c r="I32" s="36" t="n"/>
      <c r="J32" s="36" t="n"/>
      <c r="M32" s="36" t="n"/>
      <c r="N32" s="36" t="n"/>
      <c r="O32" s="36" t="n"/>
      <c r="P32" s="36" t="n"/>
      <c r="Q32" s="76" t="n"/>
      <c r="R32" s="76" t="n"/>
      <c r="S32" s="36" t="n"/>
      <c r="T32" s="36" t="n"/>
      <c r="U32" s="36" t="n"/>
      <c r="V32" s="380" t="n"/>
      <c r="W32" s="426" t="n"/>
    </row>
    <row r="33">
      <c r="A33" s="420" t="n"/>
      <c r="B33" s="373" t="n"/>
      <c r="D33" s="36" t="n"/>
      <c r="E33" s="36" t="n"/>
      <c r="F33" s="36" t="n"/>
      <c r="G33" s="36" t="n"/>
      <c r="H33" s="36" t="n"/>
      <c r="I33" s="36" t="n"/>
      <c r="J33" s="36" t="n"/>
      <c r="M33" s="36" t="n"/>
      <c r="N33" s="36" t="n"/>
      <c r="O33" s="36" t="n"/>
      <c r="P33" s="36" t="n"/>
      <c r="Q33" s="75" t="inlineStr">
        <is>
          <t>ACL/Total Loans</t>
        </is>
      </c>
      <c r="R33" s="75" t="n"/>
      <c r="S33" s="36" t="n"/>
      <c r="T33" s="36" t="n"/>
      <c r="U33" s="47">
        <f>IF(U29=0,0,U29/E23)</f>
        <v/>
      </c>
      <c r="V33" s="380" t="n"/>
      <c r="W33" s="426" t="n"/>
    </row>
    <row r="34" ht="15.75" customHeight="1" s="685" thickBot="1">
      <c r="A34" s="420" t="n"/>
      <c r="B34" s="693" t="n"/>
      <c r="C34" s="672" t="n"/>
      <c r="D34" s="382" t="n"/>
      <c r="E34" s="382" t="n"/>
      <c r="F34" s="382" t="n"/>
      <c r="G34" s="382" t="n"/>
      <c r="H34" s="382" t="n"/>
      <c r="I34" s="382" t="n"/>
      <c r="J34" s="382" t="n"/>
      <c r="K34" s="383" t="n"/>
      <c r="L34" s="382" t="n"/>
      <c r="M34" s="382" t="n"/>
      <c r="N34" s="382" t="n"/>
      <c r="O34" s="382" t="n"/>
      <c r="P34" s="382" t="n"/>
      <c r="Q34" s="382" t="n"/>
      <c r="R34" s="382" t="n"/>
      <c r="S34" s="382" t="n"/>
      <c r="T34" s="382" t="n"/>
      <c r="U34" s="382" t="n"/>
      <c r="V34" s="384" t="n"/>
      <c r="W34" s="426" t="n"/>
    </row>
    <row r="35" ht="15.75" customHeight="1" s="685" thickBot="1">
      <c r="A35" s="420" t="n"/>
      <c r="B35" s="192" t="n"/>
      <c r="C35" s="192" t="n"/>
      <c r="D35" s="192" t="n"/>
      <c r="E35" s="192" t="n"/>
      <c r="F35" s="192" t="n"/>
      <c r="G35" s="192" t="n"/>
      <c r="H35" s="192" t="n"/>
      <c r="I35" s="192" t="n"/>
      <c r="J35" s="192" t="n"/>
      <c r="K35" s="192" t="n"/>
      <c r="L35" s="192" t="n"/>
      <c r="M35" s="192" t="n"/>
      <c r="N35" s="192" t="n"/>
      <c r="O35" s="192" t="n"/>
      <c r="P35" s="192" t="n"/>
      <c r="Q35" s="192" t="n"/>
      <c r="R35" s="192" t="n"/>
      <c r="S35" s="192" t="n"/>
      <c r="T35" s="192" t="n"/>
      <c r="U35" s="192" t="n"/>
      <c r="V35" s="192" t="n"/>
      <c r="W35" s="426" t="n"/>
    </row>
    <row r="36">
      <c r="A36" s="420" t="n"/>
      <c r="B36" s="371" t="n"/>
      <c r="C36" s="675" t="n"/>
      <c r="D36" s="675" t="n"/>
      <c r="E36" s="675" t="n"/>
      <c r="F36" s="675" t="n"/>
      <c r="G36" s="675" t="n"/>
      <c r="H36" s="675" t="n"/>
      <c r="I36" s="675" t="n"/>
      <c r="J36" s="675" t="n"/>
      <c r="K36" s="675" t="n"/>
      <c r="L36" s="675" t="n"/>
      <c r="M36" s="675" t="n"/>
      <c r="N36" s="675" t="n"/>
      <c r="O36" s="675" t="n"/>
      <c r="P36" s="675" t="n"/>
      <c r="Q36" s="675" t="n"/>
      <c r="R36" s="675" t="n"/>
      <c r="S36" s="675" t="n"/>
      <c r="T36" s="675" t="n"/>
      <c r="U36" s="675" t="n"/>
      <c r="V36" s="676" t="n"/>
      <c r="W36" s="426" t="n"/>
    </row>
    <row r="37">
      <c r="A37" s="420" t="n"/>
      <c r="B37" s="373" t="n"/>
      <c r="C37" s="682" t="inlineStr">
        <is>
          <t>Explanation of ACL Calculation</t>
        </is>
      </c>
      <c r="D37" s="683" t="n"/>
      <c r="E37" s="683" t="n"/>
      <c r="F37" s="683" t="n"/>
      <c r="G37" s="683" t="n"/>
      <c r="H37" s="683" t="n"/>
      <c r="I37" s="683" t="n"/>
      <c r="J37" s="683" t="n"/>
      <c r="K37" s="683" t="n"/>
      <c r="L37" s="683" t="n"/>
      <c r="M37" s="683" t="n"/>
      <c r="N37" s="683" t="n"/>
      <c r="O37" s="683" t="n"/>
      <c r="P37" s="683" t="n"/>
      <c r="Q37" s="683" t="n"/>
      <c r="R37" s="683" t="n"/>
      <c r="S37" s="683" t="n"/>
      <c r="T37" s="683" t="n"/>
      <c r="U37" s="683" t="n"/>
      <c r="V37" s="661" t="n"/>
      <c r="W37" s="426" t="n"/>
    </row>
    <row r="38">
      <c r="A38" s="420" t="n"/>
      <c r="B38" s="373" t="n"/>
      <c r="V38" s="661" t="n"/>
      <c r="W38" s="426" t="n"/>
    </row>
    <row r="39">
      <c r="A39" s="420" t="n"/>
      <c r="B39" s="373" t="n"/>
      <c r="C39" s="684" t="inlineStr">
        <is>
          <t>The calculation of the credit union’s ACL includes multiple components that combine to create a valid estimate of anticipated losses over the remaining life of loans in the portfolio.  Those components as shown in the report above.</t>
        </is>
      </c>
      <c r="V39" s="661" t="n"/>
      <c r="W39" s="426" t="n"/>
    </row>
    <row r="40">
      <c r="A40" s="420" t="n"/>
      <c r="B40" s="373" t="n"/>
      <c r="V40" s="661" t="n"/>
      <c r="W40" s="426" t="n"/>
    </row>
    <row r="41">
      <c r="A41" s="420" t="n"/>
      <c r="B41" s="373" t="n"/>
      <c r="C41" s="684" t="inlineStr">
        <is>
          <t>Portfolio Segment:  Loans are presented in groups, or pools, consistent with the presentation on the quarterly NCUA 5300 Call Report in this column.</t>
        </is>
      </c>
      <c r="V41" s="661" t="n"/>
      <c r="W41" s="426" t="n"/>
    </row>
    <row r="42">
      <c r="A42" s="420" t="n"/>
      <c r="B42" s="373" t="n"/>
      <c r="V42" s="661" t="n"/>
      <c r="W42" s="426" t="n"/>
    </row>
    <row r="43">
      <c r="A43" s="420" t="n"/>
      <c r="B43" s="373" t="n"/>
      <c r="C43" s="684" t="inlineStr">
        <is>
          <t xml:space="preserve">End of Period Loan Balance: Loan balances for each identified pool as shown in the NCUA 5300 Call reports for the end of the most recent quarter are listed in this column. </t>
        </is>
      </c>
      <c r="V43" s="661" t="n"/>
      <c r="W43" s="426" t="n"/>
    </row>
    <row r="44">
      <c r="A44" s="420" t="n"/>
      <c r="B44" s="373" t="n"/>
      <c r="V44" s="661" t="n"/>
      <c r="W44" s="426" t="n"/>
    </row>
    <row r="45">
      <c r="A45" s="420" t="n"/>
      <c r="B45" s="373" t="n"/>
      <c r="C45" s="684" t="inlineStr">
        <is>
          <t>Loans Assessed on Individual Basis:  Loan that have been identified by credit union management as deteriorated in credit quality are listed by pool in this column.</t>
        </is>
      </c>
      <c r="V45" s="661" t="n"/>
      <c r="W45" s="426" t="n"/>
    </row>
    <row r="46">
      <c r="A46" s="420" t="n"/>
      <c r="B46" s="373" t="n"/>
      <c r="V46" s="661" t="n"/>
      <c r="W46" s="426" t="n"/>
    </row>
    <row r="47">
      <c r="A47" s="420" t="n"/>
      <c r="B47" s="373" t="n"/>
      <c r="C47" s="684" t="inlineStr">
        <is>
          <t>Loans Assessed on Pooled Basis:  Individually assessed loans are subtracted from the End of Period loan balances for each pool and are displayed in this column.</t>
        </is>
      </c>
      <c r="V47" s="661" t="n"/>
      <c r="W47" s="426" t="n"/>
    </row>
    <row r="48">
      <c r="A48" s="420" t="n"/>
      <c r="B48" s="373" t="n"/>
      <c r="V48" s="661" t="n"/>
      <c r="W48" s="426" t="n"/>
    </row>
    <row r="49">
      <c r="A49" s="420" t="n"/>
      <c r="B49" s="373" t="n"/>
      <c r="C49" s="687" t="inlineStr">
        <is>
          <t>CECL ACL Lifetime Loss Rate:  Based on the remaining life of loan for each loan pool, total losses for the period are summed for each pool and then divided by the average balance for the life period to arrive at a loss rate for each pool.  These loss rates are shown in this column.</t>
        </is>
      </c>
      <c r="V49" s="661" t="n"/>
      <c r="W49" s="426" t="n"/>
    </row>
    <row r="50">
      <c r="A50" s="420" t="n"/>
      <c r="B50" s="373" t="n"/>
      <c r="V50" s="661" t="n"/>
      <c r="W50" s="426" t="n"/>
    </row>
    <row r="51">
      <c r="A51" s="420" t="n"/>
      <c r="B51" s="373" t="n"/>
      <c r="C51" s="684" t="inlineStr">
        <is>
          <t>Management Adjustment: Any adjustments to the loss rates for any pool, indicated by management judgement, are shown in this column.</t>
        </is>
      </c>
      <c r="V51" s="661" t="n"/>
      <c r="W51" s="426" t="n"/>
    </row>
    <row r="52">
      <c r="A52" s="420" t="n"/>
      <c r="B52" s="373" t="n"/>
      <c r="V52" s="661" t="n"/>
      <c r="W52" s="426" t="n"/>
    </row>
    <row r="53">
      <c r="A53" s="420" t="n"/>
      <c r="B53" s="373" t="n"/>
      <c r="C53" s="684" t="inlineStr">
        <is>
          <t>Life of Loan Loss Rate: The Lifetime Loss Rate and the Management Adjustments for each pool are totaled and displayed in this column.</t>
        </is>
      </c>
      <c r="V53" s="661" t="n"/>
      <c r="W53" s="426" t="n"/>
    </row>
    <row r="54">
      <c r="A54" s="420" t="n"/>
      <c r="B54" s="373" t="n"/>
      <c r="V54" s="661" t="n"/>
      <c r="W54" s="426" t="n"/>
    </row>
    <row r="55">
      <c r="A55" s="420" t="n"/>
      <c r="B55" s="373" t="n"/>
      <c r="C55" s="684" t="inlineStr">
        <is>
          <t>CECL ACL Base: The loss rate is multiplied times the Loans Assessed on Individual Basis to calculate the base ACL for each pool.  The dollar amounts are shown in this column.</t>
        </is>
      </c>
      <c r="V55" s="661" t="n"/>
      <c r="W55" s="426" t="n"/>
    </row>
    <row r="56">
      <c r="A56" s="420" t="n"/>
      <c r="B56" s="373" t="n"/>
      <c r="V56" s="661" t="n"/>
      <c r="W56" s="426" t="n"/>
    </row>
    <row r="57">
      <c r="A57" s="420" t="n"/>
      <c r="B57" s="373" t="n"/>
      <c r="C57" s="684" t="inlineStr">
        <is>
          <t xml:space="preserve">Adjustment for Qualitative Factors:  Two statistically validated Qualitative Factors are included in the model, advanced delinquency, and Environmental Stress Score.  These factors are displayed for each pool on page 4.  The indicated adjustment percentage for each pool is displayed in this column. </t>
        </is>
      </c>
      <c r="V57" s="661" t="n"/>
      <c r="W57" s="426" t="n"/>
    </row>
    <row r="58">
      <c r="A58" s="420" t="n"/>
      <c r="B58" s="373" t="n"/>
      <c r="V58" s="661" t="n"/>
      <c r="W58" s="426" t="n"/>
    </row>
    <row r="59">
      <c r="A59" s="420" t="n"/>
      <c r="B59" s="373" t="n"/>
      <c r="C59" s="684" t="inlineStr">
        <is>
          <t>CECL ACL Final:  The Adjustment for Qualitative Factors percentage is multiplied by the CECL ALC base the resulting amount is added to the base to arrive at the CECL ACL Final.  Dollar amounts for each pool is shown in this column.</t>
        </is>
      </c>
      <c r="V59" s="661" t="n"/>
      <c r="W59" s="426" t="n"/>
    </row>
    <row r="60">
      <c r="A60" s="420" t="n"/>
      <c r="B60" s="373" t="n"/>
      <c r="V60" s="661" t="n"/>
      <c r="W60" s="426" t="n"/>
    </row>
    <row r="61">
      <c r="A61" s="420" t="n"/>
      <c r="B61" s="373" t="n"/>
      <c r="C61" s="684" t="inlineStr">
        <is>
          <t>Management Adjustment-Additional EF: This cell allows for management to make a universal portfolio adjustment to the loss rate based on any relevant factors.  The percent factor shown in the first cell is multiplied times the total loan portfolio and the resulting amount, shown in the second cell is added to the ACL.</t>
        </is>
      </c>
      <c r="V61" s="661" t="n"/>
      <c r="W61" s="426" t="n"/>
    </row>
    <row r="62">
      <c r="A62" s="420" t="n"/>
      <c r="B62" s="373" t="n"/>
      <c r="V62" s="661" t="n"/>
      <c r="W62" s="426" t="n"/>
    </row>
    <row r="63">
      <c r="A63" s="420" t="n"/>
      <c r="B63" s="373" t="n"/>
      <c r="C63" s="684" t="inlineStr">
        <is>
          <t>Expected Losses on Loans Assessed on Individual Basis:  All loans with deteriorated loan quality are assessed using the appropriate assessment method as shown on page 6.  The total indicated dollar amount are risk is shown in this cell.</t>
        </is>
      </c>
      <c r="V63" s="661" t="n"/>
      <c r="W63" s="426" t="n"/>
    </row>
    <row r="64">
      <c r="A64" s="420" t="n"/>
      <c r="B64" s="373" t="n"/>
      <c r="V64" s="661" t="n"/>
      <c r="W64" s="426" t="n"/>
    </row>
    <row r="65">
      <c r="A65" s="420" t="n"/>
      <c r="B65" s="373" t="n"/>
      <c r="C65" s="684" t="inlineStr">
        <is>
          <t>Total Expected Losses on Loans: Each loss allowance calculation is summed and shown in this cell.</t>
        </is>
      </c>
      <c r="V65" s="661" t="n"/>
      <c r="W65" s="426" t="n"/>
    </row>
    <row r="66">
      <c r="A66" s="420" t="n"/>
      <c r="B66" s="373" t="n"/>
      <c r="V66" s="661" t="n"/>
      <c r="W66" s="426" t="n"/>
    </row>
    <row r="67">
      <c r="A67" s="420" t="n"/>
      <c r="B67" s="373" t="n"/>
      <c r="C67" s="684" t="inlineStr">
        <is>
          <t>Current ACL Balance:  The current ACL balance, as displayed on the GL, is show in this cell</t>
        </is>
      </c>
      <c r="V67" s="661" t="n"/>
      <c r="W67" s="426" t="n"/>
    </row>
    <row r="68">
      <c r="A68" s="420" t="n"/>
      <c r="B68" s="373" t="n"/>
      <c r="V68" s="661" t="n"/>
      <c r="W68" s="426" t="n"/>
    </row>
    <row r="69">
      <c r="A69" s="420" t="n"/>
      <c r="B69" s="373" t="n"/>
      <c r="C69" s="684" t="inlineStr">
        <is>
          <t>Adjustment:  Any indicated adjustment to the ACL is shown in this cell.</t>
        </is>
      </c>
      <c r="V69" s="661" t="n"/>
      <c r="W69" s="426" t="n"/>
    </row>
    <row r="70">
      <c r="A70" s="420" t="n"/>
      <c r="B70" s="373" t="n"/>
      <c r="V70" s="661" t="n"/>
      <c r="W70" s="426" t="n"/>
    </row>
    <row r="71">
      <c r="A71" s="420" t="n"/>
      <c r="B71" s="373" t="n"/>
      <c r="C71" s="684" t="inlineStr">
        <is>
          <t>ACL/Total Loans:  This cells shows the percentage of total loan portfolio that is indicated in the ACL.</t>
        </is>
      </c>
      <c r="V71" s="661" t="n"/>
      <c r="W71" s="426" t="n"/>
    </row>
    <row r="72" ht="15.75" customHeight="1" s="685" thickBot="1">
      <c r="A72" s="420" t="n"/>
      <c r="B72" s="693" t="n"/>
      <c r="C72" s="672" t="n"/>
      <c r="D72" s="672" t="n"/>
      <c r="E72" s="672" t="n"/>
      <c r="F72" s="672" t="n"/>
      <c r="G72" s="672" t="n"/>
      <c r="H72" s="672" t="n"/>
      <c r="I72" s="672" t="n"/>
      <c r="J72" s="672" t="n"/>
      <c r="K72" s="672" t="n"/>
      <c r="L72" s="672" t="n"/>
      <c r="M72" s="672" t="n"/>
      <c r="N72" s="672" t="n"/>
      <c r="O72" s="672" t="n"/>
      <c r="P72" s="672" t="n"/>
      <c r="Q72" s="672" t="n"/>
      <c r="R72" s="672" t="n"/>
      <c r="S72" s="672" t="n"/>
      <c r="T72" s="672" t="n"/>
      <c r="U72" s="672" t="n"/>
      <c r="V72" s="673" t="n"/>
      <c r="W72" s="426" t="n"/>
    </row>
    <row r="73" ht="15.75" customHeight="1" s="685" thickBot="1">
      <c r="A73" s="420" t="n"/>
      <c r="B73" s="192" t="n"/>
      <c r="C73" s="192" t="n"/>
      <c r="D73" s="192" t="n"/>
      <c r="E73" s="192" t="n"/>
      <c r="F73" s="192" t="n"/>
      <c r="G73" s="192" t="n"/>
      <c r="H73" s="192" t="n"/>
      <c r="I73" s="192" t="n"/>
      <c r="J73" s="192" t="n"/>
      <c r="K73" s="192" t="n"/>
      <c r="L73" s="192" t="n"/>
      <c r="M73" s="192" t="n"/>
      <c r="N73" s="192" t="n"/>
      <c r="O73" s="192" t="n"/>
      <c r="P73" s="192" t="n"/>
      <c r="Q73" s="192" t="n"/>
      <c r="R73" s="192" t="n"/>
      <c r="S73" s="192" t="n"/>
      <c r="T73" s="192" t="n"/>
      <c r="U73" s="192" t="n"/>
      <c r="V73" s="192" t="n"/>
      <c r="W73" s="426" t="n"/>
    </row>
    <row r="74">
      <c r="A74" s="420" t="n"/>
      <c r="B74" s="371" t="n"/>
      <c r="C74" s="675" t="n"/>
      <c r="D74" s="675" t="n"/>
      <c r="E74" s="675" t="n"/>
      <c r="F74" s="675" t="n"/>
      <c r="G74" s="675" t="n"/>
      <c r="H74" s="675" t="n"/>
      <c r="I74" s="675" t="n"/>
      <c r="J74" s="675" t="n"/>
      <c r="K74" s="675" t="n"/>
      <c r="L74" s="675" t="n"/>
      <c r="M74" s="675" t="n"/>
      <c r="N74" s="675" t="n"/>
      <c r="O74" s="675" t="n"/>
      <c r="P74" s="675" t="n"/>
      <c r="Q74" s="675" t="n"/>
      <c r="R74" s="675" t="n"/>
      <c r="S74" s="675" t="n"/>
      <c r="T74" s="675" t="n"/>
      <c r="U74" s="675" t="n"/>
      <c r="V74" s="676" t="n"/>
      <c r="W74" s="426" t="n"/>
    </row>
    <row r="75">
      <c r="A75" s="420" t="n"/>
      <c r="B75" s="373" t="n"/>
      <c r="V75" s="661" t="n"/>
      <c r="W75" s="426" t="n"/>
    </row>
    <row r="76">
      <c r="A76" s="420" t="n"/>
      <c r="B76" s="373" t="n"/>
      <c r="V76" s="661" t="n"/>
      <c r="W76" s="426" t="n"/>
    </row>
    <row r="77" ht="15.75" customHeight="1" s="685" thickBot="1">
      <c r="A77" s="420" t="n"/>
      <c r="B77" s="693">
        <f>Cover!B35</f>
        <v/>
      </c>
      <c r="C77" s="672" t="n"/>
      <c r="D77" s="672" t="n"/>
      <c r="E77" s="672" t="n"/>
      <c r="F77" s="672" t="n"/>
      <c r="G77" s="672" t="n"/>
      <c r="H77" s="672" t="n"/>
      <c r="I77" s="672" t="n"/>
      <c r="J77" s="672" t="n"/>
      <c r="K77" s="672" t="n"/>
      <c r="L77" s="672" t="n"/>
      <c r="M77" s="672" t="n"/>
      <c r="N77" s="672" t="n"/>
      <c r="O77" s="672" t="n"/>
      <c r="P77" s="672" t="n"/>
      <c r="Q77" s="672" t="n"/>
      <c r="R77" s="672" t="n"/>
      <c r="S77" s="672" t="n"/>
      <c r="T77" s="672" t="n"/>
      <c r="U77" s="307" t="inlineStr">
        <is>
          <t>Confidential</t>
        </is>
      </c>
      <c r="V77" s="673" t="n"/>
      <c r="W77" s="426" t="n"/>
    </row>
    <row r="78" ht="15.75" customHeight="1" s="685" thickBot="1">
      <c r="A78" s="428" t="n"/>
      <c r="B78" s="429" t="n"/>
      <c r="C78" s="429" t="n"/>
      <c r="D78" s="429" t="n"/>
      <c r="E78" s="429" t="n"/>
      <c r="F78" s="429" t="n"/>
      <c r="G78" s="429" t="n"/>
      <c r="H78" s="429" t="n"/>
      <c r="I78" s="429" t="n"/>
      <c r="J78" s="429" t="n"/>
      <c r="K78" s="429" t="n"/>
      <c r="L78" s="429" t="n"/>
      <c r="M78" s="429" t="n"/>
      <c r="N78" s="429" t="n"/>
      <c r="O78" s="429" t="n"/>
      <c r="P78" s="429" t="n"/>
      <c r="Q78" s="429" t="n"/>
      <c r="R78" s="429" t="n"/>
      <c r="S78" s="429" t="n"/>
      <c r="T78" s="429" t="n"/>
      <c r="U78" s="429" t="n"/>
      <c r="V78" s="429" t="n"/>
      <c r="W78" s="430" t="n"/>
    </row>
  </sheetData>
  <mergeCells count="22">
    <mergeCell ref="C51:U51"/>
    <mergeCell ref="C71:U71"/>
    <mergeCell ref="C61:U61"/>
    <mergeCell ref="C39:U39"/>
    <mergeCell ref="C67:U67"/>
    <mergeCell ref="C57:U57"/>
    <mergeCell ref="C37:U37"/>
    <mergeCell ref="C53:U53"/>
    <mergeCell ref="C69:U69"/>
    <mergeCell ref="C3:U3"/>
    <mergeCell ref="C49:U49"/>
    <mergeCell ref="C5:U5"/>
    <mergeCell ref="C45:U45"/>
    <mergeCell ref="C4:U4"/>
    <mergeCell ref="C65:U65"/>
    <mergeCell ref="C47:U47"/>
    <mergeCell ref="C63:U63"/>
    <mergeCell ref="C41:U41"/>
    <mergeCell ref="C55:U55"/>
    <mergeCell ref="C59:U59"/>
    <mergeCell ref="C43:U43"/>
    <mergeCell ref="C2:U2"/>
  </mergeCells>
  <conditionalFormatting sqref="O9:O21">
    <cfRule type="cellIs" priority="11" operator="lessThan" dxfId="0">
      <formula>0</formula>
    </cfRule>
  </conditionalFormatting>
  <conditionalFormatting sqref="Q9:S21">
    <cfRule type="cellIs" priority="1" operator="lessThan" dxfId="0">
      <formula>0</formula>
    </cfRule>
  </conditionalFormatting>
  <conditionalFormatting sqref="U9:U21">
    <cfRule type="cellIs" priority="9" operator="lessThan" dxfId="0">
      <formula>0</formula>
    </cfRule>
  </conditionalFormatting>
  <printOptions horizontalCentered="1"/>
  <pageMargins left="0.25" right="0.25" top="0.25" bottom="0.25" header="0.05" footer="0.05"/>
  <pageSetup orientation="landscape" scale="47"/>
</worksheet>
</file>

<file path=xl/worksheets/sheet4.xml><?xml version="1.0" encoding="utf-8"?>
<worksheet xmlns="http://schemas.openxmlformats.org/spreadsheetml/2006/main">
  <sheetPr>
    <tabColor theme="0" tint="-0.1499984740745262"/>
    <outlinePr summaryBelow="1" summaryRight="1"/>
    <pageSetUpPr fitToPage="1"/>
  </sheetPr>
  <dimension ref="B1:M163"/>
  <sheetViews>
    <sheetView workbookViewId="0">
      <selection activeCell="A1" sqref="A1"/>
    </sheetView>
  </sheetViews>
  <sheetFormatPr baseColWidth="8" defaultColWidth="9.140625" defaultRowHeight="12.75"/>
  <cols>
    <col width="1.140625" customWidth="1" style="699" min="1" max="1"/>
    <col width="27.28515625" bestFit="1" customWidth="1" style="699" min="2" max="2"/>
    <col width="32.28515625" customWidth="1" style="699" min="3" max="3"/>
    <col width="73" customWidth="1" style="699" min="4" max="4"/>
    <col width="32.28515625" customWidth="1" style="699" min="5" max="6"/>
    <col width="9.140625" customWidth="1" style="699" min="7" max="7"/>
    <col width="18.7109375" bestFit="1" customWidth="1" style="201" min="8" max="8"/>
    <col width="9.140625" customWidth="1" style="201" min="9" max="9"/>
    <col width="9.140625" customWidth="1" style="699" min="10" max="21"/>
    <col width="9.140625" customWidth="1" style="699" min="22" max="16384"/>
  </cols>
  <sheetData>
    <row r="1" ht="18" customHeight="1" s="685">
      <c r="B1" s="689">
        <f>'Historical Data'!B2</f>
        <v/>
      </c>
      <c r="C1" s="675" t="n"/>
      <c r="D1" s="675" t="n"/>
      <c r="E1" s="675" t="n"/>
      <c r="F1" s="676" t="n"/>
    </row>
    <row r="2" ht="15.75" customHeight="1" s="685">
      <c r="B2" s="701" t="inlineStr">
        <is>
          <t>Environmental Factor for PLL</t>
        </is>
      </c>
      <c r="F2" s="661" t="n"/>
    </row>
    <row r="3" ht="15" customHeight="1" s="685">
      <c r="B3" s="704">
        <f>"For Period Ending "&amp;TEXT('Historical Data'!AY8,"mm/dd/yyyy")</f>
        <v/>
      </c>
      <c r="F3" s="661" t="n"/>
      <c r="J3" s="134" t="n"/>
      <c r="K3" s="134" t="n"/>
      <c r="L3" s="134" t="n"/>
      <c r="M3" s="134" t="n"/>
    </row>
    <row r="4" ht="15.75" customHeight="1" s="685" thickBot="1">
      <c r="B4" s="135" t="n"/>
      <c r="C4" s="136" t="n"/>
      <c r="D4" s="136" t="n"/>
      <c r="E4" s="136" t="n"/>
      <c r="F4" s="137" t="n"/>
      <c r="J4" s="134" t="n"/>
      <c r="K4" s="134" t="n"/>
      <c r="L4" s="134" t="n"/>
      <c r="M4" s="134" t="n"/>
    </row>
    <row r="5" ht="15" customHeight="1" s="685">
      <c r="B5" s="702" t="inlineStr">
        <is>
          <t>Economic Stress Index Calculation</t>
        </is>
      </c>
      <c r="C5" s="703" t="n"/>
      <c r="D5" s="703" t="n"/>
      <c r="E5" s="703" t="n"/>
      <c r="F5" s="691" t="n"/>
      <c r="J5" s="134" t="n"/>
      <c r="K5" s="134" t="n"/>
      <c r="L5" s="134" t="n"/>
      <c r="M5" s="134" t="n"/>
    </row>
    <row r="6" ht="15" customHeight="1" s="685">
      <c r="B6" s="138" t="inlineStr">
        <is>
          <t>State</t>
        </is>
      </c>
      <c r="C6" s="139" t="inlineStr">
        <is>
          <t>Unemployment Rate*</t>
        </is>
      </c>
      <c r="D6" s="139" t="inlineStr">
        <is>
          <t>Foreclosures per Person**</t>
        </is>
      </c>
      <c r="E6" s="139" t="inlineStr">
        <is>
          <t>Bankruptcies***</t>
        </is>
      </c>
      <c r="F6" s="185" t="inlineStr">
        <is>
          <t>Population***</t>
        </is>
      </c>
      <c r="H6" s="202" t="n"/>
      <c r="M6" s="134" t="n"/>
    </row>
    <row r="7" ht="15.75" customHeight="1" s="685" thickBot="1">
      <c r="B7" s="141">
        <f>'Historical Data'!B4</f>
        <v/>
      </c>
      <c r="C7" s="142">
        <f>'Historical Data'!AY139</f>
        <v/>
      </c>
      <c r="D7" s="781">
        <f>'Historical Data'!AY140</f>
        <v/>
      </c>
      <c r="E7" s="781">
        <f>'Historical Data'!AY141</f>
        <v/>
      </c>
      <c r="F7" s="782">
        <f>'Historical Data'!AY142</f>
        <v/>
      </c>
      <c r="H7" s="202" t="n"/>
      <c r="M7" s="134" t="n"/>
    </row>
    <row r="8" ht="15" customHeight="1" s="685">
      <c r="B8" s="144" t="inlineStr">
        <is>
          <t>County</t>
        </is>
      </c>
      <c r="C8" s="179" t="inlineStr">
        <is>
          <t>Unemployment Rate</t>
        </is>
      </c>
      <c r="D8" s="146" t="inlineStr">
        <is>
          <t>Bankruptcy Percentage</t>
        </is>
      </c>
      <c r="E8" s="146" t="inlineStr">
        <is>
          <t>Foreclosure Percentage</t>
        </is>
      </c>
      <c r="F8" s="147" t="inlineStr">
        <is>
          <t>Economic Stress Index</t>
        </is>
      </c>
      <c r="G8" s="145" t="n"/>
      <c r="H8" s="202" t="n"/>
      <c r="I8" s="202" t="n"/>
      <c r="J8" s="134" t="n"/>
      <c r="K8" s="134" t="n"/>
      <c r="L8" s="134" t="n"/>
      <c r="M8" s="134" t="n"/>
    </row>
    <row r="9" ht="15.75" customHeight="1" s="685" thickBot="1">
      <c r="B9" s="187">
        <f>'Historical Data'!B5</f>
        <v/>
      </c>
      <c r="C9" s="180">
        <f>C7</f>
        <v/>
      </c>
      <c r="D9" s="148">
        <f>E7/F7</f>
        <v/>
      </c>
      <c r="E9" s="148">
        <f>1/D7</f>
        <v/>
      </c>
      <c r="F9" s="149">
        <f>SUM(C9:E9)</f>
        <v/>
      </c>
      <c r="G9" s="145" t="n"/>
      <c r="H9" s="203" t="n"/>
      <c r="I9" s="203" t="n"/>
      <c r="J9" s="151" t="n"/>
      <c r="K9" s="134" t="n"/>
      <c r="L9" s="134" t="n"/>
      <c r="M9" s="134" t="n"/>
    </row>
    <row r="10" ht="6" customHeight="1" s="685" thickBot="1">
      <c r="B10" s="152" t="n"/>
      <c r="C10" s="154" t="n"/>
      <c r="D10" s="153" t="n"/>
      <c r="E10" s="153" t="n"/>
      <c r="F10" s="150" t="n"/>
      <c r="G10" s="145" t="n"/>
      <c r="H10" s="783" t="n"/>
      <c r="I10" s="783" t="n"/>
      <c r="J10" s="145" t="n"/>
      <c r="M10" s="134" t="n"/>
    </row>
    <row r="11" ht="15.75" customHeight="1" s="685" thickBot="1">
      <c r="B11" s="696">
        <f>'Scale Calculation'!C9</f>
        <v/>
      </c>
      <c r="C11" s="697" t="n"/>
      <c r="D11" s="697" t="n"/>
      <c r="E11" s="697" t="n"/>
      <c r="F11" s="695" t="n"/>
      <c r="G11" s="145" t="n"/>
      <c r="M11" s="134" t="n"/>
    </row>
    <row r="12" ht="15.75" customHeight="1" s="685" thickBot="1">
      <c r="B12" s="694" t="inlineStr">
        <is>
          <t>Delinquency Variance</t>
        </is>
      </c>
      <c r="C12" s="695" t="n"/>
      <c r="D12" s="174" t="n"/>
      <c r="E12" s="690" t="inlineStr">
        <is>
          <t>Economic Stress</t>
        </is>
      </c>
      <c r="F12" s="691" t="n"/>
    </row>
    <row r="13" ht="14.25" customFormat="1" customHeight="1" s="157">
      <c r="B13" s="155" t="inlineStr">
        <is>
          <t>Variance from Average</t>
        </is>
      </c>
      <c r="C13" s="156" t="inlineStr">
        <is>
          <t>Score</t>
        </is>
      </c>
      <c r="D13" s="175" t="n"/>
      <c r="E13" s="155" t="inlineStr">
        <is>
          <t>Actual</t>
        </is>
      </c>
      <c r="F13" s="156" t="inlineStr">
        <is>
          <t>Score</t>
        </is>
      </c>
      <c r="H13" s="205" t="n"/>
      <c r="I13" s="205" t="n"/>
      <c r="K13" s="699" t="n"/>
    </row>
    <row r="14" ht="15.75" customFormat="1" customHeight="1" s="134" thickBot="1">
      <c r="B14" s="243">
        <f>'Calc tab'!AI92</f>
        <v/>
      </c>
      <c r="C14" s="159">
        <f>IF(B14&gt;='Environmental Factor Ranges'!$J$9,'Environmental Factor Ranges'!$K$9,IF(B14&gt;='Environmental Factor Ranges'!$J$10,'Environmental Factor Ranges'!$K$10,IF(B14&gt;='Environmental Factor Ranges'!$J$11,'Environmental Factor Ranges'!$K$11,IF(B14&gt;='Environmental Factor Ranges'!$J$12,'Environmental Factor Ranges'!$K$12,IF(B14&gt;='Environmental Factor Ranges'!$J$13,'Environmental Factor Ranges'!$K$13,IF(B14&gt;='Environmental Factor Ranges'!$J$14,'Environmental Factor Ranges'!$K$14,IF(B14&gt;='Environmental Factor Ranges'!$J$15,'Environmental Factor Ranges'!$K$15,IF(B14&gt;='Environmental Factor Ranges'!$J$16,'Environmental Factor Ranges'!$K$16,IF(B14&gt;='Environmental Factor Ranges'!$J$17,'Environmental Factor Ranges'!$K$17,IF(B14&gt;='Environmental Factor Ranges'!$J$18,'Environmental Factor Ranges'!$K$18,IF(B14&gt;='Environmental Factor Ranges'!$J$19,'Environmental Factor Ranges'!$K$19,IF(B14&gt;='Environmental Factor Ranges'!$J$20,'Environmental Factor Ranges'!$K$20,IF(B14&gt;='Environmental Factor Ranges'!$J$21,'Environmental Factor Ranges'!$K$21,IF(B14&gt;='Environmental Factor Ranges'!$J$22,'Environmental Factor Ranges'!$K$22,IF(B14&gt;='Environmental Factor Ranges'!$J$23,'Environmental Factor Ranges'!$K$23,IF(B14&gt;='Environmental Factor Ranges'!$J$24,'Environmental Factor Ranges'!$K$24,'Environmental Factor Ranges'!$K$25))))))))))))))))</f>
        <v/>
      </c>
      <c r="D14" s="176" t="n"/>
      <c r="E14" s="158">
        <f>$F$9</f>
        <v/>
      </c>
      <c r="F14" s="159">
        <f>IF(E14&gt;='Environmental Factor Ranges'!$L$9,'Environmental Factor Ranges'!$F$9,IF(E14&gt;='Environmental Factor Ranges'!$L$10,'Environmental Factor Ranges'!$F$10,IF(E14&gt;='Environmental Factor Ranges'!$L$11,'Environmental Factor Ranges'!$F$11,IF(E14&gt;='Environmental Factor Ranges'!$L$12,'Environmental Factor Ranges'!$F$12,IF(E14&gt;='Environmental Factor Ranges'!$L$13,'Environmental Factor Ranges'!$F$13,IF(E14&gt;='Environmental Factor Ranges'!$L$14,'Environmental Factor Ranges'!$F$14,IF(E14&gt;='Environmental Factor Ranges'!$L$15,'Environmental Factor Ranges'!$F$15,IF(E14&gt;='Environmental Factor Ranges'!$L$16,'Environmental Factor Ranges'!$F$16,IF(E14&gt;='Environmental Factor Ranges'!$L$17,'Environmental Factor Ranges'!$F$17,IF(E14&gt;='Environmental Factor Ranges'!$L$18,'Environmental Factor Ranges'!$F$18,IF(E14&gt;='Environmental Factor Ranges'!$L$19,'Environmental Factor Ranges'!$F$19,IF(E14&gt;='Environmental Factor Ranges'!$L$20,'Environmental Factor Ranges'!$F$20,IF(E14&gt;='Environmental Factor Ranges'!$L$21,'Environmental Factor Ranges'!$F$21,IF(E14&gt;='Environmental Factor Ranges'!$L$22,'Environmental Factor Ranges'!$F$22,IF(E14&gt;='Environmental Factor Ranges'!$L$23,'Environmental Factor Ranges'!$F$23,IF(E14&gt;='Environmental Factor Ranges'!$L$24,'Environmental Factor Ranges'!$F$24,IF(E14&gt;='Environmental Factor Ranges'!$L$25,'Environmental Factor Ranges'!$F$25,'Environmental Factor Ranges'!$F$26)))))))))))))))))</f>
        <v/>
      </c>
      <c r="H14" s="206" t="n"/>
      <c r="I14" s="202" t="n"/>
      <c r="K14" s="699" t="n"/>
    </row>
    <row r="15" ht="18.75" customHeight="1" s="685" thickBot="1">
      <c r="B15" s="700">
        <f>"Environmental  Factor-"&amp;B11</f>
        <v/>
      </c>
      <c r="C15" s="697" t="n"/>
      <c r="D15" s="697" t="n"/>
      <c r="E15" s="697" t="n"/>
      <c r="F15" s="695" t="n"/>
    </row>
    <row r="16" ht="12.75" customHeight="1" s="685">
      <c r="B16" s="692">
        <f>C14+F14</f>
        <v/>
      </c>
      <c r="C16" s="675" t="n"/>
      <c r="D16" s="675" t="n"/>
      <c r="E16" s="675" t="n"/>
      <c r="F16" s="676" t="n"/>
      <c r="K16" s="160" t="n"/>
    </row>
    <row r="17" ht="13.5" customHeight="1" s="685" thickBot="1">
      <c r="B17" s="693" t="n"/>
      <c r="C17" s="672" t="n"/>
      <c r="D17" s="672" t="n"/>
      <c r="E17" s="672" t="n"/>
      <c r="F17" s="673" t="n"/>
      <c r="H17" s="201" t="inlineStr">
        <is>
          <t>Environmental Factor</t>
        </is>
      </c>
      <c r="I17" s="208">
        <f>B16</f>
        <v/>
      </c>
    </row>
    <row r="18" ht="6" customFormat="1" customHeight="1" s="160" thickBot="1">
      <c r="H18" s="207" t="n"/>
      <c r="I18" s="207" t="n"/>
      <c r="K18" s="699" t="n"/>
    </row>
    <row r="19" ht="15.75" customHeight="1" s="685" thickBot="1">
      <c r="B19" s="696">
        <f>'Scale Calculation'!C10</f>
        <v/>
      </c>
      <c r="C19" s="697" t="n"/>
      <c r="D19" s="697" t="n"/>
      <c r="E19" s="697" t="n"/>
      <c r="F19" s="695" t="n"/>
      <c r="G19" s="145" t="n"/>
      <c r="M19" s="134" t="n"/>
    </row>
    <row r="20" ht="15.75" customHeight="1" s="685" thickBot="1">
      <c r="B20" s="694">
        <f>$B$12</f>
        <v/>
      </c>
      <c r="C20" s="695" t="n"/>
      <c r="D20" s="174" t="n"/>
      <c r="E20" s="690" t="inlineStr">
        <is>
          <t>Economic Stress</t>
        </is>
      </c>
      <c r="F20" s="691" t="n"/>
    </row>
    <row r="21" ht="14.25" customFormat="1" customHeight="1" s="157">
      <c r="B21" s="155">
        <f>B13</f>
        <v/>
      </c>
      <c r="C21" s="156" t="inlineStr">
        <is>
          <t>Score</t>
        </is>
      </c>
      <c r="D21" s="175" t="n"/>
      <c r="E21" s="155" t="inlineStr">
        <is>
          <t>Actual</t>
        </is>
      </c>
      <c r="F21" s="156" t="inlineStr">
        <is>
          <t>Score</t>
        </is>
      </c>
      <c r="H21" s="205" t="n"/>
      <c r="I21" s="205" t="n"/>
      <c r="K21" s="699" t="n"/>
    </row>
    <row r="22" ht="15.75" customFormat="1" customHeight="1" s="134" thickBot="1">
      <c r="B22" s="243">
        <f>'Calc tab'!AI93</f>
        <v/>
      </c>
      <c r="C22" s="159">
        <f>IF(B22&gt;='Environmental Factor Ranges'!$J$9,'Environmental Factor Ranges'!$K$9,IF(B22&gt;='Environmental Factor Ranges'!$J$10,'Environmental Factor Ranges'!$K$10,IF(B22&gt;='Environmental Factor Ranges'!$J$11,'Environmental Factor Ranges'!$K$11,IF(B22&gt;='Environmental Factor Ranges'!$J$12,'Environmental Factor Ranges'!$K$12,IF(B22&gt;='Environmental Factor Ranges'!$J$13,'Environmental Factor Ranges'!$K$13,IF(B22&gt;='Environmental Factor Ranges'!$J$14,'Environmental Factor Ranges'!$K$14,IF(B22&gt;='Environmental Factor Ranges'!$J$15,'Environmental Factor Ranges'!$K$15,IF(B22&gt;='Environmental Factor Ranges'!$J$16,'Environmental Factor Ranges'!$K$16,IF(B22&gt;='Environmental Factor Ranges'!$J$17,'Environmental Factor Ranges'!$K$17,IF(B22&gt;='Environmental Factor Ranges'!$J$18,'Environmental Factor Ranges'!$K$18,IF(B22&gt;='Environmental Factor Ranges'!$J$19,'Environmental Factor Ranges'!$K$19,IF(B22&gt;='Environmental Factor Ranges'!$J$20,'Environmental Factor Ranges'!$K$20,IF(B22&gt;='Environmental Factor Ranges'!$J$21,'Environmental Factor Ranges'!$K$21,IF(B22&gt;='Environmental Factor Ranges'!$J$22,'Environmental Factor Ranges'!$K$22,IF(B22&gt;='Environmental Factor Ranges'!$J$23,'Environmental Factor Ranges'!$K$23,IF(B22&gt;='Environmental Factor Ranges'!$J$24,'Environmental Factor Ranges'!$K$24,'Environmental Factor Ranges'!$K$25))))))))))))))))</f>
        <v/>
      </c>
      <c r="D22" s="176" t="n"/>
      <c r="E22" s="158">
        <f>$F$9</f>
        <v/>
      </c>
      <c r="F22" s="159">
        <f>IF(E22&gt;='Environmental Factor Ranges'!$L$9,'Environmental Factor Ranges'!$F$9,IF(E22&gt;='Environmental Factor Ranges'!$L$10,'Environmental Factor Ranges'!$F$10,IF(E22&gt;='Environmental Factor Ranges'!$L$11,'Environmental Factor Ranges'!$F$11,IF(E22&gt;='Environmental Factor Ranges'!$L$12,'Environmental Factor Ranges'!$F$12,IF(E22&gt;='Environmental Factor Ranges'!$L$13,'Environmental Factor Ranges'!$F$13,IF(E22&gt;='Environmental Factor Ranges'!$L$14,'Environmental Factor Ranges'!$F$14,IF(E22&gt;='Environmental Factor Ranges'!$L$15,'Environmental Factor Ranges'!$F$15,IF(E22&gt;='Environmental Factor Ranges'!$L$16,'Environmental Factor Ranges'!$F$16,IF(E22&gt;='Environmental Factor Ranges'!$L$17,'Environmental Factor Ranges'!$F$17,IF(E22&gt;='Environmental Factor Ranges'!$L$18,'Environmental Factor Ranges'!$F$18,IF(E22&gt;='Environmental Factor Ranges'!$L$19,'Environmental Factor Ranges'!$F$19,IF(E22&gt;='Environmental Factor Ranges'!$L$20,'Environmental Factor Ranges'!$F$20,'Environmental Factor Ranges'!$F$21))))))))))))</f>
        <v/>
      </c>
      <c r="H22" s="206" t="n"/>
      <c r="I22" s="202" t="n"/>
      <c r="K22" s="699" t="n"/>
    </row>
    <row r="23" ht="15.75" customHeight="1" s="685" thickBot="1">
      <c r="B23" s="696">
        <f>"Environmental  Factor-"&amp;B19</f>
        <v/>
      </c>
      <c r="C23" s="697" t="n"/>
      <c r="D23" s="697" t="n"/>
      <c r="E23" s="697" t="n"/>
      <c r="F23" s="695" t="n"/>
      <c r="G23" s="145" t="n"/>
      <c r="M23" s="134" t="n"/>
    </row>
    <row r="24" ht="12.75" customHeight="1" s="685">
      <c r="B24" s="692">
        <f>C22+F22</f>
        <v/>
      </c>
      <c r="C24" s="675" t="n"/>
      <c r="D24" s="675" t="n"/>
      <c r="E24" s="675" t="n"/>
      <c r="F24" s="676" t="n"/>
      <c r="K24" s="160" t="n"/>
    </row>
    <row r="25" ht="13.5" customHeight="1" s="685" thickBot="1">
      <c r="B25" s="693" t="n"/>
      <c r="C25" s="672" t="n"/>
      <c r="D25" s="672" t="n"/>
      <c r="E25" s="672" t="n"/>
      <c r="F25" s="673" t="n"/>
      <c r="H25" s="201" t="inlineStr">
        <is>
          <t>Environmental Factor</t>
        </is>
      </c>
      <c r="I25" s="208">
        <f>B24</f>
        <v/>
      </c>
    </row>
    <row r="26" ht="6" customFormat="1" customHeight="1" s="160" thickBot="1">
      <c r="H26" s="207" t="n"/>
      <c r="I26" s="207" t="n"/>
      <c r="K26" s="699" t="n"/>
    </row>
    <row r="27" ht="15.75" customHeight="1" s="685" thickBot="1">
      <c r="B27" s="696">
        <f>'Scale Calculation'!C11</f>
        <v/>
      </c>
      <c r="C27" s="697" t="n"/>
      <c r="D27" s="697" t="n"/>
      <c r="E27" s="697" t="n"/>
      <c r="F27" s="695" t="n"/>
      <c r="G27" s="145" t="n"/>
      <c r="M27" s="134" t="n"/>
    </row>
    <row r="28" ht="15.75" customHeight="1" s="685" thickBot="1">
      <c r="B28" s="694">
        <f>$B$12</f>
        <v/>
      </c>
      <c r="C28" s="695" t="n"/>
      <c r="D28" s="174" t="n"/>
      <c r="E28" s="690" t="inlineStr">
        <is>
          <t>Economic Stress</t>
        </is>
      </c>
      <c r="F28" s="691" t="n"/>
    </row>
    <row r="29" ht="14.25" customFormat="1" customHeight="1" s="157">
      <c r="B29" s="155">
        <f>B13</f>
        <v/>
      </c>
      <c r="C29" s="156" t="inlineStr">
        <is>
          <t>Score</t>
        </is>
      </c>
      <c r="D29" s="175" t="n"/>
      <c r="E29" s="155" t="inlineStr">
        <is>
          <t>Actual</t>
        </is>
      </c>
      <c r="F29" s="156" t="inlineStr">
        <is>
          <t>Score</t>
        </is>
      </c>
      <c r="H29" s="205" t="n"/>
      <c r="I29" s="205" t="n"/>
      <c r="K29" s="699" t="n"/>
    </row>
    <row r="30" ht="15.75" customFormat="1" customHeight="1" s="134" thickBot="1">
      <c r="B30" s="243">
        <f>'Calc tab'!AI94</f>
        <v/>
      </c>
      <c r="C30" s="159">
        <f>IF(B30&gt;='Environmental Factor Ranges'!$J$9,'Environmental Factor Ranges'!$K$9,IF(B30&gt;='Environmental Factor Ranges'!$J$10,'Environmental Factor Ranges'!$K$10,IF(B30&gt;='Environmental Factor Ranges'!$J$11,'Environmental Factor Ranges'!$K$11,IF(B30&gt;='Environmental Factor Ranges'!$J$12,'Environmental Factor Ranges'!$K$12,IF(B30&gt;='Environmental Factor Ranges'!$J$13,'Environmental Factor Ranges'!$K$13,IF(B30&gt;='Environmental Factor Ranges'!$J$14,'Environmental Factor Ranges'!$K$14,IF(B30&gt;='Environmental Factor Ranges'!$J$15,'Environmental Factor Ranges'!$K$15,IF(B30&gt;='Environmental Factor Ranges'!$J$16,'Environmental Factor Ranges'!$K$16,IF(B30&gt;='Environmental Factor Ranges'!$J$17,'Environmental Factor Ranges'!$K$17,IF(B30&gt;='Environmental Factor Ranges'!$J$18,'Environmental Factor Ranges'!$K$18,IF(B30&gt;='Environmental Factor Ranges'!$J$19,'Environmental Factor Ranges'!$K$19,IF(B30&gt;='Environmental Factor Ranges'!$J$20,'Environmental Factor Ranges'!$K$20,IF(B30&gt;='Environmental Factor Ranges'!$J$21,'Environmental Factor Ranges'!$K$21,IF(B30&gt;='Environmental Factor Ranges'!$J$22,'Environmental Factor Ranges'!$K$22,IF(B30&gt;='Environmental Factor Ranges'!$J$23,'Environmental Factor Ranges'!$K$23,IF(B30&gt;='Environmental Factor Ranges'!$J$24,'Environmental Factor Ranges'!$K$24,'Environmental Factor Ranges'!$K$25))))))))))))))))</f>
        <v/>
      </c>
      <c r="D30" s="176" t="n"/>
      <c r="E30" s="158">
        <f>$F$9</f>
        <v/>
      </c>
      <c r="F30" s="159">
        <f>IF(E30&gt;='Environmental Factor Ranges'!$L$9,'Environmental Factor Ranges'!$F$9,IF(E30&gt;='Environmental Factor Ranges'!$L$10,'Environmental Factor Ranges'!$F$10,IF(E30&gt;='Environmental Factor Ranges'!$L$11,'Environmental Factor Ranges'!$F$11,IF(E30&gt;='Environmental Factor Ranges'!$L$12,'Environmental Factor Ranges'!$F$12,IF(E30&gt;='Environmental Factor Ranges'!$L$13,'Environmental Factor Ranges'!$F$13,IF(E30&gt;='Environmental Factor Ranges'!$L$14,'Environmental Factor Ranges'!$F$14,IF(E30&gt;='Environmental Factor Ranges'!$L$15,'Environmental Factor Ranges'!$F$15,IF(E30&gt;='Environmental Factor Ranges'!$L$16,'Environmental Factor Ranges'!$F$16,IF(E30&gt;='Environmental Factor Ranges'!$L$17,'Environmental Factor Ranges'!$F$17,IF(E30&gt;='Environmental Factor Ranges'!$L$18,'Environmental Factor Ranges'!$F$18,IF(E30&gt;='Environmental Factor Ranges'!$L$19,'Environmental Factor Ranges'!$F$19,IF(E30&gt;='Environmental Factor Ranges'!$L$20,'Environmental Factor Ranges'!$F$20,'Environmental Factor Ranges'!$F$21))))))))))))</f>
        <v/>
      </c>
      <c r="H30" s="206" t="n"/>
      <c r="I30" s="202" t="n"/>
      <c r="K30" s="699" t="n"/>
    </row>
    <row r="31" ht="15.75" customHeight="1" s="685" thickBot="1">
      <c r="B31" s="696">
        <f>"Environmental  Factor-"&amp;B27</f>
        <v/>
      </c>
      <c r="C31" s="697" t="n"/>
      <c r="D31" s="697" t="n"/>
      <c r="E31" s="697" t="n"/>
      <c r="F31" s="695" t="n"/>
      <c r="G31" s="145" t="n"/>
      <c r="M31" s="134" t="n"/>
    </row>
    <row r="32" ht="12.75" customHeight="1" s="685">
      <c r="B32" s="692">
        <f>C30+F30</f>
        <v/>
      </c>
      <c r="C32" s="675" t="n"/>
      <c r="D32" s="675" t="n"/>
      <c r="E32" s="675" t="n"/>
      <c r="F32" s="676" t="n"/>
      <c r="K32" s="160" t="n"/>
    </row>
    <row r="33" ht="13.5" customHeight="1" s="685" thickBot="1">
      <c r="B33" s="693" t="n"/>
      <c r="C33" s="672" t="n"/>
      <c r="D33" s="672" t="n"/>
      <c r="E33" s="672" t="n"/>
      <c r="F33" s="673" t="n"/>
      <c r="H33" s="201" t="inlineStr">
        <is>
          <t>Environmental Factor</t>
        </is>
      </c>
      <c r="I33" s="208">
        <f>B32</f>
        <v/>
      </c>
    </row>
    <row r="34" ht="6" customFormat="1" customHeight="1" s="160" thickBot="1">
      <c r="H34" s="207" t="n"/>
      <c r="I34" s="207" t="n"/>
      <c r="K34" s="699" t="n"/>
    </row>
    <row r="35" ht="15.75" customHeight="1" s="685" thickBot="1">
      <c r="B35" s="696">
        <f>'Scale Calculation'!C12</f>
        <v/>
      </c>
      <c r="C35" s="697" t="n"/>
      <c r="D35" s="697" t="n"/>
      <c r="E35" s="697" t="n"/>
      <c r="F35" s="695" t="n"/>
      <c r="G35" s="145" t="n"/>
      <c r="M35" s="134" t="n"/>
    </row>
    <row r="36" ht="15.75" customHeight="1" s="685" thickBot="1">
      <c r="B36" s="694">
        <f>$B$12</f>
        <v/>
      </c>
      <c r="C36" s="695" t="n"/>
      <c r="D36" s="174" t="n"/>
      <c r="E36" s="690" t="inlineStr">
        <is>
          <t>Economic Stress</t>
        </is>
      </c>
      <c r="F36" s="691" t="n"/>
    </row>
    <row r="37" ht="14.25" customFormat="1" customHeight="1" s="157">
      <c r="B37" s="155">
        <f>B21</f>
        <v/>
      </c>
      <c r="C37" s="156" t="inlineStr">
        <is>
          <t>Score</t>
        </is>
      </c>
      <c r="D37" s="175" t="n"/>
      <c r="E37" s="155" t="inlineStr">
        <is>
          <t>Actual</t>
        </is>
      </c>
      <c r="F37" s="156" t="inlineStr">
        <is>
          <t>Score</t>
        </is>
      </c>
      <c r="H37" s="205" t="n"/>
      <c r="I37" s="205" t="n"/>
      <c r="K37" s="699" t="n"/>
    </row>
    <row r="38" ht="15.75" customFormat="1" customHeight="1" s="134" thickBot="1">
      <c r="B38" s="243">
        <f>'Calc tab'!AI95</f>
        <v/>
      </c>
      <c r="C38" s="159">
        <f>IF(B38&gt;='Environmental Factor Ranges'!$J$9,'Environmental Factor Ranges'!$K$9,IF(B38&gt;='Environmental Factor Ranges'!$J$10,'Environmental Factor Ranges'!$K$10,IF(B38&gt;='Environmental Factor Ranges'!$J$11,'Environmental Factor Ranges'!$K$11,IF(B38&gt;='Environmental Factor Ranges'!$J$12,'Environmental Factor Ranges'!$K$12,IF(B38&gt;='Environmental Factor Ranges'!$J$13,'Environmental Factor Ranges'!$K$13,IF(B38&gt;='Environmental Factor Ranges'!$J$14,'Environmental Factor Ranges'!$K$14,IF(B38&gt;='Environmental Factor Ranges'!$J$15,'Environmental Factor Ranges'!$K$15,IF(B38&gt;='Environmental Factor Ranges'!$J$16,'Environmental Factor Ranges'!$K$16,IF(B38&gt;='Environmental Factor Ranges'!$J$17,'Environmental Factor Ranges'!$K$17,IF(B38&gt;='Environmental Factor Ranges'!$J$18,'Environmental Factor Ranges'!$K$18,IF(B38&gt;='Environmental Factor Ranges'!$J$19,'Environmental Factor Ranges'!$K$19,IF(B38&gt;='Environmental Factor Ranges'!$J$20,'Environmental Factor Ranges'!$K$20,IF(B38&gt;='Environmental Factor Ranges'!$J$21,'Environmental Factor Ranges'!$K$21,IF(B38&gt;='Environmental Factor Ranges'!$J$22,'Environmental Factor Ranges'!$K$22,IF(B38&gt;='Environmental Factor Ranges'!$J$23,'Environmental Factor Ranges'!$K$23,IF(B38&gt;='Environmental Factor Ranges'!$J$24,'Environmental Factor Ranges'!$K$24,'Environmental Factor Ranges'!$K$25))))))))))))))))</f>
        <v/>
      </c>
      <c r="D38" s="176" t="n"/>
      <c r="E38" s="158">
        <f>$F$9</f>
        <v/>
      </c>
      <c r="F38" s="159">
        <f>IF(E38&gt;='Environmental Factor Ranges'!$L$9,'Environmental Factor Ranges'!$F$9,IF(E38&gt;='Environmental Factor Ranges'!$L$10,'Environmental Factor Ranges'!$F$10,IF(E38&gt;='Environmental Factor Ranges'!$L$11,'Environmental Factor Ranges'!$F$11,IF(E38&gt;='Environmental Factor Ranges'!$L$12,'Environmental Factor Ranges'!$F$12,IF(E38&gt;='Environmental Factor Ranges'!$L$13,'Environmental Factor Ranges'!$F$13,IF(E38&gt;='Environmental Factor Ranges'!$L$14,'Environmental Factor Ranges'!$F$14,IF(E38&gt;='Environmental Factor Ranges'!$L$15,'Environmental Factor Ranges'!$F$15,IF(E38&gt;='Environmental Factor Ranges'!$L$16,'Environmental Factor Ranges'!$F$16,IF(E38&gt;='Environmental Factor Ranges'!$L$17,'Environmental Factor Ranges'!$F$17,IF(E38&gt;='Environmental Factor Ranges'!$L$18,'Environmental Factor Ranges'!$F$18,IF(E38&gt;='Environmental Factor Ranges'!$L$19,'Environmental Factor Ranges'!$F$19,IF(E38&gt;='Environmental Factor Ranges'!$L$20,'Environmental Factor Ranges'!$F$20,'Environmental Factor Ranges'!$F$21))))))))))))</f>
        <v/>
      </c>
      <c r="H38" s="206" t="n"/>
      <c r="I38" s="202" t="n"/>
      <c r="K38" s="699" t="n"/>
    </row>
    <row r="39" ht="15.75" customHeight="1" s="685" thickBot="1">
      <c r="B39" s="696">
        <f>"Environmental  Factor-"&amp;B35</f>
        <v/>
      </c>
      <c r="C39" s="697" t="n"/>
      <c r="D39" s="697" t="n"/>
      <c r="E39" s="697" t="n"/>
      <c r="F39" s="695" t="n"/>
      <c r="G39" s="145" t="n"/>
      <c r="M39" s="134" t="n"/>
    </row>
    <row r="40" ht="12.75" customHeight="1" s="685">
      <c r="B40" s="692">
        <f>C38+F38</f>
        <v/>
      </c>
      <c r="C40" s="675" t="n"/>
      <c r="D40" s="675" t="n"/>
      <c r="E40" s="675" t="n"/>
      <c r="F40" s="676" t="n"/>
      <c r="K40" s="160" t="n"/>
    </row>
    <row r="41" ht="13.5" customHeight="1" s="685" thickBot="1">
      <c r="B41" s="693" t="n"/>
      <c r="C41" s="672" t="n"/>
      <c r="D41" s="672" t="n"/>
      <c r="E41" s="672" t="n"/>
      <c r="F41" s="673" t="n"/>
      <c r="H41" s="201" t="inlineStr">
        <is>
          <t>Environmental Factor</t>
        </is>
      </c>
      <c r="I41" s="208">
        <f>B40</f>
        <v/>
      </c>
    </row>
    <row r="42" ht="6" customFormat="1" customHeight="1" s="160" thickBot="1">
      <c r="H42" s="207" t="n"/>
      <c r="I42" s="207" t="n"/>
      <c r="K42" s="699" t="n"/>
    </row>
    <row r="43" ht="15.75" customHeight="1" s="685" thickBot="1">
      <c r="B43" s="696">
        <f>'Scale Calculation'!C13</f>
        <v/>
      </c>
      <c r="C43" s="697" t="n"/>
      <c r="D43" s="697" t="n"/>
      <c r="E43" s="697" t="n"/>
      <c r="F43" s="695" t="n"/>
      <c r="G43" s="145" t="n"/>
      <c r="M43" s="134" t="n"/>
    </row>
    <row r="44" ht="15.75" customHeight="1" s="685" thickBot="1">
      <c r="B44" s="694">
        <f>$B$12</f>
        <v/>
      </c>
      <c r="C44" s="695" t="n"/>
      <c r="D44" s="174" t="n"/>
      <c r="E44" s="690" t="inlineStr">
        <is>
          <t>Economic Stress</t>
        </is>
      </c>
      <c r="F44" s="691" t="n"/>
    </row>
    <row r="45" ht="14.25" customFormat="1" customHeight="1" s="157">
      <c r="B45" s="155">
        <f>B13</f>
        <v/>
      </c>
      <c r="C45" s="156" t="inlineStr">
        <is>
          <t>Score</t>
        </is>
      </c>
      <c r="D45" s="175" t="n"/>
      <c r="E45" s="155" t="inlineStr">
        <is>
          <t>Actual</t>
        </is>
      </c>
      <c r="F45" s="156" t="inlineStr">
        <is>
          <t>Score</t>
        </is>
      </c>
      <c r="H45" s="205" t="n"/>
      <c r="I45" s="205" t="n"/>
      <c r="K45" s="699" t="n"/>
    </row>
    <row r="46" ht="15.75" customFormat="1" customHeight="1" s="134" thickBot="1">
      <c r="B46" s="243">
        <f>'Calc tab'!AI96</f>
        <v/>
      </c>
      <c r="C46" s="159">
        <f>IF(B46&gt;='Environmental Factor Ranges'!$J$9,'Environmental Factor Ranges'!$K$9,IF(B46&gt;='Environmental Factor Ranges'!$J$10,'Environmental Factor Ranges'!$K$10,IF(B46&gt;='Environmental Factor Ranges'!$J$11,'Environmental Factor Ranges'!$K$11,IF(B46&gt;='Environmental Factor Ranges'!$J$12,'Environmental Factor Ranges'!$K$12,IF(B46&gt;='Environmental Factor Ranges'!$J$13,'Environmental Factor Ranges'!$K$13,IF(B46&gt;='Environmental Factor Ranges'!$J$14,'Environmental Factor Ranges'!$K$14,IF(B46&gt;='Environmental Factor Ranges'!$J$15,'Environmental Factor Ranges'!$K$15,IF(B46&gt;='Environmental Factor Ranges'!$J$16,'Environmental Factor Ranges'!$K$16,IF(B46&gt;='Environmental Factor Ranges'!$J$17,'Environmental Factor Ranges'!$K$17,IF(B46&gt;='Environmental Factor Ranges'!$J$18,'Environmental Factor Ranges'!$K$18,IF(B46&gt;='Environmental Factor Ranges'!$J$19,'Environmental Factor Ranges'!$K$19,IF(B46&gt;='Environmental Factor Ranges'!$J$20,'Environmental Factor Ranges'!$K$20,IF(B46&gt;='Environmental Factor Ranges'!$J$21,'Environmental Factor Ranges'!$K$21,IF(B46&gt;='Environmental Factor Ranges'!$J$22,'Environmental Factor Ranges'!$K$22,IF(B46&gt;='Environmental Factor Ranges'!$J$23,'Environmental Factor Ranges'!$K$23,IF(B46&gt;='Environmental Factor Ranges'!$J$24,'Environmental Factor Ranges'!$K$24,'Environmental Factor Ranges'!$K$25))))))))))))))))</f>
        <v/>
      </c>
      <c r="D46" s="176" t="n"/>
      <c r="E46" s="158">
        <f>$F$9</f>
        <v/>
      </c>
      <c r="F46" s="159">
        <f>IF(E46&gt;='Environmental Factor Ranges'!$L$9,'Environmental Factor Ranges'!$F$9,IF(E46&gt;='Environmental Factor Ranges'!$L$10,'Environmental Factor Ranges'!$F$10,IF(E46&gt;='Environmental Factor Ranges'!$L$11,'Environmental Factor Ranges'!$F$11,IF(E46&gt;='Environmental Factor Ranges'!$L$12,'Environmental Factor Ranges'!$F$12,IF(E46&gt;='Environmental Factor Ranges'!$L$13,'Environmental Factor Ranges'!$F$13,IF(E46&gt;='Environmental Factor Ranges'!$L$14,'Environmental Factor Ranges'!$F$14,IF(E46&gt;='Environmental Factor Ranges'!$L$15,'Environmental Factor Ranges'!$F$15,IF(E46&gt;='Environmental Factor Ranges'!$L$16,'Environmental Factor Ranges'!$F$16,IF(E46&gt;='Environmental Factor Ranges'!$L$17,'Environmental Factor Ranges'!$F$17,IF(E46&gt;='Environmental Factor Ranges'!$L$18,'Environmental Factor Ranges'!$F$18,IF(E46&gt;='Environmental Factor Ranges'!$L$19,'Environmental Factor Ranges'!$F$19,IF(E46&gt;='Environmental Factor Ranges'!$L$20,'Environmental Factor Ranges'!$F$20,'Environmental Factor Ranges'!$F$21))))))))))))</f>
        <v/>
      </c>
      <c r="H46" s="206" t="n"/>
      <c r="I46" s="202" t="n"/>
      <c r="K46" s="699" t="n"/>
    </row>
    <row r="47" ht="15.75" customHeight="1" s="685" thickBot="1">
      <c r="B47" s="696">
        <f>"Environmental  Factor-"&amp;B43</f>
        <v/>
      </c>
      <c r="C47" s="697" t="n"/>
      <c r="D47" s="697" t="n"/>
      <c r="E47" s="697" t="n"/>
      <c r="F47" s="695" t="n"/>
      <c r="G47" s="145" t="n"/>
      <c r="M47" s="134" t="n"/>
    </row>
    <row r="48" ht="12.75" customHeight="1" s="685">
      <c r="B48" s="692">
        <f>C46+F46</f>
        <v/>
      </c>
      <c r="C48" s="675" t="n"/>
      <c r="D48" s="675" t="n"/>
      <c r="E48" s="675" t="n"/>
      <c r="F48" s="676" t="n"/>
      <c r="K48" s="160" t="n"/>
    </row>
    <row r="49" ht="13.5" customHeight="1" s="685" thickBot="1">
      <c r="B49" s="693" t="n"/>
      <c r="C49" s="672" t="n"/>
      <c r="D49" s="672" t="n"/>
      <c r="E49" s="672" t="n"/>
      <c r="F49" s="673" t="n"/>
      <c r="H49" s="201" t="inlineStr">
        <is>
          <t>Environmental Factor</t>
        </is>
      </c>
      <c r="I49" s="208">
        <f>B48</f>
        <v/>
      </c>
    </row>
    <row r="50" ht="6" customHeight="1" s="685" thickBot="1"/>
    <row r="51" ht="15.75" customHeight="1" s="685" thickBot="1">
      <c r="B51" s="696">
        <f>'Scale Calculation'!C14</f>
        <v/>
      </c>
      <c r="C51" s="697" t="n"/>
      <c r="D51" s="697" t="n"/>
      <c r="E51" s="697" t="n"/>
      <c r="F51" s="695" t="n"/>
      <c r="G51" s="145" t="n"/>
      <c r="M51" s="134" t="n"/>
    </row>
    <row r="52" ht="15.75" customHeight="1" s="685" thickBot="1">
      <c r="B52" s="694">
        <f>$B$12</f>
        <v/>
      </c>
      <c r="C52" s="695" t="n"/>
      <c r="D52" s="174" t="n"/>
      <c r="E52" s="690" t="inlineStr">
        <is>
          <t>Economic Stress</t>
        </is>
      </c>
      <c r="F52" s="691" t="n"/>
    </row>
    <row r="53" ht="14.25" customFormat="1" customHeight="1" s="157">
      <c r="B53" s="155">
        <f>B13</f>
        <v/>
      </c>
      <c r="C53" s="156" t="inlineStr">
        <is>
          <t>Score</t>
        </is>
      </c>
      <c r="D53" s="175" t="n"/>
      <c r="E53" s="155" t="inlineStr">
        <is>
          <t>Actual</t>
        </is>
      </c>
      <c r="F53" s="156" t="inlineStr">
        <is>
          <t>Score</t>
        </is>
      </c>
      <c r="H53" s="205" t="n"/>
      <c r="I53" s="205" t="n"/>
      <c r="K53" s="699" t="n"/>
    </row>
    <row r="54" ht="15.75" customFormat="1" customHeight="1" s="134" thickBot="1">
      <c r="B54" s="243">
        <f>'Calc tab'!AI97</f>
        <v/>
      </c>
      <c r="C54" s="159">
        <f>IF(B54&gt;='Environmental Factor Ranges'!$J$9,'Environmental Factor Ranges'!$K$9,IF(B54&gt;='Environmental Factor Ranges'!$J$10,'Environmental Factor Ranges'!$K$10,IF(B54&gt;='Environmental Factor Ranges'!$J$11,'Environmental Factor Ranges'!$K$11,IF(B54&gt;='Environmental Factor Ranges'!$J$12,'Environmental Factor Ranges'!$K$12,IF(B54&gt;='Environmental Factor Ranges'!$J$13,'Environmental Factor Ranges'!$K$13,IF(B54&gt;='Environmental Factor Ranges'!$J$14,'Environmental Factor Ranges'!$K$14,IF(B54&gt;='Environmental Factor Ranges'!$J$15,'Environmental Factor Ranges'!$K$15,IF(B54&gt;='Environmental Factor Ranges'!$J$16,'Environmental Factor Ranges'!$K$16,IF(B54&gt;='Environmental Factor Ranges'!$J$17,'Environmental Factor Ranges'!$K$17,IF(B54&gt;='Environmental Factor Ranges'!$J$18,'Environmental Factor Ranges'!$K$18,IF(B54&gt;='Environmental Factor Ranges'!$J$19,'Environmental Factor Ranges'!$K$19,IF(B54&gt;='Environmental Factor Ranges'!$J$20,'Environmental Factor Ranges'!$K$20,IF(B54&gt;='Environmental Factor Ranges'!$J$21,'Environmental Factor Ranges'!$K$21,IF(B54&gt;='Environmental Factor Ranges'!$J$22,'Environmental Factor Ranges'!$K$22,IF(B54&gt;='Environmental Factor Ranges'!$J$23,'Environmental Factor Ranges'!$K$23,IF(B54&gt;='Environmental Factor Ranges'!$J$24,'Environmental Factor Ranges'!$K$24,'Environmental Factor Ranges'!$K$25))))))))))))))))</f>
        <v/>
      </c>
      <c r="D54" s="176" t="n"/>
      <c r="E54" s="158">
        <f>$F$9</f>
        <v/>
      </c>
      <c r="F54" s="159">
        <f>IF(E54&gt;='Environmental Factor Ranges'!$L$9,'Environmental Factor Ranges'!$F$9,IF(E54&gt;='Environmental Factor Ranges'!$L$10,'Environmental Factor Ranges'!$F$10,IF(E54&gt;='Environmental Factor Ranges'!$L$11,'Environmental Factor Ranges'!$F$11,IF(E54&gt;='Environmental Factor Ranges'!$L$12,'Environmental Factor Ranges'!$F$12,IF(E54&gt;='Environmental Factor Ranges'!$L$13,'Environmental Factor Ranges'!$F$13,IF(E54&gt;='Environmental Factor Ranges'!$L$14,'Environmental Factor Ranges'!$F$14,IF(E54&gt;='Environmental Factor Ranges'!$L$15,'Environmental Factor Ranges'!$F$15,IF(E54&gt;='Environmental Factor Ranges'!$L$16,'Environmental Factor Ranges'!$F$16,IF(E54&gt;='Environmental Factor Ranges'!$L$17,'Environmental Factor Ranges'!$F$17,IF(E54&gt;='Environmental Factor Ranges'!$L$18,'Environmental Factor Ranges'!$F$18,IF(E54&gt;='Environmental Factor Ranges'!$L$19,'Environmental Factor Ranges'!$F$19,IF(E54&gt;='Environmental Factor Ranges'!$L$20,'Environmental Factor Ranges'!$F$20,'Environmental Factor Ranges'!$F$21))))))))))))</f>
        <v/>
      </c>
      <c r="H54" s="206" t="n"/>
      <c r="I54" s="202" t="n"/>
      <c r="K54" s="699" t="n"/>
    </row>
    <row r="55" ht="15.75" customHeight="1" s="685" thickBot="1">
      <c r="B55" s="696">
        <f>"Environmental  Factor-"&amp;B51</f>
        <v/>
      </c>
      <c r="C55" s="697" t="n"/>
      <c r="D55" s="697" t="n"/>
      <c r="E55" s="697" t="n"/>
      <c r="F55" s="695" t="n"/>
      <c r="G55" s="145" t="n"/>
      <c r="M55" s="134" t="n"/>
    </row>
    <row r="56" ht="12.75" customHeight="1" s="685">
      <c r="B56" s="692">
        <f>C54+F54</f>
        <v/>
      </c>
      <c r="C56" s="675" t="n"/>
      <c r="D56" s="675" t="n"/>
      <c r="E56" s="675" t="n"/>
      <c r="F56" s="676" t="n"/>
      <c r="K56" s="160" t="n"/>
    </row>
    <row r="57" ht="13.5" customHeight="1" s="685" thickBot="1">
      <c r="B57" s="693" t="n"/>
      <c r="C57" s="672" t="n"/>
      <c r="D57" s="672" t="n"/>
      <c r="E57" s="672" t="n"/>
      <c r="F57" s="673" t="n"/>
      <c r="H57" s="201" t="inlineStr">
        <is>
          <t>Environmental Factor</t>
        </is>
      </c>
      <c r="I57" s="208">
        <f>B56</f>
        <v/>
      </c>
    </row>
    <row r="58" ht="6" customHeight="1" s="685" thickBot="1"/>
    <row r="59" ht="15.75" customHeight="1" s="685" thickBot="1">
      <c r="B59" s="696">
        <f>'Scale Calculation'!C15</f>
        <v/>
      </c>
      <c r="C59" s="697" t="n"/>
      <c r="D59" s="697" t="n"/>
      <c r="E59" s="697" t="n"/>
      <c r="F59" s="695" t="n"/>
      <c r="G59" s="145" t="n"/>
      <c r="M59" s="134" t="n"/>
    </row>
    <row r="60" ht="15.75" customHeight="1" s="685" thickBot="1">
      <c r="B60" s="694">
        <f>$B$12</f>
        <v/>
      </c>
      <c r="C60" s="695" t="n"/>
      <c r="D60" s="174" t="n"/>
      <c r="E60" s="690" t="inlineStr">
        <is>
          <t>Economic Stress</t>
        </is>
      </c>
      <c r="F60" s="691" t="n"/>
    </row>
    <row r="61" ht="14.25" customFormat="1" customHeight="1" s="157">
      <c r="B61" s="155">
        <f>B13</f>
        <v/>
      </c>
      <c r="C61" s="156" t="inlineStr">
        <is>
          <t>Score</t>
        </is>
      </c>
      <c r="D61" s="175" t="n"/>
      <c r="E61" s="155" t="inlineStr">
        <is>
          <t>Actual</t>
        </is>
      </c>
      <c r="F61" s="156" t="inlineStr">
        <is>
          <t>Score</t>
        </is>
      </c>
      <c r="H61" s="205" t="n"/>
      <c r="I61" s="205" t="n"/>
      <c r="K61" s="699" t="n"/>
    </row>
    <row r="62" ht="15.75" customFormat="1" customHeight="1" s="134" thickBot="1">
      <c r="B62" s="243">
        <f>'Calc tab'!AI98</f>
        <v/>
      </c>
      <c r="C62" s="159">
        <f>IF(B62&gt;='Environmental Factor Ranges'!$J$9,'Environmental Factor Ranges'!$K$9,IF(B62&gt;='Environmental Factor Ranges'!$J$10,'Environmental Factor Ranges'!$K$10,IF(B62&gt;='Environmental Factor Ranges'!$J$11,'Environmental Factor Ranges'!$K$11,IF(B62&gt;='Environmental Factor Ranges'!$J$12,'Environmental Factor Ranges'!$K$12,IF(B62&gt;='Environmental Factor Ranges'!$J$13,'Environmental Factor Ranges'!$K$13,IF(B62&gt;='Environmental Factor Ranges'!$J$14,'Environmental Factor Ranges'!$K$14,IF(B62&gt;='Environmental Factor Ranges'!$J$15,'Environmental Factor Ranges'!$K$15,IF(B62&gt;='Environmental Factor Ranges'!$J$16,'Environmental Factor Ranges'!$K$16,IF(B62&gt;='Environmental Factor Ranges'!$J$17,'Environmental Factor Ranges'!$K$17,IF(B62&gt;='Environmental Factor Ranges'!$J$18,'Environmental Factor Ranges'!$K$18,IF(B62&gt;='Environmental Factor Ranges'!$J$19,'Environmental Factor Ranges'!$K$19,IF(B62&gt;='Environmental Factor Ranges'!$J$20,'Environmental Factor Ranges'!$K$20,IF(B62&gt;='Environmental Factor Ranges'!$J$21,'Environmental Factor Ranges'!$K$21,IF(B62&gt;='Environmental Factor Ranges'!$J$22,'Environmental Factor Ranges'!$K$22,IF(B62&gt;='Environmental Factor Ranges'!$J$23,'Environmental Factor Ranges'!$K$23,IF(B62&gt;='Environmental Factor Ranges'!$J$24,'Environmental Factor Ranges'!$K$24,'Environmental Factor Ranges'!$K$25))))))))))))))))</f>
        <v/>
      </c>
      <c r="D62" s="176" t="n"/>
      <c r="E62" s="158">
        <f>$F$9</f>
        <v/>
      </c>
      <c r="F62" s="159">
        <f>IF(E62&gt;='Environmental Factor Ranges'!$L$9,'Environmental Factor Ranges'!$F$9,IF(E62&gt;='Environmental Factor Ranges'!$L$10,'Environmental Factor Ranges'!$F$10,IF(E62&gt;='Environmental Factor Ranges'!$L$11,'Environmental Factor Ranges'!$F$11,IF(E62&gt;='Environmental Factor Ranges'!$L$12,'Environmental Factor Ranges'!$F$12,IF(E62&gt;='Environmental Factor Ranges'!$L$13,'Environmental Factor Ranges'!$F$13,IF(E62&gt;='Environmental Factor Ranges'!$L$14,'Environmental Factor Ranges'!$F$14,IF(E62&gt;='Environmental Factor Ranges'!$L$15,'Environmental Factor Ranges'!$F$15,IF(E62&gt;='Environmental Factor Ranges'!$L$16,'Environmental Factor Ranges'!$F$16,IF(E62&gt;='Environmental Factor Ranges'!$L$17,'Environmental Factor Ranges'!$F$17,IF(E62&gt;='Environmental Factor Ranges'!$L$18,'Environmental Factor Ranges'!$F$18,IF(E62&gt;='Environmental Factor Ranges'!$L$19,'Environmental Factor Ranges'!$F$19,IF(E62&gt;='Environmental Factor Ranges'!$L$20,'Environmental Factor Ranges'!$F$20,'Environmental Factor Ranges'!$F$21))))))))))))</f>
        <v/>
      </c>
      <c r="H62" s="206" t="n"/>
      <c r="I62" s="202" t="n"/>
      <c r="K62" s="699" t="n"/>
    </row>
    <row r="63" ht="15.75" customHeight="1" s="685" thickBot="1">
      <c r="B63" s="696">
        <f>"Environmental  Factor-"&amp;B59</f>
        <v/>
      </c>
      <c r="C63" s="697" t="n"/>
      <c r="D63" s="697" t="n"/>
      <c r="E63" s="697" t="n"/>
      <c r="F63" s="695" t="n"/>
      <c r="G63" s="145" t="n"/>
      <c r="M63" s="134" t="n"/>
    </row>
    <row r="64" ht="12.75" customHeight="1" s="685">
      <c r="B64" s="692">
        <f>C62+F62</f>
        <v/>
      </c>
      <c r="C64" s="675" t="n"/>
      <c r="D64" s="675" t="n"/>
      <c r="E64" s="675" t="n"/>
      <c r="F64" s="676" t="n"/>
      <c r="K64" s="160" t="n"/>
    </row>
    <row r="65" ht="13.5" customHeight="1" s="685" thickBot="1">
      <c r="B65" s="693" t="n"/>
      <c r="C65" s="672" t="n"/>
      <c r="D65" s="672" t="n"/>
      <c r="E65" s="672" t="n"/>
      <c r="F65" s="673" t="n"/>
      <c r="H65" s="201" t="inlineStr">
        <is>
          <t>Environmental Factor</t>
        </is>
      </c>
      <c r="I65" s="208">
        <f>B64</f>
        <v/>
      </c>
    </row>
    <row r="66" ht="6" customHeight="1" s="685" thickBot="1"/>
    <row r="67" ht="15.75" customHeight="1" s="685" thickBot="1">
      <c r="B67" s="696">
        <f>'Scale Calculation'!C16</f>
        <v/>
      </c>
      <c r="C67" s="697" t="n"/>
      <c r="D67" s="697" t="n"/>
      <c r="E67" s="697" t="n"/>
      <c r="F67" s="695" t="n"/>
      <c r="G67" s="145" t="n"/>
      <c r="M67" s="134" t="n"/>
    </row>
    <row r="68" ht="15.75" customHeight="1" s="685" thickBot="1">
      <c r="B68" s="694">
        <f>$B$12</f>
        <v/>
      </c>
      <c r="C68" s="695" t="n"/>
      <c r="D68" s="174" t="n"/>
      <c r="E68" s="690" t="inlineStr">
        <is>
          <t>Economic Stress</t>
        </is>
      </c>
      <c r="F68" s="691" t="n"/>
    </row>
    <row r="69" ht="14.25" customFormat="1" customHeight="1" s="157">
      <c r="B69" s="155">
        <f>B53</f>
        <v/>
      </c>
      <c r="C69" s="156" t="inlineStr">
        <is>
          <t>Score</t>
        </is>
      </c>
      <c r="D69" s="175" t="n"/>
      <c r="E69" s="155" t="inlineStr">
        <is>
          <t>Actual</t>
        </is>
      </c>
      <c r="F69" s="156" t="inlineStr">
        <is>
          <t>Score</t>
        </is>
      </c>
      <c r="H69" s="205" t="n"/>
      <c r="I69" s="205" t="n"/>
      <c r="K69" s="699" t="n"/>
    </row>
    <row r="70" ht="15.75" customFormat="1" customHeight="1" s="134" thickBot="1">
      <c r="B70" s="243">
        <f>'Calc tab'!AI99</f>
        <v/>
      </c>
      <c r="C70" s="159">
        <f>IF(B70&gt;='Environmental Factor Ranges'!$J$9,'Environmental Factor Ranges'!$K$9,IF(B70&gt;='Environmental Factor Ranges'!$J$10,'Environmental Factor Ranges'!$K$10,IF(B70&gt;='Environmental Factor Ranges'!$J$11,'Environmental Factor Ranges'!$K$11,IF(B70&gt;='Environmental Factor Ranges'!$J$12,'Environmental Factor Ranges'!$K$12,IF(B70&gt;='Environmental Factor Ranges'!$J$13,'Environmental Factor Ranges'!$K$13,IF(B70&gt;='Environmental Factor Ranges'!$J$14,'Environmental Factor Ranges'!$K$14,IF(B70&gt;='Environmental Factor Ranges'!$J$15,'Environmental Factor Ranges'!$K$15,IF(B70&gt;='Environmental Factor Ranges'!$J$16,'Environmental Factor Ranges'!$K$16,IF(B70&gt;='Environmental Factor Ranges'!$J$17,'Environmental Factor Ranges'!$K$17,IF(B70&gt;='Environmental Factor Ranges'!$J$18,'Environmental Factor Ranges'!$K$18,IF(B70&gt;='Environmental Factor Ranges'!$J$19,'Environmental Factor Ranges'!$K$19,IF(B70&gt;='Environmental Factor Ranges'!$J$20,'Environmental Factor Ranges'!$K$20,IF(B70&gt;='Environmental Factor Ranges'!$J$21,'Environmental Factor Ranges'!$K$21,IF(B70&gt;='Environmental Factor Ranges'!$J$22,'Environmental Factor Ranges'!$K$22,IF(B70&gt;='Environmental Factor Ranges'!$J$23,'Environmental Factor Ranges'!$K$23,IF(B70&gt;='Environmental Factor Ranges'!$J$24,'Environmental Factor Ranges'!$K$24,'Environmental Factor Ranges'!$K$25))))))))))))))))</f>
        <v/>
      </c>
      <c r="D70" s="176" t="n"/>
      <c r="E70" s="158">
        <f>$F$9</f>
        <v/>
      </c>
      <c r="F70" s="159">
        <f>IF(E70&gt;='Environmental Factor Ranges'!$L$9,'Environmental Factor Ranges'!$F$9,IF(E70&gt;='Environmental Factor Ranges'!$L$10,'Environmental Factor Ranges'!$F$10,IF(E70&gt;='Environmental Factor Ranges'!$L$11,'Environmental Factor Ranges'!$F$11,IF(E70&gt;='Environmental Factor Ranges'!$L$12,'Environmental Factor Ranges'!$F$12,IF(E70&gt;='Environmental Factor Ranges'!$L$13,'Environmental Factor Ranges'!$F$13,IF(E70&gt;='Environmental Factor Ranges'!$L$14,'Environmental Factor Ranges'!$F$14,IF(E70&gt;='Environmental Factor Ranges'!$L$15,'Environmental Factor Ranges'!$F$15,IF(E70&gt;='Environmental Factor Ranges'!$L$16,'Environmental Factor Ranges'!$F$16,IF(E70&gt;='Environmental Factor Ranges'!$L$17,'Environmental Factor Ranges'!$F$17,IF(E70&gt;='Environmental Factor Ranges'!$L$18,'Environmental Factor Ranges'!$F$18,IF(E70&gt;='Environmental Factor Ranges'!$L$19,'Environmental Factor Ranges'!$F$19,IF(E70&gt;='Environmental Factor Ranges'!$L$20,'Environmental Factor Ranges'!$F$20,'Environmental Factor Ranges'!$F$21))))))))))))</f>
        <v/>
      </c>
      <c r="H70" s="206" t="n"/>
      <c r="I70" s="202" t="n"/>
      <c r="K70" s="699" t="n"/>
    </row>
    <row r="71" ht="15.75" customHeight="1" s="685" thickBot="1">
      <c r="B71" s="696">
        <f>"Environmental  Factor-"&amp;B67</f>
        <v/>
      </c>
      <c r="C71" s="697" t="n"/>
      <c r="D71" s="697" t="n"/>
      <c r="E71" s="697" t="n"/>
      <c r="F71" s="695" t="n"/>
      <c r="G71" s="145" t="n"/>
      <c r="M71" s="134" t="n"/>
    </row>
    <row r="72" ht="12.75" customHeight="1" s="685">
      <c r="B72" s="692">
        <f>C70+F70</f>
        <v/>
      </c>
      <c r="C72" s="675" t="n"/>
      <c r="D72" s="675" t="n"/>
      <c r="E72" s="675" t="n"/>
      <c r="F72" s="676" t="n"/>
      <c r="K72" s="160" t="n"/>
    </row>
    <row r="73" ht="13.5" customHeight="1" s="685" thickBot="1">
      <c r="B73" s="693" t="n"/>
      <c r="C73" s="672" t="n"/>
      <c r="D73" s="672" t="n"/>
      <c r="E73" s="672" t="n"/>
      <c r="F73" s="673" t="n"/>
      <c r="H73" s="201" t="inlineStr">
        <is>
          <t>Environmental Factor</t>
        </is>
      </c>
      <c r="I73" s="208">
        <f>B72</f>
        <v/>
      </c>
    </row>
    <row r="74" ht="6" customFormat="1" customHeight="1" s="160" thickBot="1">
      <c r="H74" s="207" t="n"/>
      <c r="I74" s="207" t="n"/>
      <c r="K74" s="699" t="n"/>
    </row>
    <row r="75" ht="15.75" customHeight="1" s="685" thickBot="1">
      <c r="B75" s="696">
        <f>'Scale Calculation'!C17</f>
        <v/>
      </c>
      <c r="C75" s="697" t="n"/>
      <c r="D75" s="697" t="n"/>
      <c r="E75" s="697" t="n"/>
      <c r="F75" s="695" t="n"/>
      <c r="G75" s="145" t="n"/>
      <c r="M75" s="134" t="n"/>
    </row>
    <row r="76" ht="15.75" customHeight="1" s="685" thickBot="1">
      <c r="B76" s="694">
        <f>$B$12</f>
        <v/>
      </c>
      <c r="C76" s="695" t="n"/>
      <c r="D76" s="174" t="n"/>
      <c r="E76" s="690" t="inlineStr">
        <is>
          <t>Economic Stress</t>
        </is>
      </c>
      <c r="F76" s="691" t="n"/>
    </row>
    <row r="77" ht="14.25" customFormat="1" customHeight="1" s="157">
      <c r="B77" s="155">
        <f>B13</f>
        <v/>
      </c>
      <c r="C77" s="156" t="inlineStr">
        <is>
          <t>Score</t>
        </is>
      </c>
      <c r="D77" s="175" t="n"/>
      <c r="E77" s="155" t="inlineStr">
        <is>
          <t>Actual</t>
        </is>
      </c>
      <c r="F77" s="156" t="inlineStr">
        <is>
          <t>Score</t>
        </is>
      </c>
      <c r="H77" s="205" t="n"/>
      <c r="I77" s="205" t="n"/>
      <c r="K77" s="699" t="n"/>
    </row>
    <row r="78" ht="15.75" customFormat="1" customHeight="1" s="134" thickBot="1">
      <c r="B78" s="243">
        <f>'Calc tab'!AI100</f>
        <v/>
      </c>
      <c r="C78" s="159">
        <f>IF(B78&gt;='Environmental Factor Ranges'!$J$9,'Environmental Factor Ranges'!$K$9,IF(B78&gt;='Environmental Factor Ranges'!$J$10,'Environmental Factor Ranges'!$K$10,IF(B78&gt;='Environmental Factor Ranges'!$J$11,'Environmental Factor Ranges'!$K$11,IF(B78&gt;='Environmental Factor Ranges'!$J$12,'Environmental Factor Ranges'!$K$12,IF(B78&gt;='Environmental Factor Ranges'!$J$13,'Environmental Factor Ranges'!$K$13,IF(B78&gt;='Environmental Factor Ranges'!$J$14,'Environmental Factor Ranges'!$K$14,IF(B78&gt;='Environmental Factor Ranges'!$J$15,'Environmental Factor Ranges'!$K$15,IF(B78&gt;='Environmental Factor Ranges'!$J$16,'Environmental Factor Ranges'!$K$16,IF(B78&gt;='Environmental Factor Ranges'!$J$17,'Environmental Factor Ranges'!$K$17,IF(B78&gt;='Environmental Factor Ranges'!$J$18,'Environmental Factor Ranges'!$K$18,IF(B78&gt;='Environmental Factor Ranges'!$J$19,'Environmental Factor Ranges'!$K$19,IF(B78&gt;='Environmental Factor Ranges'!$J$20,'Environmental Factor Ranges'!$K$20,IF(B78&gt;='Environmental Factor Ranges'!$J$21,'Environmental Factor Ranges'!$K$21,IF(B78&gt;='Environmental Factor Ranges'!$J$22,'Environmental Factor Ranges'!$K$22,IF(B78&gt;='Environmental Factor Ranges'!$J$23,'Environmental Factor Ranges'!$K$23,IF(B78&gt;='Environmental Factor Ranges'!$J$24,'Environmental Factor Ranges'!$K$24,'Environmental Factor Ranges'!$K$25))))))))))))))))</f>
        <v/>
      </c>
      <c r="D78" s="176" t="n"/>
      <c r="E78" s="158">
        <f>$F$9</f>
        <v/>
      </c>
      <c r="F78" s="159">
        <f>IF(E78&gt;='Environmental Factor Ranges'!$L$9,'Environmental Factor Ranges'!$F$9,IF(E78&gt;='Environmental Factor Ranges'!$L$10,'Environmental Factor Ranges'!$F$10,IF(E78&gt;='Environmental Factor Ranges'!$L$11,'Environmental Factor Ranges'!$F$11,IF(E78&gt;='Environmental Factor Ranges'!$L$12,'Environmental Factor Ranges'!$F$12,IF(E78&gt;='Environmental Factor Ranges'!$L$13,'Environmental Factor Ranges'!$F$13,IF(E78&gt;='Environmental Factor Ranges'!$L$14,'Environmental Factor Ranges'!$F$14,IF(E78&gt;='Environmental Factor Ranges'!$L$15,'Environmental Factor Ranges'!$F$15,IF(E78&gt;='Environmental Factor Ranges'!$L$16,'Environmental Factor Ranges'!$F$16,IF(E78&gt;='Environmental Factor Ranges'!$L$17,'Environmental Factor Ranges'!$F$17,IF(E78&gt;='Environmental Factor Ranges'!$L$18,'Environmental Factor Ranges'!$F$18,IF(E78&gt;='Environmental Factor Ranges'!$L$19,'Environmental Factor Ranges'!$F$19,IF(E78&gt;='Environmental Factor Ranges'!$L$20,'Environmental Factor Ranges'!$F$20,'Environmental Factor Ranges'!$F$21))))))))))))</f>
        <v/>
      </c>
      <c r="H78" s="206" t="n"/>
      <c r="I78" s="202" t="n"/>
      <c r="K78" s="699" t="n"/>
    </row>
    <row r="79" ht="15.75" customHeight="1" s="685" thickBot="1">
      <c r="B79" s="696">
        <f>"Environmental  Factor-"&amp;B75</f>
        <v/>
      </c>
      <c r="C79" s="697" t="n"/>
      <c r="D79" s="697" t="n"/>
      <c r="E79" s="697" t="n"/>
      <c r="F79" s="695" t="n"/>
      <c r="G79" s="145" t="n"/>
      <c r="M79" s="134" t="n"/>
    </row>
    <row r="80" ht="12.75" customHeight="1" s="685">
      <c r="B80" s="692">
        <f>C78+F78</f>
        <v/>
      </c>
      <c r="C80" s="675" t="n"/>
      <c r="D80" s="675" t="n"/>
      <c r="E80" s="675" t="n"/>
      <c r="F80" s="676" t="n"/>
      <c r="K80" s="160" t="n"/>
    </row>
    <row r="81" ht="13.5" customHeight="1" s="685" thickBot="1">
      <c r="B81" s="693" t="n"/>
      <c r="C81" s="672" t="n"/>
      <c r="D81" s="672" t="n"/>
      <c r="E81" s="672" t="n"/>
      <c r="F81" s="673" t="n"/>
      <c r="H81" s="201" t="inlineStr">
        <is>
          <t>Environmental Factor</t>
        </is>
      </c>
      <c r="I81" s="208">
        <f>B80</f>
        <v/>
      </c>
    </row>
    <row r="82" ht="6" customHeight="1" s="685" thickBot="1"/>
    <row r="83" ht="15.75" customHeight="1" s="685" thickBot="1">
      <c r="B83" s="696">
        <f>'Scale Calculation'!C18</f>
        <v/>
      </c>
      <c r="C83" s="697" t="n"/>
      <c r="D83" s="697" t="n"/>
      <c r="E83" s="697" t="n"/>
      <c r="F83" s="695" t="n"/>
      <c r="G83" s="145" t="n"/>
      <c r="M83" s="134" t="n"/>
    </row>
    <row r="84" ht="15.75" customHeight="1" s="685" thickBot="1">
      <c r="B84" s="694">
        <f>$B$12</f>
        <v/>
      </c>
      <c r="C84" s="695" t="n"/>
      <c r="D84" s="174" t="n"/>
      <c r="E84" s="690" t="inlineStr">
        <is>
          <t>Economic Stress</t>
        </is>
      </c>
      <c r="F84" s="691" t="n"/>
    </row>
    <row r="85" ht="14.25" customFormat="1" customHeight="1" s="157">
      <c r="B85" s="155">
        <f>B13</f>
        <v/>
      </c>
      <c r="C85" s="156" t="inlineStr">
        <is>
          <t>Score</t>
        </is>
      </c>
      <c r="D85" s="175" t="n"/>
      <c r="E85" s="155" t="inlineStr">
        <is>
          <t>Actual</t>
        </is>
      </c>
      <c r="F85" s="156" t="inlineStr">
        <is>
          <t>Score</t>
        </is>
      </c>
      <c r="H85" s="205" t="n"/>
      <c r="I85" s="205" t="n"/>
      <c r="K85" s="699" t="n"/>
    </row>
    <row r="86" ht="15.75" customFormat="1" customHeight="1" s="134" thickBot="1">
      <c r="B86" s="243">
        <f>'Calc tab'!AI101</f>
        <v/>
      </c>
      <c r="C86" s="159">
        <f>IF(B86&gt;='Environmental Factor Ranges'!$J$9,'Environmental Factor Ranges'!$K$9,IF(B86&gt;='Environmental Factor Ranges'!$J$10,'Environmental Factor Ranges'!$K$10,IF(B86&gt;='Environmental Factor Ranges'!$J$11,'Environmental Factor Ranges'!$K$11,IF(B86&gt;='Environmental Factor Ranges'!$J$12,'Environmental Factor Ranges'!$K$12,IF(B86&gt;='Environmental Factor Ranges'!$J$13,'Environmental Factor Ranges'!$K$13,IF(B86&gt;='Environmental Factor Ranges'!$J$14,'Environmental Factor Ranges'!$K$14,IF(B86&gt;='Environmental Factor Ranges'!$J$15,'Environmental Factor Ranges'!$K$15,IF(B86&gt;='Environmental Factor Ranges'!$J$16,'Environmental Factor Ranges'!$K$16,IF(B86&gt;='Environmental Factor Ranges'!$J$17,'Environmental Factor Ranges'!$K$17,IF(B86&gt;='Environmental Factor Ranges'!$J$18,'Environmental Factor Ranges'!$K$18,IF(B86&gt;='Environmental Factor Ranges'!$J$19,'Environmental Factor Ranges'!$K$19,IF(B86&gt;='Environmental Factor Ranges'!$J$20,'Environmental Factor Ranges'!$K$20,IF(B86&gt;='Environmental Factor Ranges'!$J$21,'Environmental Factor Ranges'!$K$21,IF(B86&gt;='Environmental Factor Ranges'!$J$22,'Environmental Factor Ranges'!$K$22,IF(B86&gt;='Environmental Factor Ranges'!$J$23,'Environmental Factor Ranges'!$K$23,IF(B86&gt;='Environmental Factor Ranges'!$J$24,'Environmental Factor Ranges'!$K$24,'Environmental Factor Ranges'!$K$25))))))))))))))))</f>
        <v/>
      </c>
      <c r="D86" s="176" t="n"/>
      <c r="E86" s="158">
        <f>$F$9</f>
        <v/>
      </c>
      <c r="F86" s="159">
        <f>IF(E86&gt;='Environmental Factor Ranges'!$L$9,'Environmental Factor Ranges'!$F$9,IF(E86&gt;='Environmental Factor Ranges'!$L$10,'Environmental Factor Ranges'!$F$10,IF(E86&gt;='Environmental Factor Ranges'!$L$11,'Environmental Factor Ranges'!$F$11,IF(E86&gt;='Environmental Factor Ranges'!$L$12,'Environmental Factor Ranges'!$F$12,IF(E86&gt;='Environmental Factor Ranges'!$L$13,'Environmental Factor Ranges'!$F$13,IF(E86&gt;='Environmental Factor Ranges'!$L$14,'Environmental Factor Ranges'!$F$14,IF(E86&gt;='Environmental Factor Ranges'!$L$15,'Environmental Factor Ranges'!$F$15,IF(E86&gt;='Environmental Factor Ranges'!$L$16,'Environmental Factor Ranges'!$F$16,IF(E86&gt;='Environmental Factor Ranges'!$L$17,'Environmental Factor Ranges'!$F$17,IF(E86&gt;='Environmental Factor Ranges'!$L$18,'Environmental Factor Ranges'!$F$18,IF(E86&gt;='Environmental Factor Ranges'!$L$19,'Environmental Factor Ranges'!$F$19,IF(E86&gt;='Environmental Factor Ranges'!$L$20,'Environmental Factor Ranges'!$F$20,'Environmental Factor Ranges'!$F$21))))))))))))</f>
        <v/>
      </c>
      <c r="H86" s="206" t="n"/>
      <c r="I86" s="202" t="n"/>
      <c r="K86" s="699" t="n"/>
    </row>
    <row r="87" ht="15.75" customHeight="1" s="685" thickBot="1">
      <c r="B87" s="696">
        <f>"Environmental  Factor-"&amp;B83</f>
        <v/>
      </c>
      <c r="C87" s="697" t="n"/>
      <c r="D87" s="697" t="n"/>
      <c r="E87" s="697" t="n"/>
      <c r="F87" s="695" t="n"/>
      <c r="G87" s="145" t="n"/>
      <c r="M87" s="134" t="n"/>
    </row>
    <row r="88" ht="12.75" customHeight="1" s="685">
      <c r="B88" s="692">
        <f>C86+F86</f>
        <v/>
      </c>
      <c r="C88" s="675" t="n"/>
      <c r="D88" s="675" t="n"/>
      <c r="E88" s="675" t="n"/>
      <c r="F88" s="676" t="n"/>
      <c r="K88" s="160" t="n"/>
    </row>
    <row r="89" ht="13.5" customHeight="1" s="685" thickBot="1">
      <c r="B89" s="693" t="n"/>
      <c r="C89" s="672" t="n"/>
      <c r="D89" s="672" t="n"/>
      <c r="E89" s="672" t="n"/>
      <c r="F89" s="673" t="n"/>
      <c r="H89" s="201" t="inlineStr">
        <is>
          <t>Environmental Factor</t>
        </is>
      </c>
      <c r="I89" s="208">
        <f>B88</f>
        <v/>
      </c>
    </row>
    <row r="90" ht="6" customHeight="1" s="685" thickBot="1"/>
    <row r="91" ht="15.75" customHeight="1" s="685" thickBot="1">
      <c r="B91" s="696">
        <f>'Scale Calculation'!C19</f>
        <v/>
      </c>
      <c r="C91" s="697" t="n"/>
      <c r="D91" s="697" t="n"/>
      <c r="E91" s="697" t="n"/>
      <c r="F91" s="695" t="n"/>
      <c r="G91" s="145" t="n"/>
      <c r="M91" s="134" t="n"/>
    </row>
    <row r="92" ht="15.75" customHeight="1" s="685" thickBot="1">
      <c r="B92" s="694">
        <f>$B$12</f>
        <v/>
      </c>
      <c r="C92" s="695" t="n"/>
      <c r="D92" s="174" t="n"/>
      <c r="E92" s="690" t="inlineStr">
        <is>
          <t>Economic Stress</t>
        </is>
      </c>
      <c r="F92" s="691" t="n"/>
    </row>
    <row r="93" ht="14.25" customFormat="1" customHeight="1" s="157">
      <c r="B93" s="155">
        <f>B13</f>
        <v/>
      </c>
      <c r="C93" s="156" t="inlineStr">
        <is>
          <t>Score</t>
        </is>
      </c>
      <c r="D93" s="175" t="n"/>
      <c r="E93" s="155" t="inlineStr">
        <is>
          <t>Actual</t>
        </is>
      </c>
      <c r="F93" s="156" t="inlineStr">
        <is>
          <t>Score</t>
        </is>
      </c>
      <c r="H93" s="205" t="n"/>
      <c r="I93" s="205" t="n"/>
      <c r="K93" s="699" t="n"/>
    </row>
    <row r="94" ht="15.75" customFormat="1" customHeight="1" s="134" thickBot="1">
      <c r="B94" s="243">
        <f>'Calc tab'!AI102</f>
        <v/>
      </c>
      <c r="C94" s="159">
        <f>IF(B94&gt;='Environmental Factor Ranges'!$J$9,'Environmental Factor Ranges'!$K$9,IF(B94&gt;='Environmental Factor Ranges'!$J$10,'Environmental Factor Ranges'!$K$10,IF(B94&gt;='Environmental Factor Ranges'!$J$11,'Environmental Factor Ranges'!$K$11,IF(B94&gt;='Environmental Factor Ranges'!$J$12,'Environmental Factor Ranges'!$K$12,IF(B94&gt;='Environmental Factor Ranges'!$J$13,'Environmental Factor Ranges'!$K$13,IF(B94&gt;='Environmental Factor Ranges'!$J$14,'Environmental Factor Ranges'!$K$14,IF(B94&gt;='Environmental Factor Ranges'!$J$15,'Environmental Factor Ranges'!$K$15,IF(B94&gt;='Environmental Factor Ranges'!$J$16,'Environmental Factor Ranges'!$K$16,IF(B94&gt;='Environmental Factor Ranges'!$J$17,'Environmental Factor Ranges'!$K$17,IF(B94&gt;='Environmental Factor Ranges'!$J$18,'Environmental Factor Ranges'!$K$18,IF(B94&gt;='Environmental Factor Ranges'!$J$19,'Environmental Factor Ranges'!$K$19,IF(B94&gt;='Environmental Factor Ranges'!$J$20,'Environmental Factor Ranges'!$K$20,IF(B94&gt;='Environmental Factor Ranges'!$J$21,'Environmental Factor Ranges'!$K$21,IF(B94&gt;='Environmental Factor Ranges'!$J$22,'Environmental Factor Ranges'!$K$22,IF(B94&gt;='Environmental Factor Ranges'!$J$23,'Environmental Factor Ranges'!$K$23,IF(B94&gt;='Environmental Factor Ranges'!$J$24,'Environmental Factor Ranges'!$K$24,'Environmental Factor Ranges'!$K$25))))))))))))))))</f>
        <v/>
      </c>
      <c r="D94" s="176" t="n"/>
      <c r="E94" s="158">
        <f>$F$9</f>
        <v/>
      </c>
      <c r="F94" s="159">
        <f>IF(E94&gt;='Environmental Factor Ranges'!$L$9,'Environmental Factor Ranges'!$F$9,IF(E94&gt;='Environmental Factor Ranges'!$L$10,'Environmental Factor Ranges'!$F$10,IF(E94&gt;='Environmental Factor Ranges'!$L$11,'Environmental Factor Ranges'!$F$11,IF(E94&gt;='Environmental Factor Ranges'!$L$12,'Environmental Factor Ranges'!$F$12,IF(E94&gt;='Environmental Factor Ranges'!$L$13,'Environmental Factor Ranges'!$F$13,IF(E94&gt;='Environmental Factor Ranges'!$L$14,'Environmental Factor Ranges'!$F$14,IF(E94&gt;='Environmental Factor Ranges'!$L$15,'Environmental Factor Ranges'!$F$15,IF(E94&gt;='Environmental Factor Ranges'!$L$16,'Environmental Factor Ranges'!$F$16,IF(E94&gt;='Environmental Factor Ranges'!$L$17,'Environmental Factor Ranges'!$F$17,IF(E94&gt;='Environmental Factor Ranges'!$L$18,'Environmental Factor Ranges'!$F$18,IF(E94&gt;='Environmental Factor Ranges'!$L$19,'Environmental Factor Ranges'!$F$19,IF(E94&gt;='Environmental Factor Ranges'!$L$20,'Environmental Factor Ranges'!$F$20,'Environmental Factor Ranges'!$F$21))))))))))))</f>
        <v/>
      </c>
      <c r="H94" s="206" t="n"/>
      <c r="I94" s="202" t="n"/>
      <c r="K94" s="699" t="n"/>
    </row>
    <row r="95" ht="15.75" customHeight="1" s="685" thickBot="1">
      <c r="B95" s="696">
        <f>"Environmental  Factor-"&amp;B91</f>
        <v/>
      </c>
      <c r="C95" s="697" t="n"/>
      <c r="D95" s="697" t="n"/>
      <c r="E95" s="697" t="n"/>
      <c r="F95" s="695" t="n"/>
      <c r="G95" s="145" t="n"/>
      <c r="M95" s="134" t="n"/>
    </row>
    <row r="96" ht="12.75" customHeight="1" s="685">
      <c r="B96" s="692">
        <f>C94+F94</f>
        <v/>
      </c>
      <c r="C96" s="675" t="n"/>
      <c r="D96" s="675" t="n"/>
      <c r="E96" s="675" t="n"/>
      <c r="F96" s="676" t="n"/>
      <c r="K96" s="160" t="n"/>
    </row>
    <row r="97" ht="13.5" customHeight="1" s="685" thickBot="1">
      <c r="B97" s="693" t="n"/>
      <c r="C97" s="672" t="n"/>
      <c r="D97" s="672" t="n"/>
      <c r="E97" s="672" t="n"/>
      <c r="F97" s="673" t="n"/>
      <c r="H97" s="201" t="inlineStr">
        <is>
          <t>Environmental Factor</t>
        </is>
      </c>
      <c r="I97" s="208">
        <f>B96</f>
        <v/>
      </c>
    </row>
    <row r="98" hidden="1" s="685"/>
    <row r="99" ht="6" customHeight="1" s="685" thickBot="1"/>
    <row r="100" hidden="1" ht="15.75" customHeight="1" s="685" thickBot="1">
      <c r="B100" s="696">
        <f>'Scale Calculation'!#REF!</f>
        <v/>
      </c>
      <c r="C100" s="697" t="n"/>
      <c r="D100" s="697" t="n"/>
      <c r="E100" s="697" t="n"/>
      <c r="F100" s="695" t="n"/>
      <c r="G100" s="145" t="n"/>
      <c r="M100" s="134" t="n"/>
    </row>
    <row r="101" hidden="1" ht="15.75" customHeight="1" s="685" thickBot="1">
      <c r="B101" s="694" t="inlineStr">
        <is>
          <t>Delinquency</t>
        </is>
      </c>
      <c r="C101" s="695" t="n"/>
      <c r="D101" s="174" t="n"/>
      <c r="E101" s="690" t="inlineStr">
        <is>
          <t>Economic Stress</t>
        </is>
      </c>
      <c r="F101" s="691" t="n"/>
    </row>
    <row r="102" hidden="1" ht="15" customFormat="1" customHeight="1" s="157" thickBot="1">
      <c r="B102" s="155" t="inlineStr">
        <is>
          <t>Actual</t>
        </is>
      </c>
      <c r="C102" s="156" t="inlineStr">
        <is>
          <t>Score</t>
        </is>
      </c>
      <c r="D102" s="175" t="n"/>
      <c r="E102" s="155" t="inlineStr">
        <is>
          <t>Actual</t>
        </is>
      </c>
      <c r="F102" s="156" t="inlineStr">
        <is>
          <t>Score</t>
        </is>
      </c>
      <c r="H102" s="205" t="n"/>
      <c r="I102" s="205" t="n"/>
      <c r="K102" s="699" t="n"/>
    </row>
    <row r="103" hidden="1" ht="15.75" customFormat="1" customHeight="1" s="134" thickBot="1">
      <c r="B103" s="181" t="n"/>
      <c r="C103" s="159">
        <f>IF(B103&gt;='Environmental Factor Ranges'!#REF!,'Environmental Factor Ranges'!#REF!,IF(B103&gt;='Environmental Factor Ranges'!#REF!,'Environmental Factor Ranges'!#REF!,IF(B103&gt;='Environmental Factor Ranges'!#REF!,'Environmental Factor Ranges'!#REF!,IF(B103&gt;='Environmental Factor Ranges'!#REF!,'Environmental Factor Ranges'!#REF!,IF(B103&gt;='Environmental Factor Ranges'!#REF!,'Environmental Factor Ranges'!#REF!,IF(B103&gt;='Environmental Factor Ranges'!#REF!,'Environmental Factor Ranges'!#REF!,IF(B103&gt;='Environmental Factor Ranges'!#REF!,'Environmental Factor Ranges'!#REF!,IF(B103&gt;='Environmental Factor Ranges'!#REF!,'Environmental Factor Ranges'!#REF!,IF(B103&gt;='Environmental Factor Ranges'!#REF!,'Environmental Factor Ranges'!#REF!,IF(B103&gt;='Environmental Factor Ranges'!#REF!,'Environmental Factor Ranges'!#REF!,IF(B103&gt;='Environmental Factor Ranges'!#REF!,'Environmental Factor Ranges'!#REF!,IF(B103&gt;='Environmental Factor Ranges'!#REF!,'Environmental Factor Ranges'!#REF!,'Environmental Factor Ranges'!#REF!))))))))))))</f>
        <v/>
      </c>
      <c r="D103" s="176" t="n"/>
      <c r="E103" s="158">
        <f>$F$9</f>
        <v/>
      </c>
      <c r="F103" s="159">
        <f>IF(E103&gt;='Environmental Factor Ranges'!$L$9,'Environmental Factor Ranges'!$F$9,IF(E103&gt;='Environmental Factor Ranges'!$L$10,'Environmental Factor Ranges'!$F$10,IF(E103&gt;='Environmental Factor Ranges'!$L$11,'Environmental Factor Ranges'!$F$11,IF(E103&gt;='Environmental Factor Ranges'!$L$12,'Environmental Factor Ranges'!$F$12,IF(E103&gt;='Environmental Factor Ranges'!$L$13,'Environmental Factor Ranges'!$F$13,IF(E103&gt;='Environmental Factor Ranges'!$L$14,'Environmental Factor Ranges'!$F$14,IF(E103&gt;='Environmental Factor Ranges'!$L$15,'Environmental Factor Ranges'!$F$15,IF(E103&gt;='Environmental Factor Ranges'!$L$16,'Environmental Factor Ranges'!$F$16,IF(E103&gt;='Environmental Factor Ranges'!$L$17,'Environmental Factor Ranges'!$F$17,IF(E103&gt;='Environmental Factor Ranges'!$L$18,'Environmental Factor Ranges'!$F$18,IF(E103&gt;='Environmental Factor Ranges'!$L$19,'Environmental Factor Ranges'!$F$19,IF(E103&gt;='Environmental Factor Ranges'!$L$20,'Environmental Factor Ranges'!$F$20,'Environmental Factor Ranges'!$F$21))))))))))))</f>
        <v/>
      </c>
      <c r="H103" s="206" t="n"/>
      <c r="I103" s="202" t="n"/>
      <c r="K103" s="699" t="n"/>
    </row>
    <row r="104" hidden="1" ht="15.75" customHeight="1" s="685" thickBot="1">
      <c r="B104" s="696">
        <f>"Environmental  Factor-"&amp;B100</f>
        <v/>
      </c>
      <c r="C104" s="697" t="n"/>
      <c r="D104" s="697" t="n"/>
      <c r="E104" s="697" t="n"/>
      <c r="F104" s="695" t="n"/>
      <c r="G104" s="145" t="n"/>
      <c r="M104" s="134" t="n"/>
    </row>
    <row r="105" hidden="1" ht="12.75" customHeight="1" s="685">
      <c r="B105" s="692">
        <f>C103+F103</f>
        <v/>
      </c>
      <c r="C105" s="675" t="n"/>
      <c r="D105" s="675" t="n"/>
      <c r="E105" s="675" t="n"/>
      <c r="F105" s="676" t="n"/>
      <c r="K105" s="160" t="n"/>
    </row>
    <row r="106" hidden="1" ht="13.5" customHeight="1" s="685" thickBot="1">
      <c r="B106" s="693" t="n"/>
      <c r="C106" s="672" t="n"/>
      <c r="D106" s="672" t="n"/>
      <c r="E106" s="672" t="n"/>
      <c r="F106" s="673" t="n"/>
      <c r="H106" s="201" t="inlineStr">
        <is>
          <t>Environmental Factor</t>
        </is>
      </c>
      <c r="I106" s="208">
        <f>B105</f>
        <v/>
      </c>
    </row>
    <row r="107" hidden="1" ht="6" customHeight="1" s="685" thickBot="1"/>
    <row r="108" hidden="1" ht="15.75" customHeight="1" s="685" thickBot="1">
      <c r="B108" s="696">
        <f>'Scale Calculation'!#REF!</f>
        <v/>
      </c>
      <c r="C108" s="697" t="n"/>
      <c r="D108" s="697" t="n"/>
      <c r="E108" s="697" t="n"/>
      <c r="F108" s="695" t="n"/>
      <c r="G108" s="145" t="n"/>
      <c r="M108" s="134" t="n"/>
    </row>
    <row r="109" hidden="1" ht="15.75" customHeight="1" s="685" thickBot="1">
      <c r="B109" s="694" t="inlineStr">
        <is>
          <t>Delinquency</t>
        </is>
      </c>
      <c r="C109" s="695" t="n"/>
      <c r="D109" s="174" t="n"/>
      <c r="E109" s="690" t="inlineStr">
        <is>
          <t>Economic Stress</t>
        </is>
      </c>
      <c r="F109" s="691" t="n"/>
    </row>
    <row r="110" hidden="1" ht="15" customFormat="1" customHeight="1" s="157" thickBot="1">
      <c r="B110" s="155" t="inlineStr">
        <is>
          <t>Actual</t>
        </is>
      </c>
      <c r="C110" s="156" t="inlineStr">
        <is>
          <t>Score</t>
        </is>
      </c>
      <c r="D110" s="175" t="n"/>
      <c r="E110" s="155" t="inlineStr">
        <is>
          <t>Actual</t>
        </is>
      </c>
      <c r="F110" s="156" t="inlineStr">
        <is>
          <t>Score</t>
        </is>
      </c>
      <c r="H110" s="205" t="n"/>
      <c r="I110" s="205" t="n"/>
      <c r="K110" s="699" t="n"/>
    </row>
    <row r="111" hidden="1" ht="15.75" customFormat="1" customHeight="1" s="134" thickBot="1">
      <c r="B111" s="181" t="n"/>
      <c r="C111" s="159">
        <f>IF(B111&gt;='Environmental Factor Ranges'!#REF!,'Environmental Factor Ranges'!#REF!,IF(B111&gt;='Environmental Factor Ranges'!#REF!,'Environmental Factor Ranges'!#REF!,IF(B111&gt;='Environmental Factor Ranges'!#REF!,'Environmental Factor Ranges'!#REF!,IF(B111&gt;='Environmental Factor Ranges'!#REF!,'Environmental Factor Ranges'!#REF!,IF(B111&gt;='Environmental Factor Ranges'!#REF!,'Environmental Factor Ranges'!#REF!,IF(B111&gt;='Environmental Factor Ranges'!#REF!,'Environmental Factor Ranges'!#REF!,IF(B111&gt;='Environmental Factor Ranges'!#REF!,'Environmental Factor Ranges'!#REF!,IF(B111&gt;='Environmental Factor Ranges'!#REF!,'Environmental Factor Ranges'!#REF!,IF(B111&gt;='Environmental Factor Ranges'!#REF!,'Environmental Factor Ranges'!#REF!,IF(B111&gt;='Environmental Factor Ranges'!#REF!,'Environmental Factor Ranges'!#REF!,IF(B111&gt;='Environmental Factor Ranges'!#REF!,'Environmental Factor Ranges'!#REF!,IF(B111&gt;='Environmental Factor Ranges'!#REF!,'Environmental Factor Ranges'!#REF!,'Environmental Factor Ranges'!#REF!))))))))))))</f>
        <v/>
      </c>
      <c r="D111" s="176" t="n"/>
      <c r="E111" s="158">
        <f>$F$9</f>
        <v/>
      </c>
      <c r="F111" s="159">
        <f>IF(E111&gt;='Environmental Factor Ranges'!$L$9,'Environmental Factor Ranges'!$F$9,IF(E111&gt;='Environmental Factor Ranges'!$L$10,'Environmental Factor Ranges'!$F$10,IF(E111&gt;='Environmental Factor Ranges'!$L$11,'Environmental Factor Ranges'!$F$11,IF(E111&gt;='Environmental Factor Ranges'!$L$12,'Environmental Factor Ranges'!$F$12,IF(E111&gt;='Environmental Factor Ranges'!$L$13,'Environmental Factor Ranges'!$F$13,IF(E111&gt;='Environmental Factor Ranges'!$L$14,'Environmental Factor Ranges'!$F$14,IF(E111&gt;='Environmental Factor Ranges'!$L$15,'Environmental Factor Ranges'!$F$15,IF(E111&gt;='Environmental Factor Ranges'!$L$16,'Environmental Factor Ranges'!$F$16,IF(E111&gt;='Environmental Factor Ranges'!$L$17,'Environmental Factor Ranges'!$F$17,IF(E111&gt;='Environmental Factor Ranges'!$L$18,'Environmental Factor Ranges'!$F$18,IF(E111&gt;='Environmental Factor Ranges'!$L$19,'Environmental Factor Ranges'!$F$19,IF(E111&gt;='Environmental Factor Ranges'!$L$20,'Environmental Factor Ranges'!$F$20,'Environmental Factor Ranges'!$F$21))))))))))))</f>
        <v/>
      </c>
      <c r="H111" s="206" t="n"/>
      <c r="I111" s="202" t="n"/>
      <c r="K111" s="699" t="n"/>
    </row>
    <row r="112" hidden="1" ht="15.75" customHeight="1" s="685" thickBot="1">
      <c r="B112" s="696">
        <f>"Environmental  Factor-"&amp;B108</f>
        <v/>
      </c>
      <c r="C112" s="697" t="n"/>
      <c r="D112" s="697" t="n"/>
      <c r="E112" s="697" t="n"/>
      <c r="F112" s="695" t="n"/>
      <c r="G112" s="145" t="n"/>
      <c r="M112" s="134" t="n"/>
    </row>
    <row r="113" hidden="1" ht="12.75" customHeight="1" s="685">
      <c r="B113" s="692">
        <f>C111+F111</f>
        <v/>
      </c>
      <c r="C113" s="675" t="n"/>
      <c r="D113" s="675" t="n"/>
      <c r="E113" s="675" t="n"/>
      <c r="F113" s="676" t="n"/>
      <c r="K113" s="160" t="n"/>
    </row>
    <row r="114" hidden="1" ht="13.5" customHeight="1" s="685" thickBot="1">
      <c r="B114" s="693" t="n"/>
      <c r="C114" s="672" t="n"/>
      <c r="D114" s="672" t="n"/>
      <c r="E114" s="672" t="n"/>
      <c r="F114" s="673" t="n"/>
      <c r="H114" s="201" t="inlineStr">
        <is>
          <t>Environmental Factor</t>
        </is>
      </c>
      <c r="I114" s="208">
        <f>B113</f>
        <v/>
      </c>
    </row>
    <row r="115" hidden="1" ht="6" customHeight="1" s="685" thickBot="1"/>
    <row r="116" hidden="1" ht="15.75" customHeight="1" s="685" thickBot="1">
      <c r="B116" s="696">
        <f>'Scale Calculation'!#REF!</f>
        <v/>
      </c>
      <c r="C116" s="697" t="n"/>
      <c r="D116" s="697" t="n"/>
      <c r="E116" s="697" t="n"/>
      <c r="F116" s="695" t="n"/>
      <c r="G116" s="145" t="n"/>
      <c r="M116" s="134" t="n"/>
    </row>
    <row r="117" hidden="1" ht="15.75" customHeight="1" s="685" thickBot="1">
      <c r="B117" s="694" t="inlineStr">
        <is>
          <t>Delinquency</t>
        </is>
      </c>
      <c r="C117" s="695" t="n"/>
      <c r="D117" s="174" t="n"/>
      <c r="E117" s="690" t="inlineStr">
        <is>
          <t>Economic Stress</t>
        </is>
      </c>
      <c r="F117" s="691" t="n"/>
    </row>
    <row r="118" hidden="1" ht="15" customFormat="1" customHeight="1" s="157" thickBot="1">
      <c r="B118" s="155" t="inlineStr">
        <is>
          <t>Actual</t>
        </is>
      </c>
      <c r="C118" s="156" t="inlineStr">
        <is>
          <t>Score</t>
        </is>
      </c>
      <c r="D118" s="175" t="n"/>
      <c r="E118" s="155" t="inlineStr">
        <is>
          <t>Actual</t>
        </is>
      </c>
      <c r="F118" s="156" t="inlineStr">
        <is>
          <t>Score</t>
        </is>
      </c>
      <c r="H118" s="205" t="n"/>
      <c r="I118" s="205" t="n"/>
      <c r="K118" s="699" t="n"/>
    </row>
    <row r="119" hidden="1" ht="15.75" customFormat="1" customHeight="1" s="134" thickBot="1">
      <c r="B119" s="181" t="n"/>
      <c r="C119" s="159">
        <f>IF(B119&gt;='Environmental Factor Ranges'!#REF!,'Environmental Factor Ranges'!#REF!,IF(B119&gt;='Environmental Factor Ranges'!#REF!,'Environmental Factor Ranges'!#REF!,IF(B119&gt;='Environmental Factor Ranges'!#REF!,'Environmental Factor Ranges'!#REF!,IF(B119&gt;='Environmental Factor Ranges'!#REF!,'Environmental Factor Ranges'!#REF!,IF(B119&gt;='Environmental Factor Ranges'!#REF!,'Environmental Factor Ranges'!#REF!,IF(B119&gt;='Environmental Factor Ranges'!#REF!,'Environmental Factor Ranges'!#REF!,IF(B119&gt;='Environmental Factor Ranges'!#REF!,'Environmental Factor Ranges'!#REF!,IF(B119&gt;='Environmental Factor Ranges'!#REF!,'Environmental Factor Ranges'!#REF!,IF(B119&gt;='Environmental Factor Ranges'!#REF!,'Environmental Factor Ranges'!#REF!,IF(B119&gt;='Environmental Factor Ranges'!#REF!,'Environmental Factor Ranges'!#REF!,IF(B119&gt;='Environmental Factor Ranges'!#REF!,'Environmental Factor Ranges'!#REF!,IF(B119&gt;='Environmental Factor Ranges'!#REF!,'Environmental Factor Ranges'!#REF!,'Environmental Factor Ranges'!#REF!))))))))))))</f>
        <v/>
      </c>
      <c r="D119" s="176" t="n"/>
      <c r="E119" s="158">
        <f>$F$9</f>
        <v/>
      </c>
      <c r="F119" s="159">
        <f>IF(E119&gt;='Environmental Factor Ranges'!$L$9,'Environmental Factor Ranges'!$F$9,IF(E119&gt;='Environmental Factor Ranges'!$L$10,'Environmental Factor Ranges'!$F$10,IF(E119&gt;='Environmental Factor Ranges'!$L$11,'Environmental Factor Ranges'!$F$11,IF(E119&gt;='Environmental Factor Ranges'!$L$12,'Environmental Factor Ranges'!$F$12,IF(E119&gt;='Environmental Factor Ranges'!$L$13,'Environmental Factor Ranges'!$F$13,IF(E119&gt;='Environmental Factor Ranges'!$L$14,'Environmental Factor Ranges'!$F$14,IF(E119&gt;='Environmental Factor Ranges'!$L$15,'Environmental Factor Ranges'!$F$15,IF(E119&gt;='Environmental Factor Ranges'!$L$16,'Environmental Factor Ranges'!$F$16,IF(E119&gt;='Environmental Factor Ranges'!$L$17,'Environmental Factor Ranges'!$F$17,IF(E119&gt;='Environmental Factor Ranges'!$L$18,'Environmental Factor Ranges'!$F$18,IF(E119&gt;='Environmental Factor Ranges'!$L$19,'Environmental Factor Ranges'!$F$19,IF(E119&gt;='Environmental Factor Ranges'!$L$20,'Environmental Factor Ranges'!$F$20,'Environmental Factor Ranges'!$F$21))))))))))))</f>
        <v/>
      </c>
      <c r="H119" s="206" t="n"/>
      <c r="I119" s="202" t="n"/>
      <c r="K119" s="699" t="n"/>
    </row>
    <row r="120" hidden="1" ht="15.75" customHeight="1" s="685" thickBot="1">
      <c r="B120" s="696">
        <f>"Environmental  Factor-"&amp;B116</f>
        <v/>
      </c>
      <c r="C120" s="697" t="n"/>
      <c r="D120" s="697" t="n"/>
      <c r="E120" s="697" t="n"/>
      <c r="F120" s="695" t="n"/>
      <c r="G120" s="145" t="n"/>
      <c r="M120" s="134" t="n"/>
    </row>
    <row r="121" hidden="1" ht="12.75" customHeight="1" s="685">
      <c r="B121" s="692">
        <f>C119+F119</f>
        <v/>
      </c>
      <c r="C121" s="675" t="n"/>
      <c r="D121" s="675" t="n"/>
      <c r="E121" s="675" t="n"/>
      <c r="F121" s="676" t="n"/>
      <c r="K121" s="160" t="n"/>
    </row>
    <row r="122" hidden="1" ht="13.5" customHeight="1" s="685" thickBot="1">
      <c r="B122" s="693" t="n"/>
      <c r="C122" s="672" t="n"/>
      <c r="D122" s="672" t="n"/>
      <c r="E122" s="672" t="n"/>
      <c r="F122" s="673" t="n"/>
      <c r="H122" s="201" t="inlineStr">
        <is>
          <t>Environmental Factor</t>
        </is>
      </c>
      <c r="I122" s="208">
        <f>B121</f>
        <v/>
      </c>
    </row>
    <row r="123" hidden="1" ht="6" customHeight="1" s="685" thickBot="1"/>
    <row r="124" hidden="1" ht="15.75" customHeight="1" s="685" thickBot="1">
      <c r="B124" s="696">
        <f>'Scale Calculation'!#REF!</f>
        <v/>
      </c>
      <c r="C124" s="697" t="n"/>
      <c r="D124" s="697" t="n"/>
      <c r="E124" s="697" t="n"/>
      <c r="F124" s="695" t="n"/>
      <c r="G124" s="145" t="n"/>
      <c r="M124" s="134" t="n"/>
    </row>
    <row r="125" hidden="1" ht="15.75" customHeight="1" s="685" thickBot="1">
      <c r="B125" s="694" t="inlineStr">
        <is>
          <t>Delinquency</t>
        </is>
      </c>
      <c r="C125" s="695" t="n"/>
      <c r="D125" s="174" t="n"/>
      <c r="E125" s="690" t="inlineStr">
        <is>
          <t>Economic Stress</t>
        </is>
      </c>
      <c r="F125" s="691" t="n"/>
    </row>
    <row r="126" hidden="1" ht="15" customFormat="1" customHeight="1" s="157" thickBot="1">
      <c r="B126" s="155" t="inlineStr">
        <is>
          <t>Actual</t>
        </is>
      </c>
      <c r="C126" s="156" t="inlineStr">
        <is>
          <t>Score</t>
        </is>
      </c>
      <c r="D126" s="175" t="n"/>
      <c r="E126" s="155" t="inlineStr">
        <is>
          <t>Actual</t>
        </is>
      </c>
      <c r="F126" s="156" t="inlineStr">
        <is>
          <t>Score</t>
        </is>
      </c>
      <c r="H126" s="205" t="n"/>
      <c r="I126" s="205" t="n"/>
      <c r="K126" s="699" t="n"/>
    </row>
    <row r="127" hidden="1" ht="15.75" customFormat="1" customHeight="1" s="134" thickBot="1">
      <c r="B127" s="181" t="n"/>
      <c r="C127" s="159">
        <f>IF(B127&gt;='Environmental Factor Ranges'!#REF!,'Environmental Factor Ranges'!#REF!,IF(B127&gt;='Environmental Factor Ranges'!#REF!,'Environmental Factor Ranges'!#REF!,IF(B127&gt;='Environmental Factor Ranges'!#REF!,'Environmental Factor Ranges'!#REF!,IF(B127&gt;='Environmental Factor Ranges'!#REF!,'Environmental Factor Ranges'!#REF!,IF(B127&gt;='Environmental Factor Ranges'!#REF!,'Environmental Factor Ranges'!#REF!,IF(B127&gt;='Environmental Factor Ranges'!#REF!,'Environmental Factor Ranges'!#REF!,IF(B127&gt;='Environmental Factor Ranges'!#REF!,'Environmental Factor Ranges'!#REF!,IF(B127&gt;='Environmental Factor Ranges'!#REF!,'Environmental Factor Ranges'!#REF!,IF(B127&gt;='Environmental Factor Ranges'!#REF!,'Environmental Factor Ranges'!#REF!,IF(B127&gt;='Environmental Factor Ranges'!#REF!,'Environmental Factor Ranges'!#REF!,IF(B127&gt;='Environmental Factor Ranges'!#REF!,'Environmental Factor Ranges'!#REF!,IF(B127&gt;='Environmental Factor Ranges'!#REF!,'Environmental Factor Ranges'!#REF!,'Environmental Factor Ranges'!#REF!))))))))))))</f>
        <v/>
      </c>
      <c r="D127" s="176" t="n"/>
      <c r="E127" s="158">
        <f>$F$9</f>
        <v/>
      </c>
      <c r="F127" s="159">
        <f>IF(E127&gt;='Environmental Factor Ranges'!$L$9,'Environmental Factor Ranges'!$F$9,IF(E127&gt;='Environmental Factor Ranges'!$L$10,'Environmental Factor Ranges'!$F$10,IF(E127&gt;='Environmental Factor Ranges'!$L$11,'Environmental Factor Ranges'!$F$11,IF(E127&gt;='Environmental Factor Ranges'!$L$12,'Environmental Factor Ranges'!$F$12,IF(E127&gt;='Environmental Factor Ranges'!$L$13,'Environmental Factor Ranges'!$F$13,IF(E127&gt;='Environmental Factor Ranges'!$L$14,'Environmental Factor Ranges'!$F$14,IF(E127&gt;='Environmental Factor Ranges'!$L$15,'Environmental Factor Ranges'!$F$15,IF(E127&gt;='Environmental Factor Ranges'!$L$16,'Environmental Factor Ranges'!$F$16,IF(E127&gt;='Environmental Factor Ranges'!$L$17,'Environmental Factor Ranges'!$F$17,IF(E127&gt;='Environmental Factor Ranges'!$L$18,'Environmental Factor Ranges'!$F$18,IF(E127&gt;='Environmental Factor Ranges'!$L$19,'Environmental Factor Ranges'!$F$19,IF(E127&gt;='Environmental Factor Ranges'!$L$20,'Environmental Factor Ranges'!$F$20,'Environmental Factor Ranges'!$F$21))))))))))))</f>
        <v/>
      </c>
      <c r="H127" s="206" t="n"/>
      <c r="I127" s="202" t="n"/>
      <c r="K127" s="699" t="n"/>
    </row>
    <row r="128" hidden="1" ht="15.75" customHeight="1" s="685" thickBot="1">
      <c r="B128" s="696">
        <f>"Environmental  Factor-"&amp;B124</f>
        <v/>
      </c>
      <c r="C128" s="697" t="n"/>
      <c r="D128" s="697" t="n"/>
      <c r="E128" s="697" t="n"/>
      <c r="F128" s="695" t="n"/>
      <c r="G128" s="145" t="n"/>
      <c r="M128" s="134" t="n"/>
    </row>
    <row r="129" hidden="1" ht="12.75" customHeight="1" s="685">
      <c r="B129" s="692">
        <f>C127+F127</f>
        <v/>
      </c>
      <c r="C129" s="675" t="n"/>
      <c r="D129" s="675" t="n"/>
      <c r="E129" s="675" t="n"/>
      <c r="F129" s="676" t="n"/>
      <c r="K129" s="160" t="n"/>
    </row>
    <row r="130" hidden="1" ht="13.5" customHeight="1" s="685" thickBot="1">
      <c r="B130" s="693" t="n"/>
      <c r="C130" s="672" t="n"/>
      <c r="D130" s="672" t="n"/>
      <c r="E130" s="672" t="n"/>
      <c r="F130" s="673" t="n"/>
      <c r="H130" s="201" t="inlineStr">
        <is>
          <t>Environmental Factor</t>
        </is>
      </c>
      <c r="I130" s="208">
        <f>B129</f>
        <v/>
      </c>
    </row>
    <row r="131" hidden="1" ht="6" customHeight="1" s="685" thickBot="1"/>
    <row r="132" hidden="1" ht="15.75" customHeight="1" s="685" thickBot="1">
      <c r="B132" s="696">
        <f>'Scale Calculation'!#REF!</f>
        <v/>
      </c>
      <c r="C132" s="697" t="n"/>
      <c r="D132" s="697" t="n"/>
      <c r="E132" s="697" t="n"/>
      <c r="F132" s="695" t="n"/>
      <c r="G132" s="145" t="n"/>
      <c r="M132" s="134" t="n"/>
    </row>
    <row r="133" hidden="1" ht="15.75" customHeight="1" s="685" thickBot="1">
      <c r="B133" s="694" t="inlineStr">
        <is>
          <t>Delinquency</t>
        </is>
      </c>
      <c r="C133" s="695" t="n"/>
      <c r="D133" s="174" t="n"/>
      <c r="E133" s="690" t="inlineStr">
        <is>
          <t>Economic Stress</t>
        </is>
      </c>
      <c r="F133" s="691" t="n"/>
    </row>
    <row r="134" hidden="1" ht="15" customFormat="1" customHeight="1" s="157" thickBot="1">
      <c r="B134" s="155" t="inlineStr">
        <is>
          <t>Actual</t>
        </is>
      </c>
      <c r="C134" s="156" t="inlineStr">
        <is>
          <t>Score</t>
        </is>
      </c>
      <c r="D134" s="175" t="n"/>
      <c r="E134" s="155" t="inlineStr">
        <is>
          <t>Actual</t>
        </is>
      </c>
      <c r="F134" s="156" t="inlineStr">
        <is>
          <t>Score</t>
        </is>
      </c>
      <c r="H134" s="205" t="n"/>
      <c r="I134" s="205" t="n"/>
      <c r="K134" s="699" t="n"/>
    </row>
    <row r="135" hidden="1" ht="15.75" customFormat="1" customHeight="1" s="134" thickBot="1">
      <c r="B135" s="181" t="n"/>
      <c r="C135" s="159">
        <f>IF(B135&gt;='Environmental Factor Ranges'!#REF!,'Environmental Factor Ranges'!#REF!,IF(B135&gt;='Environmental Factor Ranges'!#REF!,'Environmental Factor Ranges'!#REF!,IF(B135&gt;='Environmental Factor Ranges'!#REF!,'Environmental Factor Ranges'!#REF!,IF(B135&gt;='Environmental Factor Ranges'!#REF!,'Environmental Factor Ranges'!#REF!,IF(B135&gt;='Environmental Factor Ranges'!#REF!,'Environmental Factor Ranges'!#REF!,IF(B135&gt;='Environmental Factor Ranges'!#REF!,'Environmental Factor Ranges'!#REF!,IF(B135&gt;='Environmental Factor Ranges'!#REF!,'Environmental Factor Ranges'!#REF!,IF(B135&gt;='Environmental Factor Ranges'!#REF!,'Environmental Factor Ranges'!#REF!,IF(B135&gt;='Environmental Factor Ranges'!#REF!,'Environmental Factor Ranges'!#REF!,IF(B135&gt;='Environmental Factor Ranges'!#REF!,'Environmental Factor Ranges'!#REF!,IF(B135&gt;='Environmental Factor Ranges'!#REF!,'Environmental Factor Ranges'!#REF!,IF(B135&gt;='Environmental Factor Ranges'!#REF!,'Environmental Factor Ranges'!#REF!,'Environmental Factor Ranges'!#REF!))))))))))))</f>
        <v/>
      </c>
      <c r="D135" s="176" t="n"/>
      <c r="E135" s="158">
        <f>$F$9</f>
        <v/>
      </c>
      <c r="F135" s="159">
        <f>IF(E135&gt;='Environmental Factor Ranges'!$L$9,'Environmental Factor Ranges'!$F$9,IF(E135&gt;='Environmental Factor Ranges'!$L$10,'Environmental Factor Ranges'!$F$10,IF(E135&gt;='Environmental Factor Ranges'!$L$11,'Environmental Factor Ranges'!$F$11,IF(E135&gt;='Environmental Factor Ranges'!$L$12,'Environmental Factor Ranges'!$F$12,IF(E135&gt;='Environmental Factor Ranges'!$L$13,'Environmental Factor Ranges'!$F$13,IF(E135&gt;='Environmental Factor Ranges'!$L$14,'Environmental Factor Ranges'!$F$14,IF(E135&gt;='Environmental Factor Ranges'!$L$15,'Environmental Factor Ranges'!$F$15,IF(E135&gt;='Environmental Factor Ranges'!$L$16,'Environmental Factor Ranges'!$F$16,IF(E135&gt;='Environmental Factor Ranges'!$L$17,'Environmental Factor Ranges'!$F$17,IF(E135&gt;='Environmental Factor Ranges'!$L$18,'Environmental Factor Ranges'!$F$18,IF(E135&gt;='Environmental Factor Ranges'!$L$19,'Environmental Factor Ranges'!$F$19,IF(E135&gt;='Environmental Factor Ranges'!$L$20,'Environmental Factor Ranges'!$F$20,'Environmental Factor Ranges'!$F$21))))))))))))</f>
        <v/>
      </c>
      <c r="H135" s="206" t="n"/>
      <c r="I135" s="202" t="n"/>
      <c r="K135" s="699" t="n"/>
    </row>
    <row r="136" hidden="1" ht="15.75" customHeight="1" s="685" thickBot="1">
      <c r="B136" s="696">
        <f>"Environmental  Factor-"&amp;B132</f>
        <v/>
      </c>
      <c r="C136" s="697" t="n"/>
      <c r="D136" s="697" t="n"/>
      <c r="E136" s="697" t="n"/>
      <c r="F136" s="695" t="n"/>
      <c r="G136" s="145" t="n"/>
      <c r="M136" s="134" t="n"/>
    </row>
    <row r="137" hidden="1" ht="12.75" customHeight="1" s="685">
      <c r="B137" s="692">
        <f>C135+F135</f>
        <v/>
      </c>
      <c r="C137" s="675" t="n"/>
      <c r="D137" s="675" t="n"/>
      <c r="E137" s="675" t="n"/>
      <c r="F137" s="676" t="n"/>
      <c r="K137" s="160" t="n"/>
    </row>
    <row r="138" hidden="1" ht="13.5" customHeight="1" s="685" thickBot="1">
      <c r="B138" s="693" t="n"/>
      <c r="C138" s="672" t="n"/>
      <c r="D138" s="672" t="n"/>
      <c r="E138" s="672" t="n"/>
      <c r="F138" s="673" t="n"/>
      <c r="H138" s="201" t="inlineStr">
        <is>
          <t>Environmental Factor</t>
        </is>
      </c>
      <c r="I138" s="208">
        <f>B137</f>
        <v/>
      </c>
    </row>
    <row r="139" ht="15.75" customHeight="1" s="685" thickBot="1">
      <c r="B139" s="696">
        <f>'Scale Calculation'!C20</f>
        <v/>
      </c>
      <c r="C139" s="697" t="n"/>
      <c r="D139" s="697" t="n"/>
      <c r="E139" s="697" t="n"/>
      <c r="F139" s="695" t="n"/>
      <c r="G139" s="145" t="n"/>
      <c r="M139" s="134" t="n"/>
    </row>
    <row r="140" ht="15.75" customHeight="1" s="685" thickBot="1">
      <c r="B140" s="694">
        <f>$B$12</f>
        <v/>
      </c>
      <c r="C140" s="695" t="n"/>
      <c r="D140" s="174" t="n"/>
      <c r="E140" s="690" t="inlineStr">
        <is>
          <t>Economic Stress</t>
        </is>
      </c>
      <c r="F140" s="691" t="n"/>
    </row>
    <row r="141" ht="14.25" customFormat="1" customHeight="1" s="157">
      <c r="B141" s="155">
        <f>B125</f>
        <v/>
      </c>
      <c r="C141" s="156" t="inlineStr">
        <is>
          <t>Score</t>
        </is>
      </c>
      <c r="D141" s="175" t="n"/>
      <c r="E141" s="155" t="inlineStr">
        <is>
          <t>Actual</t>
        </is>
      </c>
      <c r="F141" s="156" t="inlineStr">
        <is>
          <t>Score</t>
        </is>
      </c>
      <c r="H141" s="205" t="n"/>
      <c r="I141" s="205" t="n"/>
      <c r="K141" s="699" t="n"/>
    </row>
    <row r="142" ht="15.75" customFormat="1" customHeight="1" s="134" thickBot="1">
      <c r="B142" s="243">
        <f>'Calc tab'!AI103</f>
        <v/>
      </c>
      <c r="C142" s="159">
        <f>IF(B142&gt;='Environmental Factor Ranges'!$J$9,'Environmental Factor Ranges'!$K$9,IF(B142&gt;='Environmental Factor Ranges'!$J$10,'Environmental Factor Ranges'!$K$10,IF(B142&gt;='Environmental Factor Ranges'!$J$11,'Environmental Factor Ranges'!$K$11,IF(B142&gt;='Environmental Factor Ranges'!$J$12,'Environmental Factor Ranges'!$K$12,IF(B142&gt;='Environmental Factor Ranges'!$J$13,'Environmental Factor Ranges'!$K$13,IF(B142&gt;='Environmental Factor Ranges'!$J$14,'Environmental Factor Ranges'!$K$14,IF(B142&gt;='Environmental Factor Ranges'!$J$15,'Environmental Factor Ranges'!$K$15,IF(B142&gt;='Environmental Factor Ranges'!$J$16,'Environmental Factor Ranges'!$K$16,IF(B142&gt;='Environmental Factor Ranges'!$J$17,'Environmental Factor Ranges'!$K$17,IF(B142&gt;='Environmental Factor Ranges'!$J$18,'Environmental Factor Ranges'!$K$18,IF(B142&gt;='Environmental Factor Ranges'!$J$19,'Environmental Factor Ranges'!$K$19,IF(B142&gt;='Environmental Factor Ranges'!$J$20,'Environmental Factor Ranges'!$K$20,IF(B142&gt;='Environmental Factor Ranges'!$J$21,'Environmental Factor Ranges'!$K$21,IF(B142&gt;='Environmental Factor Ranges'!$J$22,'Environmental Factor Ranges'!$K$22,IF(B142&gt;='Environmental Factor Ranges'!$J$23,'Environmental Factor Ranges'!$K$23,IF(B142&gt;='Environmental Factor Ranges'!$J$24,'Environmental Factor Ranges'!$K$24,'Environmental Factor Ranges'!$K$25))))))))))))))))</f>
        <v/>
      </c>
      <c r="D142" s="176" t="n"/>
      <c r="E142" s="158">
        <f>$F$9</f>
        <v/>
      </c>
      <c r="F142" s="159">
        <f>IF(E142&gt;='Environmental Factor Ranges'!$L$9,'Environmental Factor Ranges'!$F$9,IF(E142&gt;='Environmental Factor Ranges'!$L$10,'Environmental Factor Ranges'!$F$10,IF(E142&gt;='Environmental Factor Ranges'!$L$11,'Environmental Factor Ranges'!$F$11,IF(E142&gt;='Environmental Factor Ranges'!$L$12,'Environmental Factor Ranges'!$F$12,IF(E142&gt;='Environmental Factor Ranges'!$L$13,'Environmental Factor Ranges'!$F$13,IF(E142&gt;='Environmental Factor Ranges'!$L$14,'Environmental Factor Ranges'!$F$14,IF(E142&gt;='Environmental Factor Ranges'!$L$15,'Environmental Factor Ranges'!$F$15,IF(E142&gt;='Environmental Factor Ranges'!$L$16,'Environmental Factor Ranges'!$F$16,IF(E142&gt;='Environmental Factor Ranges'!$L$17,'Environmental Factor Ranges'!$F$17,IF(E142&gt;='Environmental Factor Ranges'!$L$18,'Environmental Factor Ranges'!$F$18,IF(E142&gt;='Environmental Factor Ranges'!$L$19,'Environmental Factor Ranges'!$F$19,IF(E142&gt;='Environmental Factor Ranges'!$L$20,'Environmental Factor Ranges'!$F$20,'Environmental Factor Ranges'!$F$21))))))))))))</f>
        <v/>
      </c>
      <c r="H142" s="206" t="n"/>
      <c r="I142" s="202" t="n"/>
      <c r="K142" s="699" t="n"/>
    </row>
    <row r="143" ht="15.75" customHeight="1" s="685" thickBot="1">
      <c r="B143" s="696">
        <f>"Environmental  Factor-"&amp;B139</f>
        <v/>
      </c>
      <c r="C143" s="697" t="n"/>
      <c r="D143" s="697" t="n"/>
      <c r="E143" s="697" t="n"/>
      <c r="F143" s="695" t="n"/>
      <c r="G143" s="145" t="n"/>
      <c r="M143" s="134" t="n"/>
    </row>
    <row r="144" ht="12.75" customHeight="1" s="685">
      <c r="B144" s="692">
        <f>C142+F142</f>
        <v/>
      </c>
      <c r="C144" s="675" t="n"/>
      <c r="D144" s="675" t="n"/>
      <c r="E144" s="675" t="n"/>
      <c r="F144" s="676" t="n"/>
      <c r="K144" s="160" t="n"/>
    </row>
    <row r="145" ht="13.5" customHeight="1" s="685" thickBot="1">
      <c r="B145" s="693" t="n"/>
      <c r="C145" s="672" t="n"/>
      <c r="D145" s="672" t="n"/>
      <c r="E145" s="672" t="n"/>
      <c r="F145" s="673" t="n"/>
      <c r="H145" s="201" t="inlineStr">
        <is>
          <t>Environmental Factor</t>
        </is>
      </c>
      <c r="I145" s="208">
        <f>B144</f>
        <v/>
      </c>
    </row>
    <row r="146" ht="6" customFormat="1" customHeight="1" s="160" thickBot="1">
      <c r="H146" s="207" t="n"/>
      <c r="I146" s="207" t="n"/>
      <c r="K146" s="699" t="n"/>
    </row>
    <row r="147" ht="15.75" customHeight="1" s="685" thickBot="1">
      <c r="B147" s="696">
        <f>'Scale Calculation'!C21</f>
        <v/>
      </c>
      <c r="C147" s="697" t="n"/>
      <c r="D147" s="697" t="n"/>
      <c r="E147" s="697" t="n"/>
      <c r="F147" s="695" t="n"/>
      <c r="G147" s="145" t="n"/>
      <c r="M147" s="134" t="n"/>
    </row>
    <row r="148" ht="15.75" customHeight="1" s="685" thickBot="1">
      <c r="B148" s="694">
        <f>$B$12</f>
        <v/>
      </c>
      <c r="C148" s="695" t="n"/>
      <c r="D148" s="174" t="n"/>
      <c r="E148" s="690" t="inlineStr">
        <is>
          <t>Economic Stress</t>
        </is>
      </c>
      <c r="F148" s="691" t="n"/>
    </row>
    <row r="149" ht="14.25" customFormat="1" customHeight="1" s="157">
      <c r="B149" s="155">
        <f>B133</f>
        <v/>
      </c>
      <c r="C149" s="156" t="inlineStr">
        <is>
          <t>Score</t>
        </is>
      </c>
      <c r="D149" s="175" t="n"/>
      <c r="E149" s="155" t="inlineStr">
        <is>
          <t>Actual</t>
        </is>
      </c>
      <c r="F149" s="156" t="inlineStr">
        <is>
          <t>Score</t>
        </is>
      </c>
      <c r="H149" s="205" t="n"/>
      <c r="I149" s="205" t="n"/>
      <c r="K149" s="699" t="n"/>
    </row>
    <row r="150" ht="15.75" customFormat="1" customHeight="1" s="134" thickBot="1">
      <c r="B150" s="243">
        <f>'Calc tab'!AI104</f>
        <v/>
      </c>
      <c r="C150" s="159">
        <f>IF(B150&gt;='Environmental Factor Ranges'!$J$9,'Environmental Factor Ranges'!$K$9,IF(B150&gt;='Environmental Factor Ranges'!$J$10,'Environmental Factor Ranges'!$K$10,IF(B150&gt;='Environmental Factor Ranges'!$J$11,'Environmental Factor Ranges'!$K$11,IF(B150&gt;='Environmental Factor Ranges'!$J$12,'Environmental Factor Ranges'!$K$12,IF(B150&gt;='Environmental Factor Ranges'!$J$13,'Environmental Factor Ranges'!$K$13,IF(B150&gt;='Environmental Factor Ranges'!$J$14,'Environmental Factor Ranges'!$K$14,IF(B150&gt;='Environmental Factor Ranges'!$J$15,'Environmental Factor Ranges'!$K$15,IF(B150&gt;='Environmental Factor Ranges'!$J$16,'Environmental Factor Ranges'!$K$16,IF(B150&gt;='Environmental Factor Ranges'!$J$17,'Environmental Factor Ranges'!$K$17,IF(B150&gt;='Environmental Factor Ranges'!$J$18,'Environmental Factor Ranges'!$K$18,IF(B150&gt;='Environmental Factor Ranges'!$J$19,'Environmental Factor Ranges'!$K$19,IF(B150&gt;='Environmental Factor Ranges'!$J$20,'Environmental Factor Ranges'!$K$20,IF(B150&gt;='Environmental Factor Ranges'!$J$21,'Environmental Factor Ranges'!$K$21,IF(B150&gt;='Environmental Factor Ranges'!$J$22,'Environmental Factor Ranges'!$K$22,IF(B150&gt;='Environmental Factor Ranges'!$J$23,'Environmental Factor Ranges'!$K$23,IF(B150&gt;='Environmental Factor Ranges'!$J$24,'Environmental Factor Ranges'!$K$24,'Environmental Factor Ranges'!$K$25))))))))))))))))</f>
        <v/>
      </c>
      <c r="D150" s="176" t="n"/>
      <c r="E150" s="158">
        <f>$F$9</f>
        <v/>
      </c>
      <c r="F150" s="159">
        <f>IF(E150&gt;='Environmental Factor Ranges'!$L$9,'Environmental Factor Ranges'!$F$9,IF(E150&gt;='Environmental Factor Ranges'!$L$10,'Environmental Factor Ranges'!$F$10,IF(E150&gt;='Environmental Factor Ranges'!$L$11,'Environmental Factor Ranges'!$F$11,IF(E150&gt;='Environmental Factor Ranges'!$L$12,'Environmental Factor Ranges'!$F$12,IF(E150&gt;='Environmental Factor Ranges'!$L$13,'Environmental Factor Ranges'!$F$13,IF(E150&gt;='Environmental Factor Ranges'!$L$14,'Environmental Factor Ranges'!$F$14,IF(E150&gt;='Environmental Factor Ranges'!$L$15,'Environmental Factor Ranges'!$F$15,IF(E150&gt;='Environmental Factor Ranges'!$L$16,'Environmental Factor Ranges'!$F$16,IF(E150&gt;='Environmental Factor Ranges'!$L$17,'Environmental Factor Ranges'!$F$17,IF(E150&gt;='Environmental Factor Ranges'!$L$18,'Environmental Factor Ranges'!$F$18,IF(E150&gt;='Environmental Factor Ranges'!$L$19,'Environmental Factor Ranges'!$F$19,IF(E150&gt;='Environmental Factor Ranges'!$L$20,'Environmental Factor Ranges'!$F$20,'Environmental Factor Ranges'!$F$21))))))))))))</f>
        <v/>
      </c>
      <c r="H150" s="206" t="n"/>
      <c r="I150" s="202" t="n"/>
      <c r="K150" s="699" t="n"/>
    </row>
    <row r="151" ht="15.75" customHeight="1" s="685" thickBot="1">
      <c r="B151" s="696">
        <f>"Environmental  Factor-"&amp;B147</f>
        <v/>
      </c>
      <c r="C151" s="697" t="n"/>
      <c r="D151" s="697" t="n"/>
      <c r="E151" s="697" t="n"/>
      <c r="F151" s="695" t="n"/>
      <c r="G151" s="145" t="n"/>
      <c r="M151" s="134" t="n"/>
    </row>
    <row r="152" ht="12.75" customHeight="1" s="685">
      <c r="B152" s="692">
        <f>C150+F150</f>
        <v/>
      </c>
      <c r="C152" s="675" t="n"/>
      <c r="D152" s="675" t="n"/>
      <c r="E152" s="675" t="n"/>
      <c r="F152" s="676" t="n"/>
      <c r="K152" s="160" t="n"/>
    </row>
    <row r="153" ht="13.5" customHeight="1" s="685" thickBot="1">
      <c r="B153" s="693" t="n"/>
      <c r="C153" s="672" t="n"/>
      <c r="D153" s="672" t="n"/>
      <c r="E153" s="672" t="n"/>
      <c r="F153" s="673" t="n"/>
      <c r="H153" s="201" t="inlineStr">
        <is>
          <t>Environmental Factor</t>
        </is>
      </c>
      <c r="I153" s="208">
        <f>B152</f>
        <v/>
      </c>
    </row>
    <row r="154" ht="6" customFormat="1" customHeight="1" s="160">
      <c r="H154" s="207" t="n"/>
      <c r="I154" s="207" t="n"/>
      <c r="K154" s="699" t="n"/>
    </row>
    <row r="155" ht="6" customHeight="1" s="685"/>
    <row r="156" ht="6" customHeight="1" s="685" thickBot="1"/>
    <row r="157" ht="15.75" customHeight="1" s="685">
      <c r="B157" s="210" t="inlineStr">
        <is>
          <t>Delinquency</t>
        </is>
      </c>
      <c r="C157" s="211" t="n"/>
      <c r="D157" s="211" t="n"/>
      <c r="E157" s="211" t="n"/>
      <c r="F157" s="212" t="n"/>
    </row>
    <row r="158" ht="12" customHeight="1" s="685">
      <c r="B158" s="698" t="inlineStr">
        <is>
          <t>Reported Delinquency percentage for the Credit Union during the same period.  Higher delinquent percentages are predictive of increasing losses.</t>
        </is>
      </c>
      <c r="F158" s="661" t="n"/>
    </row>
    <row r="159" ht="12" customHeight="1" s="685">
      <c r="B159" s="161" t="n"/>
      <c r="F159" s="140" t="n"/>
    </row>
    <row r="160">
      <c r="B160" s="162" t="inlineStr">
        <is>
          <t xml:space="preserve">Economic Stress Score: </t>
        </is>
      </c>
      <c r="F160" s="140" t="n"/>
    </row>
    <row r="161" ht="39.75" customHeight="1" s="685">
      <c r="B161" s="698" t="inlineStr">
        <is>
          <t xml:space="preserve">Measures the relative impact of the local economy on the historical loss rate.  Calculated using Unemployment Rate, Bankruptcy Percentage, Foreclosure Rates and Population statistics for the State in which the Credit Union is based. The sources of these figures are: The Bureau of Labor Statistics, SoFi monthly Foreclosure Report, and Electronic Access to Federal Court Records. </t>
        </is>
      </c>
      <c r="F161" s="661" t="n"/>
    </row>
    <row r="162" ht="13.5" customHeight="1" s="685" thickBot="1">
      <c r="B162" s="152" t="n"/>
      <c r="C162" s="153" t="n"/>
      <c r="D162" s="153" t="n"/>
      <c r="E162" s="153" t="n"/>
      <c r="F162" s="150" t="n"/>
    </row>
    <row r="163">
      <c r="B163" s="699" t="inlineStr">
        <is>
          <t>© 2021 TCT Risk Solutions</t>
        </is>
      </c>
    </row>
  </sheetData>
  <mergeCells count="96">
    <mergeCell ref="B88:F89"/>
    <mergeCell ref="B3:F3"/>
    <mergeCell ref="B71:F71"/>
    <mergeCell ref="B27:F27"/>
    <mergeCell ref="B12:C12"/>
    <mergeCell ref="B2:F2"/>
    <mergeCell ref="B11:F11"/>
    <mergeCell ref="B101:C101"/>
    <mergeCell ref="E148:F148"/>
    <mergeCell ref="B116:F116"/>
    <mergeCell ref="B108:F108"/>
    <mergeCell ref="E36:F36"/>
    <mergeCell ref="E101:F101"/>
    <mergeCell ref="B143:F143"/>
    <mergeCell ref="B158:F158"/>
    <mergeCell ref="B152:F153"/>
    <mergeCell ref="B15:F15"/>
    <mergeCell ref="E12:F12"/>
    <mergeCell ref="E117:F117"/>
    <mergeCell ref="B24:F25"/>
    <mergeCell ref="B137:F138"/>
    <mergeCell ref="B140:C140"/>
    <mergeCell ref="B43:F43"/>
    <mergeCell ref="B117:C117"/>
    <mergeCell ref="B120:F120"/>
    <mergeCell ref="B40:F41"/>
    <mergeCell ref="B129:F130"/>
    <mergeCell ref="B113:F114"/>
    <mergeCell ref="B19:F19"/>
    <mergeCell ref="B84:C84"/>
    <mergeCell ref="B83:F83"/>
    <mergeCell ref="E76:F76"/>
    <mergeCell ref="B124:F124"/>
    <mergeCell ref="B5:F5"/>
    <mergeCell ref="B75:F75"/>
    <mergeCell ref="B125:C125"/>
    <mergeCell ref="B47:F47"/>
    <mergeCell ref="E68:F68"/>
    <mergeCell ref="B59:F59"/>
    <mergeCell ref="B31:F31"/>
    <mergeCell ref="E52:F52"/>
    <mergeCell ref="E92:F92"/>
    <mergeCell ref="E44:F44"/>
    <mergeCell ref="B80:F81"/>
    <mergeCell ref="B52:C52"/>
    <mergeCell ref="E20:F20"/>
    <mergeCell ref="B39:F39"/>
    <mergeCell ref="B161:F161"/>
    <mergeCell ref="B64:F65"/>
    <mergeCell ref="B136:F136"/>
    <mergeCell ref="B60:C60"/>
    <mergeCell ref="B23:F23"/>
    <mergeCell ref="B1:F1"/>
    <mergeCell ref="E84:F84"/>
    <mergeCell ref="B32:F33"/>
    <mergeCell ref="B148:C148"/>
    <mergeCell ref="B44:C44"/>
    <mergeCell ref="B87:F87"/>
    <mergeCell ref="E133:F133"/>
    <mergeCell ref="B147:F147"/>
    <mergeCell ref="B16:F17"/>
    <mergeCell ref="B56:F57"/>
    <mergeCell ref="B28:C28"/>
    <mergeCell ref="B128:F128"/>
    <mergeCell ref="B144:F145"/>
    <mergeCell ref="B92:C92"/>
    <mergeCell ref="E125:F125"/>
    <mergeCell ref="B121:F122"/>
    <mergeCell ref="B139:F139"/>
    <mergeCell ref="B20:C20"/>
    <mergeCell ref="B133:C133"/>
    <mergeCell ref="B76:C76"/>
    <mergeCell ref="B63:F63"/>
    <mergeCell ref="B105:F106"/>
    <mergeCell ref="B109:C109"/>
    <mergeCell ref="B91:F91"/>
    <mergeCell ref="B100:F100"/>
    <mergeCell ref="E140:F140"/>
    <mergeCell ref="B151:F151"/>
    <mergeCell ref="B67:F67"/>
    <mergeCell ref="E28:F28"/>
    <mergeCell ref="B132:F132"/>
    <mergeCell ref="E60:F60"/>
    <mergeCell ref="B112:F112"/>
    <mergeCell ref="B72:F73"/>
    <mergeCell ref="B96:F97"/>
    <mergeCell ref="B68:C68"/>
    <mergeCell ref="B55:F55"/>
    <mergeCell ref="B95:F95"/>
    <mergeCell ref="B104:F104"/>
    <mergeCell ref="B51:F51"/>
    <mergeCell ref="B36:C36"/>
    <mergeCell ref="B79:F79"/>
    <mergeCell ref="E109:F109"/>
    <mergeCell ref="B48:F49"/>
    <mergeCell ref="B35:F35"/>
  </mergeCells>
  <printOptions horizontalCentered="1"/>
  <pageMargins left="0.25" right="0.25" top="0.25" bottom="0.35" header="0.3" footer="0.3"/>
  <pageSetup orientation="portrait" scale="45"/>
  <headerFooter>
    <oddHeader/>
    <oddFooter>&amp;C&amp;P of &amp;N</oddFooter>
    <evenHeader/>
    <evenFooter/>
    <firstHeader/>
    <firstFooter/>
  </headerFooter>
</worksheet>
</file>

<file path=xl/worksheets/sheet5.xml><?xml version="1.0" encoding="utf-8"?>
<worksheet xmlns="http://schemas.openxmlformats.org/spreadsheetml/2006/main">
  <sheetPr>
    <tabColor theme="0" tint="-0.1499984740745262"/>
    <outlinePr summaryBelow="1" summaryRight="1"/>
    <pageSetUpPr fitToPage="1"/>
  </sheetPr>
  <dimension ref="A1:T50"/>
  <sheetViews>
    <sheetView workbookViewId="0">
      <selection activeCell="A1" sqref="A1"/>
    </sheetView>
  </sheetViews>
  <sheetFormatPr baseColWidth="8" defaultRowHeight="12.75"/>
  <cols>
    <col width="3" customWidth="1" style="699" min="1" max="2"/>
    <col width="27.28515625" customWidth="1" style="699" min="3" max="6"/>
    <col width="3.140625" customWidth="1" style="699" min="7" max="7"/>
    <col width="2.7109375" customWidth="1" style="699" min="8" max="8"/>
    <col width="12.7109375" customWidth="1" style="699" min="9" max="9"/>
    <col width="11.85546875" customWidth="1" style="201" min="10" max="10"/>
    <col width="9.140625" customWidth="1" style="201" min="11" max="11"/>
    <col width="16" customWidth="1" style="201" min="12" max="12"/>
    <col width="9.140625" customWidth="1" style="201" min="13" max="13"/>
    <col width="9.140625" customWidth="1" style="699" min="14" max="14"/>
    <col width="18" bestFit="1" customWidth="1" style="699" min="15" max="15"/>
    <col width="12.5703125" customWidth="1" style="699" min="16" max="16"/>
    <col width="14.85546875" bestFit="1" customWidth="1" style="699" min="17" max="17"/>
    <col width="11.42578125" customWidth="1" style="699" min="18" max="18"/>
    <col width="17.5703125" bestFit="1" customWidth="1" style="699" min="19" max="19"/>
    <col width="12.140625" customWidth="1" style="699" min="20" max="20"/>
    <col width="6.7109375" customWidth="1" style="699" min="21" max="21"/>
    <col width="10.140625" customWidth="1" style="699" min="22" max="22"/>
    <col width="7.5703125" customWidth="1" style="699" min="23" max="23"/>
    <col width="10.140625" customWidth="1" style="699" min="24" max="24"/>
    <col width="7.5703125" customWidth="1" style="699" min="25" max="25"/>
    <col width="10.140625" customWidth="1" style="699" min="26" max="26"/>
    <col width="7.5703125" customWidth="1" style="699" min="27" max="27"/>
    <col width="9.140625" customWidth="1" style="699" min="28" max="34"/>
    <col width="9.140625" customWidth="1" style="699" min="35" max="16384"/>
  </cols>
  <sheetData>
    <row r="1" ht="13.5" customHeight="1" s="685" thickBot="1">
      <c r="A1" s="347" t="n"/>
      <c r="B1" s="348" t="n"/>
      <c r="C1" s="348" t="n"/>
      <c r="D1" s="348" t="n"/>
      <c r="E1" s="348" t="n"/>
      <c r="F1" s="348" t="n"/>
      <c r="G1" s="348" t="n"/>
      <c r="H1" s="349" t="n"/>
    </row>
    <row r="2" ht="18" customHeight="1" s="685">
      <c r="A2" s="345" t="n"/>
      <c r="B2" s="784">
        <f>'Historical Data'!B2</f>
        <v/>
      </c>
      <c r="C2" s="675" t="n"/>
      <c r="D2" s="675" t="n"/>
      <c r="E2" s="675" t="n"/>
      <c r="F2" s="675" t="n"/>
      <c r="G2" s="676" t="n"/>
      <c r="H2" s="785" t="n"/>
      <c r="I2" s="786" t="n"/>
      <c r="J2" s="787" t="n"/>
      <c r="K2" s="787" t="n"/>
      <c r="L2" s="787" t="n"/>
      <c r="M2" s="787" t="n"/>
      <c r="N2" s="786" t="n"/>
      <c r="O2" s="786" t="n"/>
      <c r="P2" s="786" t="n"/>
      <c r="Q2" s="786" t="n"/>
      <c r="R2" s="786" t="n"/>
      <c r="S2" s="786" t="n"/>
      <c r="T2" s="786" t="n"/>
    </row>
    <row r="3" ht="15.75" customHeight="1" s="685">
      <c r="A3" s="345" t="n"/>
      <c r="B3" s="788" t="inlineStr">
        <is>
          <t>Environmental Factor Ranges</t>
        </is>
      </c>
      <c r="G3" s="661" t="n"/>
      <c r="H3" s="789" t="n"/>
      <c r="I3" s="790" t="n"/>
      <c r="J3" s="791" t="n"/>
      <c r="K3" s="791" t="n"/>
      <c r="L3" s="791" t="n"/>
      <c r="M3" s="791" t="n"/>
      <c r="N3" s="790" t="n"/>
      <c r="O3" s="790" t="n"/>
      <c r="P3" s="790" t="n"/>
      <c r="Q3" s="790" t="n"/>
      <c r="R3" s="790" t="n"/>
      <c r="S3" s="790" t="n"/>
      <c r="T3" s="790" t="n"/>
    </row>
    <row r="4" ht="15" customHeight="1" s="685" thickBot="1">
      <c r="A4" s="345" t="n"/>
      <c r="B4" s="792">
        <f>"For Period Ending "&amp;TEXT('Historical Data'!AY8,"mm/dd/yyyy")</f>
        <v/>
      </c>
      <c r="C4" s="672" t="n"/>
      <c r="D4" s="672" t="n"/>
      <c r="E4" s="672" t="n"/>
      <c r="F4" s="672" t="n"/>
      <c r="G4" s="673" t="n"/>
      <c r="H4" s="793" t="n"/>
      <c r="I4" s="794" t="n"/>
      <c r="J4" s="795" t="n"/>
      <c r="K4" s="795" t="n"/>
      <c r="L4" s="795" t="n"/>
      <c r="M4" s="795" t="n"/>
      <c r="N4" s="794" t="n"/>
      <c r="O4" s="794" t="n"/>
      <c r="P4" s="794" t="n"/>
      <c r="Q4" s="794" t="n"/>
      <c r="R4" s="794" t="n"/>
      <c r="S4" s="794" t="n"/>
      <c r="T4" s="794" t="n"/>
    </row>
    <row r="5" ht="16.5" customHeight="1" s="685" thickBot="1">
      <c r="A5" s="345" t="n"/>
      <c r="B5" s="174" t="n"/>
      <c r="C5" s="361" t="n"/>
      <c r="D5" s="361" t="n"/>
      <c r="E5" s="361" t="n"/>
      <c r="F5" s="361" t="n"/>
      <c r="G5" s="361" t="n"/>
      <c r="H5" s="353" t="n"/>
      <c r="J5" s="220" t="n"/>
      <c r="K5" s="220" t="n"/>
      <c r="L5" s="220" t="n"/>
      <c r="M5" s="220" t="n"/>
      <c r="N5" s="134" t="n"/>
      <c r="O5" s="463" t="inlineStr">
        <is>
          <t>TCT Risk Solutions conducts regular reviews of data to support its CECL methodology and calculations.  These analytics include multiple regression analysis, Cluster Analysis, t-tests, MANOVA and Variance analysis.</t>
        </is>
      </c>
    </row>
    <row r="6" ht="15.75" customHeight="1" s="685">
      <c r="A6" s="345" t="n"/>
      <c r="B6" s="710" t="inlineStr">
        <is>
          <t>Environmental Factor Scale Table</t>
        </is>
      </c>
      <c r="C6" s="675" t="n"/>
      <c r="D6" s="675" t="n"/>
      <c r="E6" s="675" t="n"/>
      <c r="F6" s="675" t="n"/>
      <c r="G6" s="676" t="n"/>
      <c r="H6" s="353" t="n"/>
      <c r="J6" s="362" t="n"/>
      <c r="K6" s="240" t="n"/>
      <c r="L6" s="240" t="n"/>
      <c r="M6" s="363" t="n"/>
      <c r="N6" s="166" t="n"/>
      <c r="O6" s="463" t="inlineStr">
        <is>
          <t>Based on the most recent analysis, we have identified changes that are indicated in the Economic Stress score employed as an Environmental Factor in our CECL methodology.   The changes are as follows:</t>
        </is>
      </c>
    </row>
    <row r="7" ht="15" customHeight="1" s="685" thickBot="1">
      <c r="A7" s="345" t="n"/>
      <c r="B7" s="704" t="inlineStr">
        <is>
          <t>Delinquency</t>
        </is>
      </c>
      <c r="D7" s="661" t="n"/>
      <c r="E7" s="709" t="inlineStr">
        <is>
          <t>Economic Stress Score</t>
        </is>
      </c>
      <c r="G7" s="661" t="n"/>
      <c r="H7" s="353" t="n"/>
      <c r="J7" s="364" t="inlineStr">
        <is>
          <t>Delinquency</t>
        </is>
      </c>
      <c r="L7" s="201" t="inlineStr">
        <is>
          <t>Economic stress</t>
        </is>
      </c>
      <c r="M7" s="221" t="n"/>
      <c r="N7" s="161" t="n"/>
      <c r="O7" s="463" t="n"/>
    </row>
    <row r="8" ht="16.5" customHeight="1" s="685" thickBot="1">
      <c r="A8" s="345" t="n"/>
      <c r="B8" s="161" t="n"/>
      <c r="C8" s="433" t="inlineStr">
        <is>
          <t>Range</t>
        </is>
      </c>
      <c r="D8" s="137" t="inlineStr">
        <is>
          <t>Score</t>
        </is>
      </c>
      <c r="E8" s="167" t="inlineStr">
        <is>
          <t>Range</t>
        </is>
      </c>
      <c r="F8" s="136" t="inlineStr">
        <is>
          <t>Score</t>
        </is>
      </c>
      <c r="G8" s="137" t="n"/>
      <c r="H8" s="353" t="n"/>
      <c r="J8" s="364" t="inlineStr">
        <is>
          <t>Minimums</t>
        </is>
      </c>
      <c r="K8" s="201" t="inlineStr">
        <is>
          <t>Score</t>
        </is>
      </c>
      <c r="L8" s="201" t="inlineStr">
        <is>
          <t>Minimums</t>
        </is>
      </c>
      <c r="M8" s="221" t="inlineStr">
        <is>
          <t>Score</t>
        </is>
      </c>
      <c r="N8" s="161" t="n"/>
      <c r="O8" s="464" t="n"/>
      <c r="P8" s="465" t="inlineStr">
        <is>
          <t>Range</t>
        </is>
      </c>
      <c r="Q8" s="465" t="n"/>
      <c r="R8" s="465" t="inlineStr">
        <is>
          <t>Score</t>
        </is>
      </c>
    </row>
    <row r="9" ht="17.25" customHeight="1" s="685" thickBot="1" thickTop="1">
      <c r="A9" s="345" t="n"/>
      <c r="B9" s="161" t="n"/>
      <c r="C9" s="434">
        <f>IF(J9=0,"Not Risk Rated","&gt;"&amp;TEXT(J9,"#.00%"))</f>
        <v/>
      </c>
      <c r="D9" s="169">
        <f>K9</f>
        <v/>
      </c>
      <c r="E9" s="168">
        <f>"&gt;"&amp;TEXT(L9,"#.00%")</f>
        <v/>
      </c>
      <c r="F9" s="436">
        <f>M9</f>
        <v/>
      </c>
      <c r="G9" s="169" t="n"/>
      <c r="H9" s="353" t="n"/>
      <c r="J9" s="222" t="n">
        <v>0.05</v>
      </c>
      <c r="K9" s="222" t="n">
        <v>0.2</v>
      </c>
      <c r="L9" s="222" t="n">
        <v>0.25</v>
      </c>
      <c r="M9" s="222" t="n">
        <v>0.1</v>
      </c>
      <c r="O9" s="466" t="n"/>
      <c r="P9" s="467" t="inlineStr">
        <is>
          <t>&gt;25%</t>
        </is>
      </c>
      <c r="Q9" s="467" t="n"/>
      <c r="R9" s="468" t="n">
        <v>0.1</v>
      </c>
    </row>
    <row r="10" ht="17.25" customHeight="1" s="685" thickBot="1" thickTop="1">
      <c r="A10" s="345" t="n"/>
      <c r="B10" s="161" t="n"/>
      <c r="C10" s="434">
        <f>TEXT(J10,"#.00%")&amp;" to "&amp;TEXT(J9-0.0001,"#.00%")</f>
        <v/>
      </c>
      <c r="D10" s="169">
        <f>K10</f>
        <v/>
      </c>
      <c r="E10" s="168">
        <f>TEXT(L10,"#.00%")&amp;" to "&amp;TEXT(L9-0.0001,"#.00%")</f>
        <v/>
      </c>
      <c r="F10" s="436">
        <f>M10</f>
        <v/>
      </c>
      <c r="G10" s="169" t="n"/>
      <c r="H10" s="353" t="n"/>
      <c r="J10" s="222" t="n">
        <v>0.04</v>
      </c>
      <c r="K10" s="222" t="n">
        <v>0.17</v>
      </c>
      <c r="L10" s="222" t="n">
        <v>0.24</v>
      </c>
      <c r="M10" s="222" t="n">
        <v>0.08</v>
      </c>
      <c r="O10" s="469" t="n">
        <v>0.24</v>
      </c>
      <c r="P10" s="468" t="n">
        <v>0.2499</v>
      </c>
      <c r="Q10" s="467" t="n"/>
      <c r="R10" s="468" t="n">
        <v>0.08</v>
      </c>
    </row>
    <row r="11" ht="17.25" customHeight="1" s="685" thickBot="1" thickTop="1">
      <c r="A11" s="345" t="n"/>
      <c r="B11" s="161" t="n"/>
      <c r="C11" s="434">
        <f>TEXT(J11,"#.00%")&amp;" to "&amp;TEXT(J10-0.0001,"#.00%")</f>
        <v/>
      </c>
      <c r="D11" s="169">
        <f>K11</f>
        <v/>
      </c>
      <c r="E11" s="170">
        <f>TEXT(L11,"#.00%")&amp;" to "&amp;TEXT(L10-0.0001,"#.00%")</f>
        <v/>
      </c>
      <c r="F11" s="436">
        <f>M11</f>
        <v/>
      </c>
      <c r="G11" s="169" t="n"/>
      <c r="H11" s="353" t="n"/>
      <c r="J11" s="222" t="n">
        <v>0.03</v>
      </c>
      <c r="K11" s="222" t="n">
        <v>0.12</v>
      </c>
      <c r="L11" s="222" t="n">
        <v>0.22</v>
      </c>
      <c r="M11" s="222" t="n">
        <v>0.07000000000000001</v>
      </c>
      <c r="O11" s="469" t="n">
        <v>0.22</v>
      </c>
      <c r="P11" s="468" t="n">
        <v>0.2399</v>
      </c>
      <c r="Q11" s="467" t="n"/>
      <c r="R11" s="468" t="n">
        <v>0.07000000000000001</v>
      </c>
    </row>
    <row r="12" ht="17.25" customHeight="1" s="685" thickBot="1" thickTop="1">
      <c r="A12" s="345" t="n"/>
      <c r="B12" s="161" t="n"/>
      <c r="C12" s="434">
        <f>TEXT(J12,"#.00%")&amp;" to "&amp;TEXT(J11-0.0001,"#.00%")</f>
        <v/>
      </c>
      <c r="D12" s="169">
        <f>K12</f>
        <v/>
      </c>
      <c r="E12" s="170">
        <f>TEXT(L12,"#.00%")&amp;" to "&amp;TEXT(L11-0.0001,"#.00%")</f>
        <v/>
      </c>
      <c r="F12" s="436">
        <f>M12</f>
        <v/>
      </c>
      <c r="G12" s="169" t="n"/>
      <c r="H12" s="353" t="n"/>
      <c r="J12" s="222" t="n">
        <v>0.025</v>
      </c>
      <c r="K12" s="222" t="n">
        <v>0.08</v>
      </c>
      <c r="L12" s="222" t="n">
        <v>0.2</v>
      </c>
      <c r="M12" s="222" t="n">
        <v>0.06</v>
      </c>
      <c r="O12" s="469" t="n">
        <v>0.2</v>
      </c>
      <c r="P12" s="468" t="n">
        <v>0.2199</v>
      </c>
      <c r="Q12" s="467" t="n"/>
      <c r="R12" s="468" t="n">
        <v>0.06</v>
      </c>
    </row>
    <row r="13" ht="17.25" customHeight="1" s="685" thickBot="1" thickTop="1">
      <c r="A13" s="345" t="n"/>
      <c r="B13" s="161" t="n"/>
      <c r="C13" s="434">
        <f>TEXT(J13,"#.00%")&amp;" to "&amp;TEXT(J12-0.0001,"#.00%")</f>
        <v/>
      </c>
      <c r="D13" s="169">
        <f>K13</f>
        <v/>
      </c>
      <c r="E13" s="170">
        <f>TEXT(L13,"#.00%")&amp;" to "&amp;TEXT(L12-0.0001,"#.00%")</f>
        <v/>
      </c>
      <c r="F13" s="436">
        <f>M13</f>
        <v/>
      </c>
      <c r="G13" s="169" t="n"/>
      <c r="H13" s="353" t="n"/>
      <c r="J13" s="222" t="n">
        <v>0.02</v>
      </c>
      <c r="K13" s="222" t="n">
        <v>0.04</v>
      </c>
      <c r="L13" s="222" t="n">
        <v>0.18</v>
      </c>
      <c r="M13" s="222" t="n">
        <v>0.05</v>
      </c>
      <c r="O13" s="469" t="n">
        <v>0.18</v>
      </c>
      <c r="P13" s="468" t="n">
        <v>0.1999</v>
      </c>
      <c r="Q13" s="467" t="n"/>
      <c r="R13" s="468" t="n">
        <v>0.05</v>
      </c>
    </row>
    <row r="14" ht="17.25" customHeight="1" s="685" thickBot="1" thickTop="1">
      <c r="A14" s="345" t="n"/>
      <c r="B14" s="161" t="n"/>
      <c r="C14" s="434">
        <f>TEXT(J14,"#.00%")&amp;" to "&amp;TEXT(J13-0.0001,"#.00%")</f>
        <v/>
      </c>
      <c r="D14" s="169">
        <f>K14</f>
        <v/>
      </c>
      <c r="E14" s="170">
        <f>TEXT(L14,"#.00%")&amp;" to "&amp;TEXT(L13-0.0001,"#.00%")</f>
        <v/>
      </c>
      <c r="F14" s="436">
        <f>M14</f>
        <v/>
      </c>
      <c r="G14" s="169" t="n"/>
      <c r="H14" s="353" t="n"/>
      <c r="J14" s="222" t="n">
        <v>0.015</v>
      </c>
      <c r="K14" s="222" t="n">
        <v>0.025</v>
      </c>
      <c r="L14" s="222" t="n">
        <v>0.16</v>
      </c>
      <c r="M14" s="222" t="n">
        <v>0.04</v>
      </c>
      <c r="O14" s="469" t="n">
        <v>0.16</v>
      </c>
      <c r="P14" s="468" t="n">
        <v>0.1799</v>
      </c>
      <c r="Q14" s="467" t="n"/>
      <c r="R14" s="468" t="n">
        <v>0.04</v>
      </c>
    </row>
    <row r="15" ht="17.25" customHeight="1" s="685" thickBot="1" thickTop="1">
      <c r="A15" s="345" t="n"/>
      <c r="B15" s="161" t="n"/>
      <c r="C15" s="434">
        <f>TEXT(J15,"#.00%")&amp;" to "&amp;TEXT(J14-0.0001,"#.00%")</f>
        <v/>
      </c>
      <c r="D15" s="169">
        <f>K15</f>
        <v/>
      </c>
      <c r="E15" s="170">
        <f>TEXT(L15,"#.00%")&amp;" to "&amp;TEXT(L14-0.0001,"#.00%")</f>
        <v/>
      </c>
      <c r="F15" s="436">
        <f>M15</f>
        <v/>
      </c>
      <c r="G15" s="169" t="n"/>
      <c r="H15" s="353" t="n"/>
      <c r="J15" s="222" t="n">
        <v>0.01</v>
      </c>
      <c r="K15" s="222" t="n">
        <v>0.015</v>
      </c>
      <c r="L15" s="222" t="n">
        <v>0.14</v>
      </c>
      <c r="M15" s="222" t="n">
        <v>0.035</v>
      </c>
      <c r="O15" s="469" t="n">
        <v>0.14</v>
      </c>
      <c r="P15" s="468" t="n">
        <v>0.1599</v>
      </c>
      <c r="Q15" s="467" t="n"/>
      <c r="R15" s="468" t="n">
        <v>0.035</v>
      </c>
    </row>
    <row r="16" ht="17.25" customHeight="1" s="685" thickBot="1" thickTop="1">
      <c r="A16" s="345" t="n"/>
      <c r="B16" s="161" t="n"/>
      <c r="C16" s="434">
        <f>TEXT(J16,"#.00%")&amp;" to "&amp;TEXT(J15-0.0001,"#.00%")</f>
        <v/>
      </c>
      <c r="D16" s="169">
        <f>K16</f>
        <v/>
      </c>
      <c r="E16" s="170">
        <f>TEXT(L16,"#.00%")&amp;" to "&amp;TEXT(L15-0.0001,"#.00%")</f>
        <v/>
      </c>
      <c r="F16" s="436">
        <f>M16</f>
        <v/>
      </c>
      <c r="G16" s="169" t="n"/>
      <c r="H16" s="354" t="n"/>
      <c r="I16" s="171" t="n"/>
      <c r="J16" s="222" t="n">
        <v>0.005</v>
      </c>
      <c r="K16" s="222" t="n">
        <v>0.0075</v>
      </c>
      <c r="L16" s="222" t="n">
        <v>0.12</v>
      </c>
      <c r="M16" s="222" t="n">
        <v>0.03</v>
      </c>
      <c r="O16" s="469" t="n">
        <v>0.12</v>
      </c>
      <c r="P16" s="468" t="n">
        <v>0.1399</v>
      </c>
      <c r="Q16" s="467" t="n"/>
      <c r="R16" s="468" t="n">
        <v>0.03</v>
      </c>
    </row>
    <row r="17" ht="17.25" customHeight="1" s="685" thickBot="1" thickTop="1">
      <c r="A17" s="345" t="n"/>
      <c r="B17" s="161" t="n"/>
      <c r="C17" s="434">
        <f>TEXT(J17,"#.00%")&amp;" to "&amp;TEXT(J16-0.0001,"#.00%")</f>
        <v/>
      </c>
      <c r="D17" s="169">
        <f>K17</f>
        <v/>
      </c>
      <c r="E17" s="170">
        <f>TEXT(L17,"#.00%")&amp;" to "&amp;TEXT(L16-0.0001,"#.00%")</f>
        <v/>
      </c>
      <c r="F17" s="436">
        <f>M17</f>
        <v/>
      </c>
      <c r="G17" s="169" t="n"/>
      <c r="H17" s="353" t="n"/>
      <c r="J17" s="222" t="n">
        <v>-0.0049</v>
      </c>
      <c r="K17" s="222" t="n">
        <v>0</v>
      </c>
      <c r="L17" s="222" t="n">
        <v>0.1</v>
      </c>
      <c r="M17" s="222" t="n">
        <v>0.02</v>
      </c>
      <c r="O17" s="469" t="n">
        <v>0.1</v>
      </c>
      <c r="P17" s="468" t="n">
        <v>0.1199</v>
      </c>
      <c r="Q17" s="467" t="n"/>
      <c r="R17" s="468" t="n">
        <v>0.02</v>
      </c>
    </row>
    <row r="18" ht="17.25" customHeight="1" s="685" thickBot="1" thickTop="1">
      <c r="A18" s="345" t="n"/>
      <c r="B18" s="161" t="n"/>
      <c r="C18" s="434">
        <f>TEXT(J18,"#.00%")&amp;" to "&amp;TEXT(J17-0.0001,"#.00%")</f>
        <v/>
      </c>
      <c r="D18" s="169">
        <f>K18</f>
        <v/>
      </c>
      <c r="E18" s="170">
        <f>TEXT(L18,"#.00%")&amp;" to "&amp;TEXT(L17-0.0001,"#.00%")</f>
        <v/>
      </c>
      <c r="F18" s="436">
        <f>M18</f>
        <v/>
      </c>
      <c r="G18" s="169" t="n"/>
      <c r="H18" s="353" t="n"/>
      <c r="J18" s="222" t="n">
        <v>-0.009900000000000001</v>
      </c>
      <c r="K18" s="222" t="n">
        <v>-0.0075</v>
      </c>
      <c r="L18" s="222" t="n">
        <v>0.08</v>
      </c>
      <c r="M18" s="222" t="n">
        <v>0.01</v>
      </c>
      <c r="O18" s="469" t="n">
        <v>0.08</v>
      </c>
      <c r="P18" s="468" t="n">
        <v>0.0999</v>
      </c>
      <c r="Q18" s="467" t="n"/>
      <c r="R18" s="468" t="n">
        <v>0.01</v>
      </c>
    </row>
    <row r="19" ht="17.25" customHeight="1" s="685" thickBot="1" thickTop="1">
      <c r="A19" s="345" t="n"/>
      <c r="B19" s="161" t="n"/>
      <c r="C19" s="434">
        <f>TEXT(J19,"#.00%")&amp;" to "&amp;TEXT(J18-0.0001,"#.00%")</f>
        <v/>
      </c>
      <c r="D19" s="169">
        <f>K19</f>
        <v/>
      </c>
      <c r="E19" s="170">
        <f>TEXT(L19,"#.00%")&amp;" to "&amp;TEXT(L18-0.0001,"#.00%")</f>
        <v/>
      </c>
      <c r="F19" s="436">
        <f>M19</f>
        <v/>
      </c>
      <c r="G19" s="169" t="n"/>
      <c r="H19" s="353" t="n"/>
      <c r="J19" s="222" t="n">
        <v>-0.0149</v>
      </c>
      <c r="K19" s="222" t="n">
        <v>-0.015</v>
      </c>
      <c r="L19" s="222" t="n">
        <v>0.06</v>
      </c>
      <c r="M19" s="222" t="n">
        <v>0</v>
      </c>
      <c r="O19" s="469" t="n">
        <v>0.06</v>
      </c>
      <c r="P19" s="468" t="n">
        <v>0.0799</v>
      </c>
      <c r="Q19" s="467" t="n"/>
      <c r="R19" s="468" t="n">
        <v>0</v>
      </c>
    </row>
    <row r="20" ht="17.25" customHeight="1" s="685" thickBot="1" thickTop="1">
      <c r="A20" s="345" t="n"/>
      <c r="B20" s="161" t="n"/>
      <c r="C20" s="434">
        <f>TEXT(J20,"#.00%")&amp;" to "&amp;TEXT(J19-0.0001,"#.00%")</f>
        <v/>
      </c>
      <c r="D20" s="169">
        <f>K20</f>
        <v/>
      </c>
      <c r="E20" s="170">
        <f>TEXT(L20,"#.00%")&amp;" to "&amp;TEXT(L19-0.0001,"#.00%")</f>
        <v/>
      </c>
      <c r="F20" s="436">
        <f>M20</f>
        <v/>
      </c>
      <c r="G20" s="169" t="n"/>
      <c r="H20" s="353" t="n"/>
      <c r="J20" s="222" t="n">
        <v>-0.0199</v>
      </c>
      <c r="K20" s="222" t="n">
        <v>-0.025</v>
      </c>
      <c r="L20" s="222" t="n">
        <v>0.04</v>
      </c>
      <c r="M20" s="222" t="n">
        <v>0</v>
      </c>
      <c r="O20" s="469" t="n">
        <v>0.04</v>
      </c>
      <c r="P20" s="468" t="n">
        <v>0.0599</v>
      </c>
      <c r="Q20" s="467" t="n"/>
      <c r="R20" s="468" t="n">
        <v>0</v>
      </c>
    </row>
    <row r="21" ht="17.25" customHeight="1" s="685" thickBot="1" thickTop="1">
      <c r="A21" s="345" t="n"/>
      <c r="B21" s="161" t="n"/>
      <c r="C21" s="434">
        <f>TEXT(J21,"#.00%")&amp;" to "&amp;TEXT(J20-0.0001,"#.00%")</f>
        <v/>
      </c>
      <c r="D21" s="169">
        <f>K21</f>
        <v/>
      </c>
      <c r="E21" s="170">
        <f>TEXT(L21,"#.00%")&amp;" to "&amp;TEXT(L20-0.0001,"#.00%")</f>
        <v/>
      </c>
      <c r="F21" s="436">
        <f>M21</f>
        <v/>
      </c>
      <c r="G21" s="169" t="n"/>
      <c r="H21" s="353" t="n"/>
      <c r="J21" s="222" t="n">
        <v>-0.0249</v>
      </c>
      <c r="K21" s="222" t="n">
        <v>-0.04</v>
      </c>
      <c r="L21" s="222" t="n">
        <v>0.02</v>
      </c>
      <c r="M21" s="222" t="n">
        <v>-0.01</v>
      </c>
      <c r="O21" s="469" t="n">
        <v>0.02</v>
      </c>
      <c r="P21" s="468" t="n">
        <v>0.0399</v>
      </c>
      <c r="Q21" s="467" t="n"/>
      <c r="R21" s="468" t="n">
        <v>-0.01</v>
      </c>
    </row>
    <row r="22" ht="17.25" customHeight="1" s="685" thickBot="1" thickTop="1">
      <c r="A22" s="345" t="n"/>
      <c r="B22" s="161" t="n"/>
      <c r="C22" s="434">
        <f>TEXT(J22,"#.00%")&amp;" to "&amp;TEXT(J21-0.0001,"#.00%")</f>
        <v/>
      </c>
      <c r="D22" s="169">
        <f>K22</f>
        <v/>
      </c>
      <c r="E22" s="170">
        <f>TEXT(L22,"#.00%")&amp;" to "&amp;TEXT(L21-0.0001,"#.00%")</f>
        <v/>
      </c>
      <c r="F22" s="436">
        <f>M22</f>
        <v/>
      </c>
      <c r="G22" s="169" t="n"/>
      <c r="H22" s="353" t="n"/>
      <c r="J22" s="222" t="n">
        <v>-0.0299</v>
      </c>
      <c r="K22" s="222" t="n">
        <v>-0.08</v>
      </c>
      <c r="L22" s="222" t="n">
        <v>0</v>
      </c>
      <c r="M22" s="222" t="n">
        <v>-0.02</v>
      </c>
      <c r="O22" s="469" t="n">
        <v>0</v>
      </c>
      <c r="P22" s="468" t="n">
        <v>0.0199</v>
      </c>
      <c r="Q22" s="467" t="n"/>
      <c r="R22" s="468" t="n">
        <v>-0.02</v>
      </c>
    </row>
    <row r="23" ht="17.25" customHeight="1" s="685" thickBot="1" thickTop="1">
      <c r="A23" s="345" t="n"/>
      <c r="B23" s="161" t="n"/>
      <c r="C23" s="434">
        <f>TEXT(J23,"#.00%")&amp;" to "&amp;TEXT(J22-0.0001,"#.00%")</f>
        <v/>
      </c>
      <c r="D23" s="169">
        <f>K23</f>
        <v/>
      </c>
      <c r="E23" s="170" t="n"/>
      <c r="F23" s="436" t="n"/>
      <c r="G23" s="169" t="n"/>
      <c r="H23" s="353" t="n"/>
      <c r="J23" s="222" t="n">
        <v>-0.0399</v>
      </c>
      <c r="K23" s="222" t="n">
        <v>-0.12</v>
      </c>
      <c r="L23" s="222" t="n"/>
      <c r="M23" s="222" t="n"/>
      <c r="O23" s="463" t="n"/>
    </row>
    <row r="24" ht="17.25" customHeight="1" s="685" thickBot="1" thickTop="1">
      <c r="A24" s="345" t="n"/>
      <c r="B24" s="161" t="n"/>
      <c r="C24" s="434">
        <f>TEXT(J24,"#.00%")&amp;" to "&amp;TEXT(J23-0.0001,"#.00%")</f>
        <v/>
      </c>
      <c r="D24" s="169">
        <f>K24</f>
        <v/>
      </c>
      <c r="E24" s="170" t="n"/>
      <c r="F24" s="436" t="n"/>
      <c r="G24" s="169" t="n"/>
      <c r="H24" s="353" t="n"/>
      <c r="J24" s="222" t="n">
        <v>-0.0499</v>
      </c>
      <c r="K24" s="222" t="n">
        <v>-0.17</v>
      </c>
      <c r="L24" s="222" t="n"/>
      <c r="M24" s="222" t="n"/>
      <c r="O24" s="463" t="inlineStr">
        <is>
          <t>These changes will take affect as of September 30, 2025.</t>
        </is>
      </c>
    </row>
    <row r="25" ht="14.25" customHeight="1" s="685" thickBot="1" thickTop="1">
      <c r="A25" s="345" t="n"/>
      <c r="B25" s="161" t="n"/>
      <c r="C25" s="434">
        <f>IF(J25=0,"Not Risk Rated","&lt;"&amp;TEXT(J25,"#.00%"))</f>
        <v/>
      </c>
      <c r="D25" s="169">
        <f>K25</f>
        <v/>
      </c>
      <c r="E25" s="170" t="n"/>
      <c r="F25" s="436" t="n"/>
      <c r="G25" s="169" t="n"/>
      <c r="H25" s="353" t="n"/>
      <c r="J25" s="222" t="n">
        <v>-0.05</v>
      </c>
      <c r="K25" s="222" t="n">
        <v>-0.2</v>
      </c>
      <c r="L25" s="222" t="n"/>
      <c r="M25" s="222" t="n"/>
    </row>
    <row r="26" ht="14.25" customHeight="1" s="685" thickBot="1" thickTop="1">
      <c r="A26" s="345" t="n"/>
      <c r="B26" s="152" t="n"/>
      <c r="C26" s="435" t="n"/>
      <c r="D26" s="172" t="n"/>
      <c r="E26" s="173" t="n"/>
      <c r="F26" s="437" t="n"/>
      <c r="G26" s="172" t="n"/>
      <c r="H26" s="353" t="n"/>
      <c r="J26" s="222" t="n"/>
      <c r="K26" s="222" t="n"/>
      <c r="L26" s="222" t="n"/>
      <c r="M26" s="222" t="n"/>
    </row>
    <row r="27" ht="13.5" customHeight="1" s="685" thickBot="1">
      <c r="A27" s="345" t="n"/>
      <c r="B27" s="174" t="n"/>
      <c r="C27" s="355" t="n"/>
      <c r="D27" s="356" t="n"/>
      <c r="E27" s="357" t="n"/>
      <c r="F27" s="356" t="n"/>
      <c r="G27" s="356" t="n"/>
      <c r="H27" s="353" t="n"/>
      <c r="J27" s="223" t="n"/>
      <c r="K27" s="223" t="n"/>
      <c r="L27" s="223" t="n"/>
      <c r="M27" s="223" t="n"/>
    </row>
    <row r="28">
      <c r="A28" s="345" t="n"/>
      <c r="B28" s="438" t="n"/>
      <c r="C28" s="211" t="n"/>
      <c r="D28" s="211" t="n"/>
      <c r="E28" s="211" t="n"/>
      <c r="F28" s="211" t="n"/>
      <c r="G28" s="212" t="n"/>
      <c r="H28" s="353" t="n"/>
    </row>
    <row r="29" ht="15" customHeight="1" s="685">
      <c r="A29" s="345" t="n"/>
      <c r="B29" s="161" t="n"/>
      <c r="C29" s="706" t="inlineStr">
        <is>
          <t xml:space="preserve">Discussion of Environmental Factor </t>
        </is>
      </c>
      <c r="D29" s="683" t="n"/>
      <c r="E29" s="683" t="n"/>
      <c r="F29" s="683" t="n"/>
      <c r="G29" s="140" t="n"/>
      <c r="H29" s="353" t="n"/>
    </row>
    <row r="30">
      <c r="A30" s="345" t="n"/>
      <c r="B30" s="161" t="n"/>
      <c r="G30" s="140" t="n"/>
      <c r="H30" s="353" t="n"/>
    </row>
    <row r="31" ht="50.25" customHeight="1" s="685">
      <c r="A31" s="345" t="n"/>
      <c r="B31" s="161" t="n"/>
      <c r="C31" s="705" t="inlineStr">
        <is>
          <t xml:space="preserve">The Environmental Factor combines two distinct data sets to calculate the likely variance between the historical loss rate and the anticipated loss rate.  As these two data sets improve the likelihood of loss decreases and as they deteriorate the likelihood of loss increases, hence the need to adjust the pool provision. Statistical tests including regression, MANOVA and Pearson 'R (correlation) were employed to validate each Factor and to establish the ranges.	</t>
        </is>
      </c>
      <c r="G31" s="140" t="n"/>
      <c r="H31" s="353" t="n"/>
    </row>
    <row r="32">
      <c r="A32" s="345" t="n"/>
      <c r="B32" s="161" t="n"/>
      <c r="G32" s="140" t="n"/>
      <c r="H32" s="353" t="n"/>
    </row>
    <row r="33" ht="37.5" customHeight="1" s="685">
      <c r="A33" s="345" t="n"/>
      <c r="B33" s="161" t="n"/>
      <c r="C33" s="705" t="inlineStr">
        <is>
          <t>GAAP states that “when estimating credit losses on each group of loans with similar risk characteristics, an institution should consider its historical loss experience on the group, adjusted for changes in trends, conditions, and other relevant factors that affect repayment of the loans as of the evaluation date.”</t>
        </is>
      </c>
      <c r="G33" s="140" t="n"/>
      <c r="H33" s="353" t="n"/>
    </row>
    <row r="34">
      <c r="A34" s="345" t="n"/>
      <c r="B34" s="161" t="n"/>
      <c r="G34" s="140" t="n"/>
      <c r="H34" s="353" t="n"/>
    </row>
    <row r="35" ht="89.25" customHeight="1" s="685">
      <c r="A35" s="345" t="n"/>
      <c r="B35" s="161" t="n"/>
      <c r="C35" s="705" t="inlineStr">
        <is>
          <t>As part of the SCALE methodology, the Environmental Factor, or Q&amp;E, is used to adjust the pooled loan allowance to assure it is representative of current risk. Two measures, identified in the Comptrollers Handbook, (e.g., delinquency and economic stress factor) are correlated to the charge-off history of the credit union, to determine if an adjustment to the pool risk factors are indicated. The two measures are applied to minimize the potential for skewing that could result from a single measure. Using accepted statistical techniques, (e.g., regression, ANOVA and correlation) the extent of the relationship is measured, and the adjustment is applied to the Pooled allowance amount for each grade to arrive at the adjusted allowance amount.</t>
        </is>
      </c>
      <c r="G35" s="140" t="n"/>
      <c r="H35" s="353" t="n"/>
    </row>
    <row r="36">
      <c r="A36" s="345" t="n"/>
      <c r="B36" s="161" t="n"/>
      <c r="G36" s="140" t="n"/>
      <c r="H36" s="353" t="n"/>
    </row>
    <row r="37">
      <c r="A37" s="345" t="n"/>
      <c r="B37" s="161" t="n"/>
      <c r="C37" s="708" t="inlineStr">
        <is>
          <t>Delinquency:</t>
        </is>
      </c>
      <c r="G37" s="140" t="n"/>
      <c r="H37" s="353" t="n"/>
    </row>
    <row r="38">
      <c r="A38" s="345" t="n"/>
      <c r="B38" s="161" t="n"/>
      <c r="G38" s="140" t="n"/>
      <c r="H38" s="353" t="n"/>
    </row>
    <row r="39" ht="51.75" customHeight="1" s="685">
      <c r="A39" s="345" t="n"/>
      <c r="B39" s="161" t="n"/>
      <c r="C39" s="705" t="inlineStr">
        <is>
          <t>A running history of the Reported Delinquency is pulled and maintained by TCT.  Using this delinquency database, a trend is created to indicate the directionality of credit union past due loans over the indicated Life of Loan period for each pool.  This trend of the Life of Loans DQ rates are compared to the current period DQ rate to determine if the rate is improving or deteriorating.  An improving rate indicates lower risk of loss while a deteriorating rate indicated a higher risk of loss.</t>
        </is>
      </c>
      <c r="G39" s="140" t="n"/>
      <c r="H39" s="353" t="n"/>
    </row>
    <row r="40">
      <c r="A40" s="345" t="n"/>
      <c r="B40" s="161" t="n"/>
      <c r="G40" s="140" t="n"/>
      <c r="H40" s="353" t="n"/>
    </row>
    <row r="41">
      <c r="A41" s="345" t="n"/>
      <c r="B41" s="161" t="n"/>
      <c r="C41" s="708" t="inlineStr">
        <is>
          <t xml:space="preserve">Economic Stress Score: </t>
        </is>
      </c>
      <c r="G41" s="140" t="n"/>
      <c r="H41" s="353" t="n"/>
    </row>
    <row r="42">
      <c r="A42" s="345" t="n"/>
      <c r="B42" s="161" t="n"/>
      <c r="G42" s="140" t="n"/>
      <c r="H42" s="353" t="n"/>
    </row>
    <row r="43" ht="39.75" customHeight="1" s="685">
      <c r="A43" s="345" t="n"/>
      <c r="B43" s="161" t="n"/>
      <c r="C43" s="705" t="inlineStr">
        <is>
          <t xml:space="preserve">Measures the relative impact of the local economy on the historical loss rate.  Calculated using Unemployment Rate, Bankruptcy Percentage, Foreclosure Rates and Population statistics for the State in which the Credit Union is based. The sources of these figures are: The Bureau of Labor Statistics, Realty Trac, and Electronic Access to Federal Court Records. </t>
        </is>
      </c>
      <c r="G43" s="140" t="n"/>
      <c r="H43" s="353" t="n"/>
    </row>
    <row r="44" ht="13.5" customHeight="1" s="685" thickBot="1">
      <c r="A44" s="345" t="n"/>
      <c r="B44" s="152" t="n"/>
      <c r="C44" s="153" t="n"/>
      <c r="D44" s="153" t="n"/>
      <c r="E44" s="153" t="n"/>
      <c r="F44" s="153" t="n"/>
      <c r="G44" s="150" t="n"/>
      <c r="H44" s="353" t="n"/>
    </row>
    <row r="45" ht="13.5" customHeight="1" s="685" thickBot="1">
      <c r="A45" s="345" t="n"/>
      <c r="B45" s="174" t="n"/>
      <c r="C45" s="174" t="n"/>
      <c r="D45" s="174" t="n"/>
      <c r="E45" s="174" t="n"/>
      <c r="F45" s="174" t="n"/>
      <c r="G45" s="174" t="n"/>
      <c r="H45" s="353" t="n"/>
    </row>
    <row r="46">
      <c r="A46" s="345" t="n"/>
      <c r="B46" s="438" t="n"/>
      <c r="C46" s="211" t="n"/>
      <c r="D46" s="211" t="n"/>
      <c r="E46" s="211" t="n"/>
      <c r="F46" s="211" t="n"/>
      <c r="G46" s="212" t="n"/>
      <c r="H46" s="353" t="n"/>
    </row>
    <row r="47">
      <c r="A47" s="345" t="n"/>
      <c r="B47" s="161" t="n"/>
      <c r="G47" s="140" t="n"/>
      <c r="H47" s="353" t="n"/>
    </row>
    <row r="48">
      <c r="A48" s="345" t="n"/>
      <c r="B48" s="161" t="n"/>
      <c r="G48" s="140" t="n"/>
      <c r="H48" s="353" t="n"/>
    </row>
    <row r="49" ht="13.5" customHeight="1" s="685" thickBot="1">
      <c r="A49" s="345" t="n"/>
      <c r="B49" s="152">
        <f>Cover!B35</f>
        <v/>
      </c>
      <c r="C49" s="153" t="n"/>
      <c r="D49" s="153" t="n"/>
      <c r="E49" s="153" t="n"/>
      <c r="F49" s="153" t="n"/>
      <c r="G49" s="346" t="inlineStr">
        <is>
          <t>Confidential</t>
        </is>
      </c>
      <c r="H49" s="353" t="n"/>
    </row>
    <row r="50" ht="13.5" customHeight="1" s="685" thickBot="1">
      <c r="A50" s="358" t="n"/>
      <c r="B50" s="359" t="n"/>
      <c r="C50" s="359" t="n"/>
      <c r="D50" s="359" t="n"/>
      <c r="E50" s="359" t="n"/>
      <c r="F50" s="359" t="n"/>
      <c r="G50" s="359" t="n"/>
      <c r="H50" s="360" t="n"/>
    </row>
  </sheetData>
  <mergeCells count="14">
    <mergeCell ref="B3:G3"/>
    <mergeCell ref="B2:G2"/>
    <mergeCell ref="C31:F31"/>
    <mergeCell ref="C39:F39"/>
    <mergeCell ref="C35:F35"/>
    <mergeCell ref="C43:F43"/>
    <mergeCell ref="C29:F29"/>
    <mergeCell ref="B4:G4"/>
    <mergeCell ref="C33:F33"/>
    <mergeCell ref="C41:F41"/>
    <mergeCell ref="B7:D7"/>
    <mergeCell ref="C37:F37"/>
    <mergeCell ref="E7:G7"/>
    <mergeCell ref="B6:G6"/>
  </mergeCells>
  <pageMargins left="0.25" right="0.25" top="0.25" bottom="0.25" header="0.3" footer="0.3"/>
  <pageSetup orientation="portrait" scale="84" fitToHeight="0"/>
  <headerFooter>
    <oddHeader/>
    <oddFooter>&amp;C&amp;P of &amp;N</oddFooter>
    <evenHeader/>
    <evenFooter/>
    <firstHeader/>
    <firstFooter/>
  </headerFooter>
</worksheet>
</file>

<file path=xl/worksheets/sheet6.xml><?xml version="1.0" encoding="utf-8"?>
<worksheet xmlns="http://schemas.openxmlformats.org/spreadsheetml/2006/main">
  <sheetPr>
    <tabColor theme="0" tint="-0.1499984740745262"/>
    <outlinePr summaryBelow="1" summaryRight="1"/>
    <pageSetUpPr fitToPage="1"/>
  </sheetPr>
  <dimension ref="A1:GJ412"/>
  <sheetViews>
    <sheetView workbookViewId="0">
      <selection activeCell="A1" sqref="A1:Q1"/>
    </sheetView>
  </sheetViews>
  <sheetFormatPr baseColWidth="8" defaultColWidth="9.140625" defaultRowHeight="15"/>
  <cols>
    <col width="29.7109375" bestFit="1" customWidth="1" style="715" min="1" max="1"/>
    <col width="21.42578125" bestFit="1" customWidth="1" style="714" min="2" max="2"/>
    <col width="15" bestFit="1" customWidth="1" style="715" min="3" max="3"/>
    <col width="80.7109375" bestFit="1" customWidth="1" style="715" min="4" max="4"/>
    <col width="28.140625" bestFit="1" customWidth="1" style="715" min="5" max="5"/>
    <col width="14.140625" customWidth="1" style="715" min="6" max="6"/>
    <col width="18.85546875" customWidth="1" style="796" min="7" max="7"/>
    <col width="20.5703125" customWidth="1" style="796" min="8" max="8"/>
    <col width="21.42578125" customWidth="1" style="796" min="9" max="9"/>
    <col width="34.42578125" customWidth="1" style="796" min="10" max="10"/>
    <col width="16.85546875" bestFit="1" customWidth="1" style="715" min="11" max="11"/>
    <col width="14.28515625" bestFit="1" customWidth="1" style="797" min="12" max="12"/>
    <col width="11" bestFit="1" customWidth="1" style="718" min="13" max="13"/>
    <col width="23.140625" bestFit="1" customWidth="1" style="715" min="14" max="14"/>
    <col width="16.5703125" customWidth="1" style="715" min="15" max="15"/>
    <col width="23.140625" customWidth="1" style="715" min="16" max="16"/>
    <col width="32.28515625" bestFit="1" customWidth="1" style="797" min="17" max="17"/>
    <col width="9.140625" customWidth="1" style="715" min="18" max="24"/>
    <col width="9.140625" customWidth="1" style="715" min="25" max="16384"/>
  </cols>
  <sheetData>
    <row r="1" ht="23.25" customHeight="1" s="685">
      <c r="A1" s="719">
        <f>'Historical Data'!B2</f>
        <v/>
      </c>
    </row>
    <row r="2" ht="16.5" customHeight="1" s="685" thickBot="1">
      <c r="A2" s="713" t="inlineStr">
        <is>
          <t>Impaired Loans  Loans Report</t>
        </is>
      </c>
    </row>
    <row r="3" ht="16.5" customHeight="1" s="685" thickBot="1" thickTop="1">
      <c r="A3" s="715" t="inlineStr">
        <is>
          <t xml:space="preserve">Report for Period Ending </t>
        </is>
      </c>
      <c r="B3" s="431">
        <f>'Historical Data'!AY8</f>
        <v/>
      </c>
    </row>
    <row r="4" ht="14.25" customHeight="1" s="685" thickBot="1" thickTop="1">
      <c r="A4" s="105" t="inlineStr">
        <is>
          <t>Impairment Type</t>
        </is>
      </c>
      <c r="B4" s="369" t="inlineStr">
        <is>
          <t xml:space="preserve">Provision Percentage </t>
        </is>
      </c>
      <c r="G4" s="715" t="n"/>
      <c r="H4" s="715" t="n"/>
      <c r="I4" s="715" t="n"/>
      <c r="J4" s="715" t="n"/>
      <c r="L4" s="798">
        <f>A4</f>
        <v/>
      </c>
      <c r="M4" s="107" t="n"/>
      <c r="N4" s="224">
        <f>"Sum of "&amp;N27</f>
        <v/>
      </c>
      <c r="O4" s="799" t="n"/>
      <c r="P4" s="799">
        <f>"Sum of "&amp;P27</f>
        <v/>
      </c>
      <c r="Q4" s="800">
        <f>"Sum of "&amp;Q27</f>
        <v/>
      </c>
    </row>
    <row r="5" ht="14.25" customHeight="1" s="685" thickBot="1" thickTop="1">
      <c r="A5" s="365" t="inlineStr">
        <is>
          <t>Delinquent Loans</t>
        </is>
      </c>
      <c r="B5" s="366" t="n">
        <v>0.25</v>
      </c>
      <c r="G5" s="715" t="n"/>
      <c r="H5" s="715" t="n"/>
      <c r="I5" s="715" t="n"/>
      <c r="J5" s="715" t="n"/>
      <c r="L5" s="801">
        <f>IF(A5=0,"",A5)</f>
        <v/>
      </c>
      <c r="M5" s="109" t="n"/>
      <c r="N5" s="802">
        <f>IF(A5=0,"",SUMIF($A$28:$A$412,L5,$N$28:$N$412))</f>
        <v/>
      </c>
      <c r="O5" s="111" t="n"/>
      <c r="P5" s="802">
        <f>IF(A5=0,"",SUMIF($A$28:$A$412,L5,$P$28:$P$412))</f>
        <v/>
      </c>
      <c r="Q5" s="803">
        <f>IF(A5=0,"",SUMIF($A$28:$A$412,L5,$Q$28:$Q$412))</f>
        <v/>
      </c>
    </row>
    <row r="6" ht="14.25" customHeight="1" s="685" thickBot="1" thickTop="1">
      <c r="A6" s="365" t="inlineStr">
        <is>
          <t>Known Losses</t>
        </is>
      </c>
      <c r="B6" s="366" t="n">
        <v>1</v>
      </c>
      <c r="G6" s="715" t="n"/>
      <c r="H6" s="715" t="n"/>
      <c r="I6" s="715" t="n"/>
      <c r="J6" s="715" t="n"/>
      <c r="L6" s="801">
        <f>IF(A6=0,"",A6)</f>
        <v/>
      </c>
      <c r="M6" s="109" t="n"/>
      <c r="N6" s="802">
        <f>IF(A6=0,"",SUMIF($A$28:$A$412,L6,$N$28:$N$412))</f>
        <v/>
      </c>
      <c r="O6" s="111" t="n"/>
      <c r="P6" s="802">
        <f>IF(A6=0,"",SUMIF($A$28:$A$412,L6,$P$28:$P$412))</f>
        <v/>
      </c>
      <c r="Q6" s="803">
        <f>IF(A6=0,"",SUMIF($A$28:$A$412,L6,$Q$28:$Q$412))</f>
        <v/>
      </c>
    </row>
    <row r="7" ht="16.5" customHeight="1" s="685" thickBot="1" thickTop="1">
      <c r="A7" s="365" t="inlineStr">
        <is>
          <t>Repossessions</t>
        </is>
      </c>
      <c r="B7" s="366" t="n">
        <v>1</v>
      </c>
      <c r="H7" s="715" t="n"/>
      <c r="I7" s="715" t="n"/>
      <c r="J7" s="715" t="n"/>
      <c r="L7" s="801">
        <f>IF(A7=0,"",A7)</f>
        <v/>
      </c>
      <c r="M7" s="109" t="n"/>
      <c r="N7" s="802">
        <f>IF(A7=0,"",SUMIF($A$28:$A$412,L7,$N$28:$N$412))</f>
        <v/>
      </c>
      <c r="O7" s="111" t="n"/>
      <c r="P7" s="802">
        <f>IF(A7=0,"",SUMIF($A$28:$A$412,L7,$P$28:$P$412))</f>
        <v/>
      </c>
      <c r="Q7" s="803">
        <f>IF(A7=0,"",SUMIF($A$28:$A$412,L7,$Q$28:$Q$412))</f>
        <v/>
      </c>
    </row>
    <row r="8" ht="16.5" customHeight="1" s="685" thickBot="1" thickTop="1">
      <c r="A8" s="365" t="inlineStr">
        <is>
          <t>Foreclosed Real Estate</t>
        </is>
      </c>
      <c r="B8" s="366" t="n">
        <v>1</v>
      </c>
      <c r="H8" s="715" t="n"/>
      <c r="I8" s="715" t="n"/>
      <c r="J8" s="715" t="n"/>
      <c r="L8" s="801">
        <f>IF(A8=0,"",A8)</f>
        <v/>
      </c>
      <c r="M8" s="109" t="n"/>
      <c r="N8" s="802">
        <f>IF(A8=0,"",SUMIF($A$28:$A$412,L8,$N$28:$N$412))</f>
        <v/>
      </c>
      <c r="O8" s="111" t="n"/>
      <c r="P8" s="802">
        <f>IF(A8=0,"",SUMIF($A$28:$A$412,L8,$P$28:$P$412))</f>
        <v/>
      </c>
      <c r="Q8" s="803">
        <f>IF(A8=0,"",SUMIF($A$28:$A$412,L8,$Q$28:$Q$412))</f>
        <v/>
      </c>
    </row>
    <row r="9" ht="16.5" customHeight="1" s="685" thickBot="1" thickTop="1">
      <c r="A9" s="365" t="inlineStr">
        <is>
          <t>Other Individually Identified Loans</t>
        </is>
      </c>
      <c r="B9" s="366" t="n">
        <v>1</v>
      </c>
      <c r="H9" s="715" t="n"/>
      <c r="I9" s="715" t="n"/>
      <c r="J9" s="715" t="n"/>
      <c r="L9" s="801">
        <f>IF(A9=0,"",A9)</f>
        <v/>
      </c>
      <c r="M9" s="109" t="n"/>
      <c r="N9" s="802">
        <f>IF(A9=0,"",SUMIF($A$28:$A$412,L9,$N$28:$N$412))</f>
        <v/>
      </c>
      <c r="O9" s="111" t="n"/>
      <c r="P9" s="802">
        <f>IF(A9=0,"",SUMIF($A$28:$A$412,L9,$P$28:$P$412))</f>
        <v/>
      </c>
      <c r="Q9" s="803">
        <f>IF(A9=0,"",SUMIF($A$28:$A$412,L9,$Q$28:$Q$412))</f>
        <v/>
      </c>
    </row>
    <row r="10" ht="16.5" customHeight="1" s="685" thickBot="1" thickTop="1">
      <c r="A10" s="365" t="n"/>
      <c r="B10" s="366" t="n"/>
      <c r="H10" s="715" t="n"/>
      <c r="I10" s="715" t="n"/>
      <c r="J10" s="715" t="n"/>
      <c r="L10" s="801">
        <f>IF(A10=0,"",A10)</f>
        <v/>
      </c>
      <c r="M10" s="109" t="n"/>
      <c r="N10" s="802">
        <f>IF(A10=0,"",SUMIF($A$28:$A$412,L10,$N$28:$N$412))</f>
        <v/>
      </c>
      <c r="O10" s="111" t="n"/>
      <c r="P10" s="802">
        <f>IF(A10=0,"",SUMIF($A$28:$A$412,L10,$P$28:$P$412))</f>
        <v/>
      </c>
      <c r="Q10" s="803">
        <f>IF(A10=0,"",SUMIF($A$28:$A$412,L10,$Q$28:$Q$412))</f>
        <v/>
      </c>
    </row>
    <row r="11" ht="16.5" customFormat="1" customHeight="1" s="228" thickBot="1" thickTop="1">
      <c r="A11" s="367" t="n"/>
      <c r="B11" s="368" t="n"/>
      <c r="G11" s="804" t="n"/>
      <c r="H11" s="804" t="n"/>
      <c r="I11" s="804" t="n"/>
      <c r="J11" s="804" t="n"/>
      <c r="L11" s="801">
        <f>IF(A11=0,"",A11)</f>
        <v/>
      </c>
      <c r="M11" s="109" t="n"/>
      <c r="N11" s="802">
        <f>IF(A11=0,"",SUMIF($A$28:$A$412,L11,$N$28:$N$412))</f>
        <v/>
      </c>
      <c r="O11" s="233" t="n"/>
      <c r="P11" s="802">
        <f>IF(A11=0,"",SUMIF($A$28:$A$412,L11,$P$28:$P$412))</f>
        <v/>
      </c>
      <c r="Q11" s="803">
        <f>IF(A11=0,"",SUMIF($A$28:$A$412,L11,$Q$28:$Q$412))</f>
        <v/>
      </c>
    </row>
    <row r="12" ht="16.5" customFormat="1" customHeight="1" s="228" thickBot="1" thickTop="1">
      <c r="A12" s="367" t="n"/>
      <c r="B12" s="368" t="n"/>
      <c r="G12" s="804" t="n"/>
      <c r="H12" s="804" t="n"/>
      <c r="I12" s="804" t="n"/>
      <c r="J12" s="804" t="n"/>
      <c r="L12" s="801">
        <f>IF(A12=0,"",A12)</f>
        <v/>
      </c>
      <c r="M12" s="109" t="n"/>
      <c r="N12" s="802">
        <f>IF(A12=0,"",SUMIF($A$28:$A$412,L12,$N$28:$N$412))</f>
        <v/>
      </c>
      <c r="O12" s="233" t="n"/>
      <c r="P12" s="802">
        <f>IF(A12=0,"",SUMIF($A$28:$A$412,L12,$P$28:$P$412))</f>
        <v/>
      </c>
      <c r="Q12" s="803">
        <f>IF(A12=0,"",SUMIF($A$28:$A$412,L12,$Q$28:$Q$412))</f>
        <v/>
      </c>
    </row>
    <row r="13" ht="16.5" customFormat="1" customHeight="1" s="228" thickBot="1" thickTop="1">
      <c r="A13" s="367" t="n"/>
      <c r="B13" s="368" t="n"/>
      <c r="G13" s="804" t="n"/>
      <c r="L13" s="801">
        <f>IF(A13=0,"",A13)</f>
        <v/>
      </c>
      <c r="M13" s="109" t="n"/>
      <c r="N13" s="802">
        <f>IF(A13=0,"",SUMIF($A$28:$A$412,L13,$N$28:$N$412))</f>
        <v/>
      </c>
      <c r="O13" s="233" t="n"/>
      <c r="P13" s="802">
        <f>IF(A13=0,"",SUMIF($A$28:$A$412,L13,$P$28:$P$412))</f>
        <v/>
      </c>
      <c r="Q13" s="803">
        <f>IF(A13=0,"",SUMIF($A$28:$A$412,L13,$Q$28:$Q$412))</f>
        <v/>
      </c>
    </row>
    <row r="14" ht="16.5" customFormat="1" customHeight="1" s="228" thickBot="1" thickTop="1">
      <c r="A14" s="367" t="n"/>
      <c r="B14" s="368" t="n"/>
      <c r="G14" s="804" t="n"/>
      <c r="H14" s="804" t="n"/>
      <c r="I14" s="804" t="n"/>
      <c r="J14" s="804" t="n"/>
      <c r="L14" s="801">
        <f>IF(A14=0,"",A14)</f>
        <v/>
      </c>
      <c r="M14" s="109" t="n"/>
      <c r="N14" s="802">
        <f>IF(A14=0,"",SUMIF($A$28:$A$412,L14,$N$28:$N$412))</f>
        <v/>
      </c>
      <c r="O14" s="233" t="n"/>
      <c r="P14" s="802">
        <f>IF(A14=0,"",SUMIF($A$28:$A$412,L14,$P$28:$P$412))</f>
        <v/>
      </c>
      <c r="Q14" s="803">
        <f>IF(A14=0,"",SUMIF($A$28:$A$412,L14,$Q$28:$Q$412))</f>
        <v/>
      </c>
    </row>
    <row r="15" ht="16.5" customFormat="1" customHeight="1" s="228" thickBot="1" thickTop="1">
      <c r="A15" s="367" t="n"/>
      <c r="B15" s="368" t="n"/>
      <c r="G15" s="804" t="n"/>
      <c r="H15" s="804" t="n"/>
      <c r="I15" s="804" t="n"/>
      <c r="J15" s="804" t="n"/>
      <c r="L15" s="801">
        <f>IF(A15=0,"",A15)</f>
        <v/>
      </c>
      <c r="M15" s="109" t="n"/>
      <c r="N15" s="802">
        <f>IF(A15=0,"",SUMIF($A$28:$A$412,L15,$N$28:$N$412))</f>
        <v/>
      </c>
      <c r="O15" s="233" t="n"/>
      <c r="P15" s="802">
        <f>IF(A15=0,"",SUMIF($A$28:$A$412,L15,$P$28:$P$412))</f>
        <v/>
      </c>
      <c r="Q15" s="803">
        <f>IF(A15=0,"",SUMIF($A$28:$A$412,L15,$Q$28:$Q$412))</f>
        <v/>
      </c>
    </row>
    <row r="16" ht="16.5" customFormat="1" customHeight="1" s="228" thickBot="1" thickTop="1">
      <c r="A16" s="367" t="n"/>
      <c r="B16" s="368" t="n"/>
      <c r="G16" s="804" t="n"/>
      <c r="H16" s="804" t="n"/>
      <c r="I16" s="804" t="n"/>
      <c r="J16" s="804" t="n"/>
      <c r="L16" s="801">
        <f>IF(A16=0,"",A16)</f>
        <v/>
      </c>
      <c r="M16" s="109" t="n"/>
      <c r="N16" s="802">
        <f>IF(A16=0,"",SUMIF($A$28:$A$412,L16,$N$28:$N$412))</f>
        <v/>
      </c>
      <c r="O16" s="233" t="n"/>
      <c r="P16" s="802">
        <f>IF(A16=0,"",SUMIF($A$28:$A$412,L16,$P$28:$P$412))</f>
        <v/>
      </c>
      <c r="Q16" s="803">
        <f>IF(A16=0,"",SUMIF($A$28:$A$412,L16,$Q$28:$Q$412))</f>
        <v/>
      </c>
    </row>
    <row r="17" ht="16.5" customFormat="1" customHeight="1" s="228" thickBot="1" thickTop="1">
      <c r="A17" s="367" t="n"/>
      <c r="B17" s="368" t="n"/>
      <c r="G17" s="804" t="n"/>
      <c r="H17" s="804" t="n"/>
      <c r="I17" s="804" t="n"/>
      <c r="J17" s="804" t="n"/>
      <c r="L17" s="801">
        <f>IF(A17=0,"",A17)</f>
        <v/>
      </c>
      <c r="M17" s="109" t="n"/>
      <c r="N17" s="802">
        <f>IF(A17=0,"",SUMIF($A$28:$A$412,L17,$N$28:$N$412))</f>
        <v/>
      </c>
      <c r="O17" s="233" t="n"/>
      <c r="P17" s="802">
        <f>IF(A17=0,"",SUMIF($A$28:$A$412,L17,$P$28:$P$412))</f>
        <v/>
      </c>
      <c r="Q17" s="803">
        <f>IF(A17=0,"",SUMIF($A$28:$A$412,L17,$Q$28:$Q$412))</f>
        <v/>
      </c>
    </row>
    <row r="18" ht="16.5" customFormat="1" customHeight="1" s="228" thickBot="1" thickTop="1">
      <c r="A18" s="367" t="n"/>
      <c r="B18" s="368" t="n"/>
      <c r="G18" s="804" t="n"/>
      <c r="H18" s="804" t="n"/>
      <c r="I18" s="804" t="n"/>
      <c r="J18" s="804" t="n"/>
      <c r="L18" s="801">
        <f>IF(A18=0,"",A18)</f>
        <v/>
      </c>
      <c r="M18" s="109" t="n"/>
      <c r="N18" s="802">
        <f>IF(A18=0,"",SUMIF($A$28:$A$412,L18,$N$28:$N$412))</f>
        <v/>
      </c>
      <c r="O18" s="233" t="n"/>
      <c r="P18" s="802">
        <f>IF(A18=0,"",SUMIF($A$28:$A$412,L18,$P$28:$P$412))</f>
        <v/>
      </c>
      <c r="Q18" s="803">
        <f>IF(A18=0,"",SUMIF($A$28:$A$412,L18,$Q$28:$Q$412))</f>
        <v/>
      </c>
    </row>
    <row r="19" ht="16.5" customFormat="1" customHeight="1" s="228" thickBot="1" thickTop="1">
      <c r="A19" s="367" t="n"/>
      <c r="B19" s="368" t="n"/>
      <c r="G19" s="804" t="n"/>
      <c r="H19" s="804" t="n"/>
      <c r="I19" s="804" t="n"/>
      <c r="J19" s="804" t="n"/>
      <c r="L19" s="801">
        <f>IF(A19=0,"",A19)</f>
        <v/>
      </c>
      <c r="M19" s="109" t="n"/>
      <c r="N19" s="802">
        <f>IF(A19=0,"",SUMIF($A$28:$A$412,L19,$N$28:$N$412))</f>
        <v/>
      </c>
      <c r="O19" s="233" t="n"/>
      <c r="P19" s="802">
        <f>IF(A19=0,"",SUMIF($A$28:$A$412,L19,$P$28:$P$412))</f>
        <v/>
      </c>
      <c r="Q19" s="803">
        <f>IF(A19=0,"",SUMIF($A$28:$A$412,L19,$Q$28:$Q$412))</f>
        <v/>
      </c>
    </row>
    <row r="20" ht="16.5" customFormat="1" customHeight="1" s="228" thickBot="1" thickTop="1">
      <c r="A20" s="367" t="n"/>
      <c r="B20" s="368" t="n"/>
      <c r="G20" s="804" t="n"/>
      <c r="H20" s="804" t="n"/>
      <c r="I20" s="804" t="n"/>
      <c r="J20" s="804" t="n"/>
      <c r="L20" s="801">
        <f>IF(A20=0,"",A20)</f>
        <v/>
      </c>
      <c r="M20" s="109" t="n"/>
      <c r="N20" s="802">
        <f>IF(A20=0,"",SUMIF($A$28:$A$412,L20,$N$28:$N$412))</f>
        <v/>
      </c>
      <c r="O20" s="233" t="n"/>
      <c r="P20" s="805">
        <f>IF(A20=0,"",SUMIF($A$28:$A$412,L20,$P$28:$P$412))</f>
        <v/>
      </c>
      <c r="Q20" s="806">
        <f>IF(A20=0,"",SUMIF($A$28:$A$412,L20,$Q$28:$Q$412))</f>
        <v/>
      </c>
    </row>
    <row r="21" ht="16.5" customFormat="1" customHeight="1" s="228" thickBot="1" thickTop="1">
      <c r="A21" s="266" t="n"/>
      <c r="B21" s="267" t="n"/>
      <c r="G21" s="804" t="n"/>
      <c r="H21" s="804" t="n"/>
      <c r="I21" s="804" t="n"/>
      <c r="J21" s="804" t="n"/>
      <c r="L21" s="807">
        <f>IF(A21=0,"",A21)</f>
        <v/>
      </c>
      <c r="M21" s="231" t="n"/>
      <c r="N21" s="805">
        <f>IF(A21=0,"",SUMIF($A$28:$A$412,L21,$N$28:$N$412))</f>
        <v/>
      </c>
      <c r="O21" s="233" t="n"/>
      <c r="P21" s="805">
        <f>IF(A21=0,"",SUMIF($A$28:$A$412,L21,$P$28:$P$412))</f>
        <v/>
      </c>
      <c r="Q21" s="806">
        <f>IF(A21=0,"",SUMIF($A$28:$A$412,L21,$Q$28:$Q$412))</f>
        <v/>
      </c>
    </row>
    <row r="22" ht="16.5" customFormat="1" customHeight="1" s="228" thickBot="1" thickTop="1">
      <c r="A22" s="266" t="n"/>
      <c r="B22" s="267" t="n"/>
      <c r="G22" s="804" t="n"/>
      <c r="H22" s="804" t="n"/>
      <c r="I22" s="804" t="n"/>
      <c r="J22" s="804" t="n"/>
      <c r="L22" s="807">
        <f>IF(A22=0,"",A22)</f>
        <v/>
      </c>
      <c r="M22" s="231" t="n"/>
      <c r="N22" s="805">
        <f>IF(A22=0,"",SUMIF($A$28:$A$412,L22,$N$28:$N$412))</f>
        <v/>
      </c>
      <c r="O22" s="233" t="n"/>
      <c r="P22" s="805">
        <f>IF(A22=0,"",SUMIF($A$28:$A$412,L22,$P$28:$P$412))</f>
        <v/>
      </c>
      <c r="Q22" s="806">
        <f>IF(A22=0,"",SUMIF($A$28:$A$412,L22,$Q$28:$Q$412))</f>
        <v/>
      </c>
    </row>
    <row r="23" ht="16.5" customFormat="1" customHeight="1" s="228" thickBot="1" thickTop="1">
      <c r="A23" s="266" t="n"/>
      <c r="B23" s="267" t="n"/>
      <c r="G23" s="804" t="n"/>
      <c r="H23" s="804" t="n"/>
      <c r="I23" s="804" t="n"/>
      <c r="J23" s="804" t="n"/>
      <c r="L23" s="808">
        <f>IF(A23=0,"",A23)</f>
        <v/>
      </c>
      <c r="M23" s="236" t="n"/>
      <c r="N23" s="809">
        <f>IF(A23=0,"",SUMIF($A$28:$A$412,L23,$N$28:$N$412))</f>
        <v/>
      </c>
      <c r="O23" s="238" t="n"/>
      <c r="P23" s="809">
        <f>IF(A23=0,"",SUMIF($A$28:$A$412,L23,$P$28:$P$412))</f>
        <v/>
      </c>
      <c r="Q23" s="810">
        <f>IF(A23=0,"",SUMIF($A$28:$A$412,L23,$Q$28:$Q$412))</f>
        <v/>
      </c>
    </row>
    <row r="24" ht="15.75" customHeight="1" s="685" thickTop="1">
      <c r="B24" s="184" t="n"/>
      <c r="L24" s="798" t="inlineStr">
        <is>
          <t>Total</t>
        </is>
      </c>
      <c r="M24" s="107" t="n"/>
      <c r="N24" s="811">
        <f>SUM(N5:N10)</f>
        <v/>
      </c>
      <c r="O24" s="811" t="n"/>
      <c r="P24" s="799">
        <f>SUM(P5:P10)</f>
        <v/>
      </c>
      <c r="Q24" s="800">
        <f>SUM(Q5:Q10)</f>
        <v/>
      </c>
    </row>
    <row r="25" ht="15.75" customHeight="1" s="685" thickBot="1"/>
    <row r="26" ht="13.5" customHeight="1" s="685" thickBot="1">
      <c r="A26" s="117" t="inlineStr">
        <is>
          <t>Data Entry</t>
        </is>
      </c>
      <c r="B26" s="118" t="inlineStr">
        <is>
          <t>Data Entry</t>
        </is>
      </c>
      <c r="C26" s="118" t="inlineStr">
        <is>
          <t>Data Entry</t>
        </is>
      </c>
      <c r="D26" s="118" t="inlineStr">
        <is>
          <t>Data Entry</t>
        </is>
      </c>
      <c r="E26" s="118" t="inlineStr">
        <is>
          <t>Data Entry</t>
        </is>
      </c>
      <c r="F26" s="118" t="inlineStr">
        <is>
          <t>Data Entry</t>
        </is>
      </c>
      <c r="G26" s="118" t="inlineStr">
        <is>
          <t>Data Entry</t>
        </is>
      </c>
      <c r="H26" s="118" t="inlineStr">
        <is>
          <t>Data Entry</t>
        </is>
      </c>
      <c r="I26" s="119" t="inlineStr">
        <is>
          <t>Data Entry</t>
        </is>
      </c>
      <c r="J26" s="118" t="n"/>
      <c r="K26" s="117" t="inlineStr">
        <is>
          <t xml:space="preserve">Calculation </t>
        </is>
      </c>
      <c r="L26" s="812" t="inlineStr">
        <is>
          <t xml:space="preserve">Calculation </t>
        </is>
      </c>
      <c r="M26" s="121" t="inlineStr">
        <is>
          <t xml:space="preserve">Calculation </t>
        </is>
      </c>
      <c r="N26" s="118" t="inlineStr">
        <is>
          <t xml:space="preserve">Calculation </t>
        </is>
      </c>
      <c r="O26" s="118" t="inlineStr">
        <is>
          <t xml:space="preserve">Calculation </t>
        </is>
      </c>
      <c r="P26" s="118" t="inlineStr">
        <is>
          <t xml:space="preserve">Calculation </t>
        </is>
      </c>
      <c r="Q26" s="118" t="inlineStr">
        <is>
          <t xml:space="preserve">Calculation </t>
        </is>
      </c>
    </row>
    <row r="27" ht="80.25" customFormat="1" customHeight="1" s="128" thickBot="1">
      <c r="A27" s="441" t="inlineStr">
        <is>
          <t>Impairment Type</t>
        </is>
      </c>
      <c r="B27" s="441" t="inlineStr">
        <is>
          <t>Member #</t>
        </is>
      </c>
      <c r="C27" s="441" t="inlineStr">
        <is>
          <t>Loan Suffix</t>
        </is>
      </c>
      <c r="D27" s="441" t="inlineStr">
        <is>
          <t>Loan Pool</t>
        </is>
      </c>
      <c r="E27" s="813" t="inlineStr">
        <is>
          <t>Current Balance</t>
        </is>
      </c>
      <c r="F27" s="452" t="inlineStr">
        <is>
          <t>Days Delinquent</t>
        </is>
      </c>
      <c r="G27" s="813" t="inlineStr">
        <is>
          <t>Balance at Other Lender (2nd Mortgage and HELOC's)</t>
        </is>
      </c>
      <c r="H27" s="813" t="inlineStr">
        <is>
          <t>Collateral Value (for unsecured loans, leave blank)</t>
        </is>
      </c>
      <c r="I27" s="814">
        <f>"Allowance Provided by "&amp;A1&amp;" (blank cell = Amount at risk calc.)"</f>
        <v/>
      </c>
      <c r="J27" s="815" t="inlineStr">
        <is>
          <t xml:space="preserve">Notes: </t>
        </is>
      </c>
      <c r="K27" s="124" t="inlineStr">
        <is>
          <t>Member #-Suffix</t>
        </is>
      </c>
      <c r="L27" s="816" t="inlineStr">
        <is>
          <t>Total Loans</t>
        </is>
      </c>
      <c r="M27" s="125" t="inlineStr">
        <is>
          <t>LTV</t>
        </is>
      </c>
      <c r="N27" s="122" t="inlineStr">
        <is>
          <t>Loss Given Default (LGD)</t>
        </is>
      </c>
      <c r="O27" s="122" t="inlineStr">
        <is>
          <t>Percent of Amount at Risk applied to Provision</t>
        </is>
      </c>
      <c r="P27" s="122" t="inlineStr">
        <is>
          <t>Provision Amount</t>
        </is>
      </c>
      <c r="Q27" s="126" t="inlineStr">
        <is>
          <t>Bal Removed from Pools</t>
        </is>
      </c>
      <c r="R27" s="127" t="n"/>
      <c r="S27" s="127" t="n"/>
      <c r="T27" s="127" t="n"/>
      <c r="U27" s="127" t="n"/>
      <c r="V27" s="127" t="n"/>
      <c r="W27" s="127" t="n"/>
      <c r="X27" s="127" t="n"/>
      <c r="Y27" s="127" t="n"/>
      <c r="Z27" s="127" t="n"/>
      <c r="AA27" s="127" t="n"/>
      <c r="AB27" s="127" t="n"/>
      <c r="AC27" s="127" t="n"/>
      <c r="AD27" s="127" t="n"/>
      <c r="AE27" s="127" t="n"/>
      <c r="AF27" s="127" t="n"/>
      <c r="AG27" s="127" t="n"/>
      <c r="AH27" s="127" t="n"/>
      <c r="AI27" s="127" t="n"/>
      <c r="AJ27" s="127" t="n"/>
      <c r="AK27" s="127" t="n"/>
      <c r="AL27" s="127" t="n"/>
      <c r="AM27" s="127" t="n"/>
      <c r="AN27" s="127" t="n"/>
      <c r="AO27" s="127" t="n"/>
      <c r="AP27" s="127" t="n"/>
      <c r="AQ27" s="127" t="n"/>
      <c r="AR27" s="127" t="n"/>
      <c r="AS27" s="127" t="n"/>
      <c r="AT27" s="127" t="n"/>
      <c r="AU27" s="127" t="n"/>
      <c r="AV27" s="127" t="n"/>
      <c r="AW27" s="127" t="n"/>
      <c r="AX27" s="127" t="n"/>
      <c r="AY27" s="127" t="n"/>
      <c r="AZ27" s="127" t="n"/>
      <c r="BA27" s="127" t="n"/>
      <c r="BB27" s="127" t="n"/>
      <c r="BC27" s="127" t="n"/>
      <c r="BD27" s="127" t="n"/>
      <c r="BE27" s="127" t="n"/>
      <c r="BF27" s="127" t="n"/>
      <c r="BG27" s="127" t="n"/>
      <c r="BH27" s="127" t="n"/>
      <c r="BI27" s="127" t="n"/>
      <c r="BJ27" s="127" t="n"/>
      <c r="BK27" s="127" t="n"/>
      <c r="BL27" s="127" t="n"/>
      <c r="BM27" s="127" t="n"/>
      <c r="BN27" s="127" t="n"/>
      <c r="BO27" s="127" t="n"/>
      <c r="BP27" s="127" t="n"/>
      <c r="BQ27" s="127" t="n"/>
      <c r="BR27" s="127" t="n"/>
      <c r="BS27" s="127" t="n"/>
      <c r="BT27" s="127" t="n"/>
      <c r="BU27" s="127" t="n"/>
      <c r="BV27" s="127" t="n"/>
      <c r="BW27" s="127" t="n"/>
      <c r="BX27" s="127" t="n"/>
      <c r="BY27" s="127" t="n"/>
      <c r="BZ27" s="127" t="n"/>
      <c r="CA27" s="127" t="n"/>
      <c r="CB27" s="127" t="n"/>
      <c r="CC27" s="127" t="n"/>
      <c r="CD27" s="127" t="n"/>
      <c r="CE27" s="127" t="n"/>
      <c r="CF27" s="127" t="n"/>
      <c r="CG27" s="127" t="n"/>
      <c r="CH27" s="127" t="n"/>
      <c r="CI27" s="127" t="n"/>
      <c r="CJ27" s="127" t="n"/>
      <c r="CK27" s="127" t="n"/>
      <c r="CL27" s="127" t="n"/>
      <c r="CM27" s="127" t="n"/>
      <c r="CN27" s="127" t="n"/>
      <c r="CO27" s="127" t="n"/>
      <c r="CP27" s="127" t="n"/>
      <c r="CQ27" s="127" t="n"/>
      <c r="CR27" s="127" t="n"/>
      <c r="CS27" s="127" t="n"/>
      <c r="CT27" s="127" t="n"/>
      <c r="CU27" s="127" t="n"/>
      <c r="CV27" s="127" t="n"/>
      <c r="CW27" s="127" t="n"/>
      <c r="CX27" s="127" t="n"/>
      <c r="CY27" s="127" t="n"/>
      <c r="CZ27" s="127" t="n"/>
      <c r="DA27" s="127" t="n"/>
      <c r="DB27" s="127" t="n"/>
      <c r="DC27" s="127" t="n"/>
      <c r="DD27" s="127" t="n"/>
      <c r="DE27" s="127" t="n"/>
      <c r="DF27" s="127" t="n"/>
      <c r="DG27" s="127" t="n"/>
      <c r="DH27" s="127" t="n"/>
      <c r="DI27" s="127" t="n"/>
      <c r="DJ27" s="127" t="n"/>
      <c r="DK27" s="127" t="n"/>
      <c r="DL27" s="127" t="n"/>
      <c r="DM27" s="127" t="n"/>
      <c r="DN27" s="127" t="n"/>
      <c r="DO27" s="127" t="n"/>
      <c r="DP27" s="127" t="n"/>
      <c r="DQ27" s="127" t="n"/>
      <c r="DR27" s="127" t="n"/>
      <c r="DS27" s="127" t="n"/>
      <c r="DT27" s="127" t="n"/>
      <c r="DU27" s="127" t="n"/>
      <c r="DV27" s="127" t="n"/>
      <c r="DW27" s="127" t="n"/>
      <c r="DX27" s="127" t="n"/>
      <c r="DY27" s="127" t="n"/>
      <c r="DZ27" s="127" t="n"/>
      <c r="EA27" s="127" t="n"/>
      <c r="EB27" s="127" t="n"/>
      <c r="EC27" s="127" t="n"/>
      <c r="ED27" s="127" t="n"/>
      <c r="EE27" s="127" t="n"/>
      <c r="EF27" s="127" t="n"/>
      <c r="EG27" s="127" t="n"/>
      <c r="EH27" s="127" t="n"/>
      <c r="EI27" s="127" t="n"/>
      <c r="EJ27" s="127" t="n"/>
      <c r="EK27" s="127" t="n"/>
      <c r="EL27" s="127" t="n"/>
      <c r="EM27" s="127" t="n"/>
      <c r="EN27" s="127" t="n"/>
      <c r="EO27" s="127" t="n"/>
      <c r="EP27" s="127" t="n"/>
      <c r="EQ27" s="127" t="n"/>
      <c r="ER27" s="127" t="n"/>
      <c r="ES27" s="127" t="n"/>
      <c r="ET27" s="127" t="n"/>
      <c r="EU27" s="127" t="n"/>
      <c r="EV27" s="127" t="n"/>
      <c r="EW27" s="127" t="n"/>
      <c r="EX27" s="127" t="n"/>
      <c r="EY27" s="127" t="n"/>
      <c r="EZ27" s="127" t="n"/>
      <c r="FA27" s="127" t="n"/>
      <c r="FB27" s="127" t="n"/>
      <c r="FC27" s="127" t="n"/>
      <c r="FD27" s="127" t="n"/>
      <c r="FE27" s="127" t="n"/>
      <c r="FF27" s="127" t="n"/>
      <c r="FG27" s="127" t="n"/>
      <c r="FH27" s="127" t="n"/>
      <c r="FI27" s="127" t="n"/>
      <c r="FJ27" s="127" t="n"/>
      <c r="FK27" s="127" t="n"/>
      <c r="FL27" s="127" t="n"/>
      <c r="FM27" s="127" t="n"/>
      <c r="FN27" s="127" t="n"/>
      <c r="FO27" s="127" t="n"/>
      <c r="FP27" s="127" t="n"/>
      <c r="FQ27" s="127" t="n"/>
      <c r="FR27" s="127" t="n"/>
      <c r="FS27" s="127" t="n"/>
      <c r="FT27" s="127" t="n"/>
      <c r="FU27" s="127" t="n"/>
      <c r="FV27" s="127" t="n"/>
      <c r="FW27" s="127" t="n"/>
      <c r="FX27" s="127" t="n"/>
      <c r="FY27" s="127" t="n"/>
      <c r="FZ27" s="127" t="n"/>
      <c r="GA27" s="127" t="n"/>
      <c r="GB27" s="127" t="n"/>
      <c r="GC27" s="127" t="n"/>
      <c r="GD27" s="127" t="n"/>
      <c r="GE27" s="127" t="n"/>
      <c r="GF27" s="127" t="n"/>
      <c r="GG27" s="127" t="n"/>
      <c r="GH27" s="127" t="n"/>
      <c r="GI27" s="127" t="n"/>
      <c r="GJ27" s="127" t="n"/>
    </row>
    <row r="28" customFormat="1" s="699">
      <c r="A28" s="445" t="n"/>
      <c r="B28" s="445" t="n"/>
      <c r="C28" s="445" t="n"/>
      <c r="D28" s="445" t="n"/>
      <c r="E28" s="817" t="n"/>
      <c r="F28" s="447" t="n"/>
      <c r="G28" s="817" t="n"/>
      <c r="H28" s="817" t="n"/>
      <c r="I28" s="817" t="n"/>
      <c r="J28" s="817" t="n"/>
      <c r="K28" s="818">
        <f>B28&amp;"-"&amp;C28</f>
        <v/>
      </c>
      <c r="L28" s="818">
        <f>E28+G28</f>
        <v/>
      </c>
      <c r="M28" s="130">
        <f>IF(H28=0,"No Value",L28/H28)</f>
        <v/>
      </c>
      <c r="N28" s="819">
        <f>IF(I28&lt;&gt;"",I28,IF(L28-H28&lt;=0,0,IF(L28-H28&gt;=E28,E28,L28-H28)))</f>
        <v/>
      </c>
      <c r="O28" s="132">
        <f>IF(I28&lt;&gt;"",100%,IF(A28=$A$5,$B$5,IF(A28=$A$6,$B$6,IF(A28=$A$7,$B$7,IF(A28=$A$8,$B$8,IF(A28=$A$9,$B$9,0))))))</f>
        <v/>
      </c>
      <c r="P28" s="819">
        <f>N28*O28</f>
        <v/>
      </c>
      <c r="Q28" s="820">
        <f>E28</f>
        <v/>
      </c>
    </row>
    <row r="29" customFormat="1" s="699">
      <c r="A29" s="445" t="n"/>
      <c r="B29" s="445" t="n"/>
      <c r="C29" s="445" t="n"/>
      <c r="D29" s="445" t="n"/>
      <c r="E29" s="817" t="n"/>
      <c r="F29" s="447" t="n"/>
      <c r="G29" s="817" t="n"/>
      <c r="H29" s="817" t="n"/>
      <c r="I29" s="817" t="n"/>
      <c r="J29" s="817" t="n"/>
      <c r="K29" s="818">
        <f>B29&amp;"-"&amp;C29</f>
        <v/>
      </c>
      <c r="L29" s="818">
        <f>E29+G29</f>
        <v/>
      </c>
      <c r="M29" s="130">
        <f>IF(H29=0,"No Value",L29/H29)</f>
        <v/>
      </c>
      <c r="N29" s="819">
        <f>IF(I29&lt;&gt;"",I29,IF(L29-H29&lt;=0,0,IF(L29-H29&gt;=E29,E29,L29-H29)))</f>
        <v/>
      </c>
      <c r="O29" s="132">
        <f>IF(I29&lt;&gt;"",100%,IF(A29=$A$5,$B$5,IF(A29=$A$6,$B$6,IF(A29=$A$7,$B$7,IF(A29=$A$8,$B$8,IF(A29=$A$9,$B$9,0))))))</f>
        <v/>
      </c>
      <c r="P29" s="819">
        <f>N29*O29</f>
        <v/>
      </c>
      <c r="Q29" s="820">
        <f>E29</f>
        <v/>
      </c>
    </row>
    <row r="30" customFormat="1" s="699">
      <c r="A30" s="445" t="n"/>
      <c r="B30" s="445" t="n"/>
      <c r="C30" s="445" t="n"/>
      <c r="D30" s="445" t="n"/>
      <c r="E30" s="817" t="n"/>
      <c r="F30" s="447" t="n"/>
      <c r="G30" s="817" t="n"/>
      <c r="H30" s="817" t="n"/>
      <c r="I30" s="817" t="n"/>
      <c r="J30" s="817" t="n"/>
      <c r="K30" s="818">
        <f>B30&amp;"-"&amp;C30</f>
        <v/>
      </c>
      <c r="L30" s="818">
        <f>E30+G30</f>
        <v/>
      </c>
      <c r="M30" s="130">
        <f>IF(H30=0,"No Value",L30/H30)</f>
        <v/>
      </c>
      <c r="N30" s="819">
        <f>IF(I30&lt;&gt;"",I30,IF(L30-H30&lt;=0,0,IF(L30-H30&gt;=E30,E30,L30-H30)))</f>
        <v/>
      </c>
      <c r="O30" s="132">
        <f>IF(I30&lt;&gt;"",100%,IF(A30=$A$5,$B$5,IF(A30=$A$6,$B$6,IF(A30=$A$7,$B$7,IF(A30=$A$8,$B$8,IF(A30=$A$9,$B$9,0))))))</f>
        <v/>
      </c>
      <c r="P30" s="819">
        <f>N30*O30</f>
        <v/>
      </c>
      <c r="Q30" s="820">
        <f>E30</f>
        <v/>
      </c>
    </row>
    <row r="31" customFormat="1" s="699">
      <c r="A31" s="445" t="n"/>
      <c r="B31" s="445" t="n"/>
      <c r="C31" s="445" t="n"/>
      <c r="D31" s="445" t="n"/>
      <c r="E31" s="817" t="n"/>
      <c r="F31" s="447" t="n"/>
      <c r="G31" s="817" t="n"/>
      <c r="H31" s="817" t="n"/>
      <c r="I31" s="817" t="n"/>
      <c r="J31" s="817" t="n"/>
      <c r="K31" s="818">
        <f>B31&amp;"-"&amp;C31</f>
        <v/>
      </c>
      <c r="L31" s="818">
        <f>E31+G31</f>
        <v/>
      </c>
      <c r="M31" s="130">
        <f>IF(H31=0,"No Value",L31/H31)</f>
        <v/>
      </c>
      <c r="N31" s="819">
        <f>IF(I31&lt;&gt;"",I31,IF(L31-H31&lt;=0,0,IF(L31-H31&gt;=E31,E31,L31-H31)))</f>
        <v/>
      </c>
      <c r="O31" s="132">
        <f>IF(I31&lt;&gt;"",100%,IF(A31=$A$5,$B$5,IF(A31=$A$6,$B$6,IF(A31=$A$7,$B$7,IF(A31=$A$8,$B$8,IF(A31=$A$9,$B$9,0))))))</f>
        <v/>
      </c>
      <c r="P31" s="819">
        <f>N31*O31</f>
        <v/>
      </c>
      <c r="Q31" s="820">
        <f>E31</f>
        <v/>
      </c>
    </row>
    <row r="32" customFormat="1" s="699">
      <c r="A32" s="445" t="n"/>
      <c r="B32" s="445" t="n"/>
      <c r="C32" s="445" t="n"/>
      <c r="D32" s="445" t="n"/>
      <c r="E32" s="817" t="n"/>
      <c r="F32" s="447" t="n"/>
      <c r="G32" s="817" t="n"/>
      <c r="H32" s="817" t="n"/>
      <c r="I32" s="817" t="n"/>
      <c r="J32" s="817" t="n"/>
      <c r="K32" s="818">
        <f>B32&amp;"-"&amp;C32</f>
        <v/>
      </c>
      <c r="L32" s="818">
        <f>E32+G32</f>
        <v/>
      </c>
      <c r="M32" s="130">
        <f>IF(H32=0,"No Value",L32/H32)</f>
        <v/>
      </c>
      <c r="N32" s="819">
        <f>IF(I32&lt;&gt;"",I32,IF(L32-H32&lt;=0,0,IF(L32-H32&gt;=E32,E32,L32-H32)))</f>
        <v/>
      </c>
      <c r="O32" s="132">
        <f>IF(I32&lt;&gt;"",100%,IF(A32=$A$5,$B$5,IF(A32=$A$6,$B$6,IF(A32=$A$7,$B$7,IF(A32=$A$8,$B$8,IF(A32=$A$9,$B$9,0))))))</f>
        <v/>
      </c>
      <c r="P32" s="819">
        <f>N32*O32</f>
        <v/>
      </c>
      <c r="Q32" s="820">
        <f>E32</f>
        <v/>
      </c>
    </row>
    <row r="33" customFormat="1" s="699">
      <c r="A33" s="445" t="n"/>
      <c r="B33" s="445" t="n"/>
      <c r="C33" s="445" t="n"/>
      <c r="D33" s="445" t="n"/>
      <c r="E33" s="817" t="n"/>
      <c r="F33" s="447" t="n"/>
      <c r="G33" s="817" t="n"/>
      <c r="H33" s="817" t="n"/>
      <c r="I33" s="817" t="n"/>
      <c r="J33" s="817" t="n"/>
      <c r="K33" s="818">
        <f>B33&amp;"-"&amp;C33</f>
        <v/>
      </c>
      <c r="L33" s="818">
        <f>E33+G33</f>
        <v/>
      </c>
      <c r="M33" s="130">
        <f>IF(H33=0,"No Value",L33/H33)</f>
        <v/>
      </c>
      <c r="N33" s="819">
        <f>IF(I33&lt;&gt;"",I33,IF(L33-H33&lt;=0,0,IF(L33-H33&gt;=E33,E33,L33-H33)))</f>
        <v/>
      </c>
      <c r="O33" s="132">
        <f>IF(I33&lt;&gt;"",100%,IF(A33=$A$5,$B$5,IF(A33=$A$6,$B$6,IF(A33=$A$7,$B$7,IF(A33=$A$8,$B$8,IF(A33=$A$9,$B$9,0))))))</f>
        <v/>
      </c>
      <c r="P33" s="819">
        <f>N33*O33</f>
        <v/>
      </c>
      <c r="Q33" s="820">
        <f>E33</f>
        <v/>
      </c>
    </row>
    <row r="34" customFormat="1" s="699">
      <c r="A34" s="445" t="n"/>
      <c r="B34" s="445" t="n"/>
      <c r="C34" s="445" t="n"/>
      <c r="D34" s="445" t="n"/>
      <c r="E34" s="817" t="n"/>
      <c r="F34" s="447" t="n"/>
      <c r="G34" s="817" t="n"/>
      <c r="H34" s="817" t="n"/>
      <c r="I34" s="817" t="n"/>
      <c r="J34" s="817" t="n"/>
      <c r="K34" s="818">
        <f>B34&amp;"-"&amp;C34</f>
        <v/>
      </c>
      <c r="L34" s="818">
        <f>E34+G34</f>
        <v/>
      </c>
      <c r="M34" s="130">
        <f>IF(H34=0,"No Value",L34/H34)</f>
        <v/>
      </c>
      <c r="N34" s="819">
        <f>IF(I34&lt;&gt;"",I34,IF(L34-H34&lt;=0,0,IF(L34-H34&gt;=E34,E34,L34-H34)))</f>
        <v/>
      </c>
      <c r="O34" s="132">
        <f>IF(I34&lt;&gt;"",100%,IF(A34=$A$5,$B$5,IF(A34=$A$6,$B$6,IF(A34=$A$7,$B$7,IF(A34=$A$8,$B$8,IF(A34=$A$9,$B$9,0))))))</f>
        <v/>
      </c>
      <c r="P34" s="819">
        <f>N34*O34</f>
        <v/>
      </c>
      <c r="Q34" s="820">
        <f>E34</f>
        <v/>
      </c>
    </row>
    <row r="35" customFormat="1" s="699">
      <c r="A35" s="445" t="n"/>
      <c r="B35" s="445" t="n"/>
      <c r="C35" s="445" t="n"/>
      <c r="D35" s="445" t="n"/>
      <c r="E35" s="817" t="n"/>
      <c r="F35" s="447" t="n"/>
      <c r="G35" s="817" t="n"/>
      <c r="H35" s="817" t="n"/>
      <c r="I35" s="817" t="n"/>
      <c r="J35" s="817" t="n"/>
      <c r="K35" s="818">
        <f>B35&amp;"-"&amp;C35</f>
        <v/>
      </c>
      <c r="L35" s="818">
        <f>E35+G35</f>
        <v/>
      </c>
      <c r="M35" s="130">
        <f>IF(H35=0,"No Value",L35/H35)</f>
        <v/>
      </c>
      <c r="N35" s="819">
        <f>IF(I35&lt;&gt;"",I35,IF(L35-H35&lt;=0,0,IF(L35-H35&gt;=E35,E35,L35-H35)))</f>
        <v/>
      </c>
      <c r="O35" s="132">
        <f>IF(I35&lt;&gt;"",100%,IF(A35=$A$5,$B$5,IF(A35=$A$6,$B$6,IF(A35=$A$7,$B$7,IF(A35=$A$8,$B$8,IF(A35=$A$9,$B$9,0))))))</f>
        <v/>
      </c>
      <c r="P35" s="819">
        <f>N35*O35</f>
        <v/>
      </c>
      <c r="Q35" s="820">
        <f>E35</f>
        <v/>
      </c>
    </row>
    <row r="36" customFormat="1" s="699">
      <c r="A36" s="445" t="n"/>
      <c r="B36" s="445" t="n"/>
      <c r="C36" s="445" t="n"/>
      <c r="D36" s="445" t="n"/>
      <c r="E36" s="817" t="n"/>
      <c r="F36" s="447" t="n"/>
      <c r="G36" s="817" t="n"/>
      <c r="H36" s="817" t="n"/>
      <c r="I36" s="817" t="n"/>
      <c r="J36" s="817" t="n"/>
      <c r="K36" s="818">
        <f>B36&amp;"-"&amp;C36</f>
        <v/>
      </c>
      <c r="L36" s="818">
        <f>E36+G36</f>
        <v/>
      </c>
      <c r="M36" s="130">
        <f>IF(H36=0,"No Value",L36/H36)</f>
        <v/>
      </c>
      <c r="N36" s="819">
        <f>IF(I36&lt;&gt;"",I36,IF(L36-H36&lt;=0,0,IF(L36-H36&gt;=E36,E36,L36-H36)))</f>
        <v/>
      </c>
      <c r="O36" s="132">
        <f>IF(I36&lt;&gt;"",100%,IF(A36=$A$5,$B$5,IF(A36=$A$6,$B$6,IF(A36=$A$7,$B$7,IF(A36=$A$8,$B$8,IF(A36=$A$9,$B$9,0))))))</f>
        <v/>
      </c>
      <c r="P36" s="819">
        <f>N36*O36</f>
        <v/>
      </c>
      <c r="Q36" s="820">
        <f>E36</f>
        <v/>
      </c>
    </row>
    <row r="37" customFormat="1" s="699">
      <c r="A37" s="445" t="n"/>
      <c r="B37" s="445" t="n"/>
      <c r="C37" s="445" t="n"/>
      <c r="D37" s="445" t="n"/>
      <c r="E37" s="817" t="n"/>
      <c r="F37" s="447" t="n"/>
      <c r="G37" s="817" t="n"/>
      <c r="H37" s="817" t="n"/>
      <c r="I37" s="817" t="n"/>
      <c r="J37" s="817" t="n"/>
      <c r="K37" s="818">
        <f>B37&amp;"-"&amp;C37</f>
        <v/>
      </c>
      <c r="L37" s="818">
        <f>E37+G37</f>
        <v/>
      </c>
      <c r="M37" s="130">
        <f>IF(H37=0,"No Value",L37/H37)</f>
        <v/>
      </c>
      <c r="N37" s="819">
        <f>IF(I37&lt;&gt;"",I37,IF(L37-H37&lt;=0,0,IF(L37-H37&gt;=E37,E37,L37-H37)))</f>
        <v/>
      </c>
      <c r="O37" s="132">
        <f>IF(I37&lt;&gt;"",100%,IF(A37=$A$5,$B$5,IF(A37=$A$6,$B$6,IF(A37=$A$7,$B$7,IF(A37=$A$8,$B$8,IF(A37=$A$9,$B$9,0))))))</f>
        <v/>
      </c>
      <c r="P37" s="819">
        <f>N37*O37</f>
        <v/>
      </c>
      <c r="Q37" s="820">
        <f>E37</f>
        <v/>
      </c>
    </row>
    <row r="38" customFormat="1" s="699">
      <c r="A38" s="445" t="n"/>
      <c r="B38" s="445" t="n"/>
      <c r="C38" s="445" t="n"/>
      <c r="D38" s="445" t="n"/>
      <c r="E38" s="817" t="n"/>
      <c r="F38" s="447" t="n"/>
      <c r="G38" s="817" t="n"/>
      <c r="H38" s="817" t="n"/>
      <c r="I38" s="817" t="n"/>
      <c r="J38" s="817" t="n"/>
      <c r="K38" s="818">
        <f>B38&amp;"-"&amp;C38</f>
        <v/>
      </c>
      <c r="L38" s="818">
        <f>E38+G38</f>
        <v/>
      </c>
      <c r="M38" s="130">
        <f>IF(H38=0,"No Value",L38/H38)</f>
        <v/>
      </c>
      <c r="N38" s="819">
        <f>IF(I38&lt;&gt;"",I38,IF(L38-H38&lt;=0,0,IF(L38-H38&gt;=E38,E38,L38-H38)))</f>
        <v/>
      </c>
      <c r="O38" s="132">
        <f>IF(I38&lt;&gt;"",100%,IF(A38=$A$5,$B$5,IF(A38=$A$6,$B$6,IF(A38=$A$7,$B$7,IF(A38=$A$8,$B$8,IF(A38=$A$9,$B$9,0))))))</f>
        <v/>
      </c>
      <c r="P38" s="819">
        <f>N38*O38</f>
        <v/>
      </c>
      <c r="Q38" s="820">
        <f>E38</f>
        <v/>
      </c>
    </row>
    <row r="39" customFormat="1" s="699">
      <c r="A39" s="445" t="n"/>
      <c r="B39" s="445" t="n"/>
      <c r="C39" s="445" t="n"/>
      <c r="D39" s="445" t="n"/>
      <c r="E39" s="817" t="n"/>
      <c r="F39" s="447" t="n"/>
      <c r="G39" s="817" t="n"/>
      <c r="H39" s="817" t="n"/>
      <c r="I39" s="817" t="n"/>
      <c r="J39" s="817" t="n"/>
      <c r="K39" s="818">
        <f>B39&amp;"-"&amp;C39</f>
        <v/>
      </c>
      <c r="L39" s="818">
        <f>E39+G39</f>
        <v/>
      </c>
      <c r="M39" s="130">
        <f>IF(H39=0,"No Value",L39/H39)</f>
        <v/>
      </c>
      <c r="N39" s="819">
        <f>IF(I39&lt;&gt;"",I39,IF(L39-H39&lt;=0,0,IF(L39-H39&gt;=E39,E39,L39-H39)))</f>
        <v/>
      </c>
      <c r="O39" s="132">
        <f>IF(I39&lt;&gt;"",100%,IF(A39=$A$5,$B$5,IF(A39=$A$6,$B$6,IF(A39=$A$7,$B$7,IF(A39=$A$8,$B$8,IF(A39=$A$9,$B$9,0))))))</f>
        <v/>
      </c>
      <c r="P39" s="819">
        <f>N39*O39</f>
        <v/>
      </c>
      <c r="Q39" s="820">
        <f>E39</f>
        <v/>
      </c>
    </row>
    <row r="40" customFormat="1" s="699">
      <c r="A40" s="445" t="n"/>
      <c r="B40" s="445" t="n"/>
      <c r="C40" s="445" t="n"/>
      <c r="D40" s="445" t="n"/>
      <c r="E40" s="817" t="n"/>
      <c r="F40" s="447" t="n"/>
      <c r="G40" s="817" t="n"/>
      <c r="H40" s="817" t="n"/>
      <c r="I40" s="817" t="n"/>
      <c r="J40" s="817" t="n"/>
      <c r="K40" s="818">
        <f>B40&amp;"-"&amp;C40</f>
        <v/>
      </c>
      <c r="L40" s="818">
        <f>E40+G40</f>
        <v/>
      </c>
      <c r="M40" s="130">
        <f>IF(H40=0,"No Value",L40/H40)</f>
        <v/>
      </c>
      <c r="N40" s="819">
        <f>IF(I40&lt;&gt;"",I40,IF(L40-H40&lt;=0,0,IF(L40-H40&gt;=E40,E40,L40-H40)))</f>
        <v/>
      </c>
      <c r="O40" s="132">
        <f>IF(I40&lt;&gt;"",100%,IF(A40=$A$5,$B$5,IF(A40=$A$6,$B$6,IF(A40=$A$7,$B$7,IF(A40=$A$8,$B$8,IF(A40=$A$9,$B$9,0))))))</f>
        <v/>
      </c>
      <c r="P40" s="819">
        <f>N40*O40</f>
        <v/>
      </c>
      <c r="Q40" s="820">
        <f>E40</f>
        <v/>
      </c>
    </row>
    <row r="41" customFormat="1" s="699">
      <c r="A41" s="445" t="n"/>
      <c r="B41" s="445" t="n"/>
      <c r="C41" s="445" t="n"/>
      <c r="D41" s="445" t="n"/>
      <c r="E41" s="817" t="n"/>
      <c r="F41" s="447" t="n"/>
      <c r="G41" s="817" t="n"/>
      <c r="H41" s="817" t="n"/>
      <c r="I41" s="817" t="n"/>
      <c r="J41" s="817" t="n"/>
      <c r="K41" s="818">
        <f>B41&amp;"-"&amp;C41</f>
        <v/>
      </c>
      <c r="L41" s="818">
        <f>E41+G41</f>
        <v/>
      </c>
      <c r="M41" s="130">
        <f>IF(H41=0,"No Value",L41/H41)</f>
        <v/>
      </c>
      <c r="N41" s="819">
        <f>IF(I41&lt;&gt;"",I41,IF(L41-H41&lt;=0,0,IF(L41-H41&gt;=E41,E41,L41-H41)))</f>
        <v/>
      </c>
      <c r="O41" s="132">
        <f>IF(I41&lt;&gt;"",100%,IF(A41=$A$5,$B$5,IF(A41=$A$6,$B$6,IF(A41=$A$7,$B$7,IF(A41=$A$8,$B$8,IF(A41=$A$9,$B$9,0))))))</f>
        <v/>
      </c>
      <c r="P41" s="819">
        <f>N41*O41</f>
        <v/>
      </c>
      <c r="Q41" s="820">
        <f>E41</f>
        <v/>
      </c>
    </row>
    <row r="42" customFormat="1" s="699">
      <c r="A42" s="445" t="n"/>
      <c r="B42" s="445" t="n"/>
      <c r="C42" s="445" t="n"/>
      <c r="D42" s="445" t="n"/>
      <c r="E42" s="817" t="n"/>
      <c r="F42" s="447" t="n"/>
      <c r="G42" s="817" t="n"/>
      <c r="H42" s="817" t="n"/>
      <c r="I42" s="817" t="n"/>
      <c r="J42" s="817" t="n"/>
      <c r="K42" s="818">
        <f>B42&amp;"-"&amp;C42</f>
        <v/>
      </c>
      <c r="L42" s="818">
        <f>E42+G42</f>
        <v/>
      </c>
      <c r="M42" s="130">
        <f>IF(H42=0,"No Value",L42/H42)</f>
        <v/>
      </c>
      <c r="N42" s="819">
        <f>IF(I42&lt;&gt;"",I42,IF(L42-H42&lt;=0,0,IF(L42-H42&gt;=E42,E42,L42-H42)))</f>
        <v/>
      </c>
      <c r="O42" s="132">
        <f>IF(I42&lt;&gt;"",100%,IF(A42=$A$5,$B$5,IF(A42=$A$6,$B$6,IF(A42=$A$7,$B$7,IF(A42=$A$8,$B$8,IF(A42=$A$9,$B$9,0))))))</f>
        <v/>
      </c>
      <c r="P42" s="819">
        <f>N42*O42</f>
        <v/>
      </c>
      <c r="Q42" s="820">
        <f>E42</f>
        <v/>
      </c>
    </row>
    <row r="43" customFormat="1" s="699">
      <c r="A43" s="445" t="n"/>
      <c r="B43" s="445" t="n"/>
      <c r="C43" s="445" t="n"/>
      <c r="D43" s="445" t="n"/>
      <c r="E43" s="817" t="n"/>
      <c r="F43" s="447" t="n"/>
      <c r="G43" s="817" t="n"/>
      <c r="H43" s="817" t="n"/>
      <c r="I43" s="817" t="n"/>
      <c r="J43" s="817" t="n"/>
      <c r="K43" s="818">
        <f>B43&amp;"-"&amp;C43</f>
        <v/>
      </c>
      <c r="L43" s="818">
        <f>E43+G43</f>
        <v/>
      </c>
      <c r="M43" s="130">
        <f>IF(H43=0,"No Value",L43/H43)</f>
        <v/>
      </c>
      <c r="N43" s="819">
        <f>IF(I43&lt;&gt;"",I43,IF(L43-H43&lt;=0,0,IF(L43-H43&gt;=E43,E43,L43-H43)))</f>
        <v/>
      </c>
      <c r="O43" s="132">
        <f>IF(I43&lt;&gt;"",100%,IF(A43=$A$5,$B$5,IF(A43=$A$6,$B$6,IF(A43=$A$7,$B$7,IF(A43=$A$8,$B$8,IF(A43=$A$9,$B$9,0))))))</f>
        <v/>
      </c>
      <c r="P43" s="819">
        <f>N43*O43</f>
        <v/>
      </c>
      <c r="Q43" s="820">
        <f>E43</f>
        <v/>
      </c>
    </row>
    <row r="44" customFormat="1" s="699">
      <c r="A44" s="445" t="n"/>
      <c r="B44" s="445" t="n"/>
      <c r="C44" s="445" t="n"/>
      <c r="D44" s="445" t="n"/>
      <c r="E44" s="817" t="n"/>
      <c r="F44" s="447" t="n"/>
      <c r="G44" s="817" t="n"/>
      <c r="H44" s="817" t="n"/>
      <c r="I44" s="817" t="n"/>
      <c r="J44" s="817" t="n"/>
      <c r="K44" s="818">
        <f>B44&amp;"-"&amp;C44</f>
        <v/>
      </c>
      <c r="L44" s="818">
        <f>E44+G44</f>
        <v/>
      </c>
      <c r="M44" s="130">
        <f>IF(H44=0,"No Value",L44/H44)</f>
        <v/>
      </c>
      <c r="N44" s="819">
        <f>IF(I44&lt;&gt;"",I44,IF(L44-H44&lt;=0,0,IF(L44-H44&gt;=E44,E44,L44-H44)))</f>
        <v/>
      </c>
      <c r="O44" s="132">
        <f>IF(I44&lt;&gt;"",100%,IF(A44=$A$5,$B$5,IF(A44=$A$6,$B$6,IF(A44=$A$7,$B$7,IF(A44=$A$8,$B$8,IF(A44=$A$9,$B$9,0))))))</f>
        <v/>
      </c>
      <c r="P44" s="819">
        <f>N44*O44</f>
        <v/>
      </c>
      <c r="Q44" s="820">
        <f>E44</f>
        <v/>
      </c>
    </row>
    <row r="45" customFormat="1" s="699">
      <c r="A45" s="445" t="n"/>
      <c r="B45" s="445" t="n"/>
      <c r="C45" s="445" t="n"/>
      <c r="D45" s="445" t="n"/>
      <c r="E45" s="817" t="n"/>
      <c r="F45" s="447" t="n"/>
      <c r="G45" s="817" t="n"/>
      <c r="H45" s="817" t="n"/>
      <c r="I45" s="817" t="n"/>
      <c r="J45" s="817" t="n"/>
      <c r="K45" s="818">
        <f>B45&amp;"-"&amp;C45</f>
        <v/>
      </c>
      <c r="L45" s="818">
        <f>E45+G45</f>
        <v/>
      </c>
      <c r="M45" s="130">
        <f>IF(H45=0,"No Value",L45/H45)</f>
        <v/>
      </c>
      <c r="N45" s="819">
        <f>IF(I45&lt;&gt;"",I45,IF(L45-H45&lt;=0,0,IF(L45-H45&gt;=E45,E45,L45-H45)))</f>
        <v/>
      </c>
      <c r="O45" s="132">
        <f>IF(I45&lt;&gt;"",100%,IF(A45=$A$5,$B$5,IF(A45=$A$6,$B$6,IF(A45=$A$7,$B$7,IF(A45=$A$8,$B$8,IF(A45=$A$9,$B$9,0))))))</f>
        <v/>
      </c>
      <c r="P45" s="819">
        <f>N45*O45</f>
        <v/>
      </c>
      <c r="Q45" s="820">
        <f>E45</f>
        <v/>
      </c>
    </row>
    <row r="46" customFormat="1" s="699">
      <c r="A46" s="445" t="n"/>
      <c r="B46" s="445" t="n"/>
      <c r="C46" s="445" t="n"/>
      <c r="D46" s="445" t="n"/>
      <c r="E46" s="817" t="n"/>
      <c r="F46" s="447" t="n"/>
      <c r="G46" s="817" t="n"/>
      <c r="H46" s="817" t="n"/>
      <c r="I46" s="817" t="n"/>
      <c r="J46" s="817" t="n"/>
      <c r="K46" s="818">
        <f>B46&amp;"-"&amp;C46</f>
        <v/>
      </c>
      <c r="L46" s="818">
        <f>E46+G46</f>
        <v/>
      </c>
      <c r="M46" s="130">
        <f>IF(H46=0,"No Value",L46/H46)</f>
        <v/>
      </c>
      <c r="N46" s="819">
        <f>IF(I46&lt;&gt;"",I46,IF(L46-H46&lt;=0,0,IF(L46-H46&gt;=E46,E46,L46-H46)))</f>
        <v/>
      </c>
      <c r="O46" s="132">
        <f>IF(I46&lt;&gt;"",100%,IF(A46=$A$5,$B$5,IF(A46=$A$6,$B$6,IF(A46=$A$7,$B$7,IF(A46=$A$8,$B$8,IF(A46=$A$9,$B$9,0))))))</f>
        <v/>
      </c>
      <c r="P46" s="819">
        <f>N46*O46</f>
        <v/>
      </c>
      <c r="Q46" s="820">
        <f>E46</f>
        <v/>
      </c>
    </row>
    <row r="47" customFormat="1" s="699">
      <c r="A47" s="445" t="n"/>
      <c r="B47" s="445" t="n"/>
      <c r="C47" s="445" t="n"/>
      <c r="D47" s="445" t="n"/>
      <c r="E47" s="817" t="n"/>
      <c r="F47" s="447" t="n"/>
      <c r="G47" s="817" t="n"/>
      <c r="H47" s="817" t="n"/>
      <c r="I47" s="817" t="n"/>
      <c r="J47" s="817" t="n"/>
      <c r="K47" s="818">
        <f>B47&amp;"-"&amp;C47</f>
        <v/>
      </c>
      <c r="L47" s="818">
        <f>E47+G47</f>
        <v/>
      </c>
      <c r="M47" s="130">
        <f>IF(H47=0,"No Value",L47/H47)</f>
        <v/>
      </c>
      <c r="N47" s="819">
        <f>IF(I47&lt;&gt;"",I47,IF(L47-H47&lt;=0,0,IF(L47-H47&gt;=E47,E47,L47-H47)))</f>
        <v/>
      </c>
      <c r="O47" s="132">
        <f>IF(I47&lt;&gt;"",100%,IF(A47=$A$5,$B$5,IF(A47=$A$6,$B$6,IF(A47=$A$7,$B$7,IF(A47=$A$8,$B$8,IF(A47=$A$9,$B$9,0))))))</f>
        <v/>
      </c>
      <c r="P47" s="819">
        <f>N47*O47</f>
        <v/>
      </c>
      <c r="Q47" s="820">
        <f>E47</f>
        <v/>
      </c>
    </row>
    <row r="48" customFormat="1" s="699">
      <c r="A48" s="445" t="n"/>
      <c r="B48" s="445" t="n"/>
      <c r="C48" s="445" t="n"/>
      <c r="D48" s="445" t="n"/>
      <c r="E48" s="817" t="n"/>
      <c r="F48" s="447" t="n"/>
      <c r="G48" s="817" t="n"/>
      <c r="H48" s="817" t="n"/>
      <c r="I48" s="817" t="n"/>
      <c r="J48" s="817" t="n"/>
      <c r="K48" s="818">
        <f>B48&amp;"-"&amp;C48</f>
        <v/>
      </c>
      <c r="L48" s="818">
        <f>E48+G48</f>
        <v/>
      </c>
      <c r="M48" s="130">
        <f>IF(H48=0,"No Value",L48/H48)</f>
        <v/>
      </c>
      <c r="N48" s="819">
        <f>IF(I48&lt;&gt;"",I48,IF(L48-H48&lt;=0,0,IF(L48-H48&gt;=E48,E48,L48-H48)))</f>
        <v/>
      </c>
      <c r="O48" s="132">
        <f>IF(I48&lt;&gt;"",100%,IF(A48=$A$5,$B$5,IF(A48=$A$6,$B$6,IF(A48=$A$7,$B$7,IF(A48=$A$8,$B$8,IF(A48=$A$9,$B$9,0))))))</f>
        <v/>
      </c>
      <c r="P48" s="819">
        <f>N48*O48</f>
        <v/>
      </c>
      <c r="Q48" s="820">
        <f>E48</f>
        <v/>
      </c>
    </row>
    <row r="49" customFormat="1" s="699">
      <c r="A49" s="445" t="n"/>
      <c r="B49" s="445" t="n"/>
      <c r="C49" s="445" t="n"/>
      <c r="D49" s="445" t="n"/>
      <c r="E49" s="817" t="n"/>
      <c r="F49" s="447" t="n"/>
      <c r="G49" s="817" t="n"/>
      <c r="H49" s="817" t="n"/>
      <c r="I49" s="817" t="n"/>
      <c r="J49" s="817" t="n"/>
      <c r="K49" s="818">
        <f>B49&amp;"-"&amp;C49</f>
        <v/>
      </c>
      <c r="L49" s="818">
        <f>E49+G49</f>
        <v/>
      </c>
      <c r="M49" s="130">
        <f>IF(H49=0,"No Value",L49/H49)</f>
        <v/>
      </c>
      <c r="N49" s="819">
        <f>IF(I49&lt;&gt;"",I49,IF(L49-H49&lt;=0,0,IF(L49-H49&gt;=E49,E49,L49-H49)))</f>
        <v/>
      </c>
      <c r="O49" s="132">
        <f>IF(I49&lt;&gt;"",100%,IF(A49=$A$5,$B$5,IF(A49=$A$6,$B$6,IF(A49=$A$7,$B$7,IF(A49=$A$8,$B$8,IF(A49=$A$9,$B$9,0))))))</f>
        <v/>
      </c>
      <c r="P49" s="819">
        <f>N49*O49</f>
        <v/>
      </c>
      <c r="Q49" s="820">
        <f>E49</f>
        <v/>
      </c>
    </row>
    <row r="50" customFormat="1" s="699">
      <c r="A50" s="445" t="n"/>
      <c r="B50" s="445" t="n"/>
      <c r="C50" s="445" t="n"/>
      <c r="D50" s="445" t="n"/>
      <c r="E50" s="817" t="n"/>
      <c r="F50" s="447" t="n"/>
      <c r="G50" s="817" t="n"/>
      <c r="H50" s="817" t="n"/>
      <c r="I50" s="817" t="n"/>
      <c r="J50" s="817" t="n"/>
      <c r="K50" s="818">
        <f>B50&amp;"-"&amp;C50</f>
        <v/>
      </c>
      <c r="L50" s="818">
        <f>E50+G50</f>
        <v/>
      </c>
      <c r="M50" s="130">
        <f>IF(H50=0,"No Value",L50/H50)</f>
        <v/>
      </c>
      <c r="N50" s="819">
        <f>IF(I50&lt;&gt;"",I50,IF(L50-H50&lt;=0,0,IF(L50-H50&gt;=E50,E50,L50-H50)))</f>
        <v/>
      </c>
      <c r="O50" s="132">
        <f>IF(I50&lt;&gt;"",100%,IF(A50=$A$5,$B$5,IF(A50=$A$6,$B$6,IF(A50=$A$7,$B$7,IF(A50=$A$8,$B$8,IF(A50=$A$9,$B$9,0))))))</f>
        <v/>
      </c>
      <c r="P50" s="819">
        <f>N50*O50</f>
        <v/>
      </c>
      <c r="Q50" s="820">
        <f>E50</f>
        <v/>
      </c>
    </row>
    <row r="51" customFormat="1" s="699">
      <c r="A51" s="445" t="n"/>
      <c r="B51" s="445" t="n"/>
      <c r="C51" s="445" t="n"/>
      <c r="D51" s="445" t="n"/>
      <c r="E51" s="817" t="n"/>
      <c r="F51" s="447" t="n"/>
      <c r="G51" s="817" t="n"/>
      <c r="H51" s="817" t="n"/>
      <c r="I51" s="817" t="n"/>
      <c r="J51" s="817" t="n"/>
      <c r="K51" s="818">
        <f>B51&amp;"-"&amp;C51</f>
        <v/>
      </c>
      <c r="L51" s="818">
        <f>E51+G51</f>
        <v/>
      </c>
      <c r="M51" s="130">
        <f>IF(H51=0,"No Value",L51/H51)</f>
        <v/>
      </c>
      <c r="N51" s="819">
        <f>IF(I51&lt;&gt;"",I51,IF(L51-H51&lt;=0,0,IF(L51-H51&gt;=E51,E51,L51-H51)))</f>
        <v/>
      </c>
      <c r="O51" s="132">
        <f>IF(I51&lt;&gt;"",100%,IF(A51=$A$5,$B$5,IF(A51=$A$6,$B$6,IF(A51=$A$7,$B$7,IF(A51=$A$8,$B$8,IF(A51=$A$9,$B$9,0))))))</f>
        <v/>
      </c>
      <c r="P51" s="819">
        <f>N51*O51</f>
        <v/>
      </c>
      <c r="Q51" s="820">
        <f>E51</f>
        <v/>
      </c>
    </row>
    <row r="52" customFormat="1" s="699">
      <c r="A52" s="445" t="n"/>
      <c r="B52" s="445" t="n"/>
      <c r="C52" s="445" t="n"/>
      <c r="D52" s="445" t="n"/>
      <c r="E52" s="817" t="n"/>
      <c r="F52" s="447" t="n"/>
      <c r="G52" s="817" t="n"/>
      <c r="H52" s="817" t="n"/>
      <c r="I52" s="817" t="n"/>
      <c r="J52" s="817" t="n"/>
      <c r="K52" s="818">
        <f>B52&amp;"-"&amp;C52</f>
        <v/>
      </c>
      <c r="L52" s="818">
        <f>E52+G52</f>
        <v/>
      </c>
      <c r="M52" s="130">
        <f>IF(H52=0,"No Value",L52/H52)</f>
        <v/>
      </c>
      <c r="N52" s="819">
        <f>IF(I52&lt;&gt;"",I52,IF(L52-H52&lt;=0,0,IF(L52-H52&gt;=E52,E52,L52-H52)))</f>
        <v/>
      </c>
      <c r="O52" s="132">
        <f>IF(I52&lt;&gt;"",100%,IF(A52=$A$5,$B$5,IF(A52=$A$6,$B$6,IF(A52=$A$7,$B$7,IF(A52=$A$8,$B$8,IF(A52=$A$9,$B$9,0))))))</f>
        <v/>
      </c>
      <c r="P52" s="819">
        <f>N52*O52</f>
        <v/>
      </c>
      <c r="Q52" s="820">
        <f>E52</f>
        <v/>
      </c>
    </row>
    <row r="53" customFormat="1" s="699">
      <c r="A53" s="445" t="n"/>
      <c r="B53" s="445" t="n"/>
      <c r="C53" s="445" t="n"/>
      <c r="D53" s="445" t="n"/>
      <c r="E53" s="817" t="n"/>
      <c r="F53" s="447" t="n"/>
      <c r="G53" s="817" t="n"/>
      <c r="H53" s="817" t="n"/>
      <c r="I53" s="817" t="n"/>
      <c r="J53" s="817" t="n"/>
      <c r="K53" s="818">
        <f>B53&amp;"-"&amp;C53</f>
        <v/>
      </c>
      <c r="L53" s="818">
        <f>E53+G53</f>
        <v/>
      </c>
      <c r="M53" s="130">
        <f>IF(H53=0,"No Value",L53/H53)</f>
        <v/>
      </c>
      <c r="N53" s="819">
        <f>IF(I53&lt;&gt;"",I53,IF(L53-H53&lt;=0,0,IF(L53-H53&gt;=E53,E53,L53-H53)))</f>
        <v/>
      </c>
      <c r="O53" s="132">
        <f>IF(I53&lt;&gt;"",100%,IF(A53=$A$5,$B$5,IF(A53=$A$6,$B$6,IF(A53=$A$7,$B$7,IF(A53=$A$8,$B$8,IF(A53=$A$9,$B$9,0))))))</f>
        <v/>
      </c>
      <c r="P53" s="819">
        <f>N53*O53</f>
        <v/>
      </c>
      <c r="Q53" s="820">
        <f>E53</f>
        <v/>
      </c>
    </row>
    <row r="54" customFormat="1" s="699">
      <c r="A54" s="445" t="n"/>
      <c r="B54" s="445" t="n"/>
      <c r="C54" s="445" t="n"/>
      <c r="D54" s="445" t="n"/>
      <c r="E54" s="817" t="n"/>
      <c r="F54" s="447" t="n"/>
      <c r="G54" s="817" t="n"/>
      <c r="H54" s="817" t="n"/>
      <c r="I54" s="817" t="n"/>
      <c r="J54" s="817" t="n"/>
      <c r="K54" s="818">
        <f>B54&amp;"-"&amp;C54</f>
        <v/>
      </c>
      <c r="L54" s="818">
        <f>E54+G54</f>
        <v/>
      </c>
      <c r="M54" s="130">
        <f>IF(H54=0,"No Value",L54/H54)</f>
        <v/>
      </c>
      <c r="N54" s="819">
        <f>IF(I54&lt;&gt;"",I54,IF(L54-H54&lt;=0,0,IF(L54-H54&gt;=E54,E54,L54-H54)))</f>
        <v/>
      </c>
      <c r="O54" s="132">
        <f>IF(I54&lt;&gt;"",100%,IF(A54=$A$5,$B$5,IF(A54=$A$6,$B$6,IF(A54=$A$7,$B$7,IF(A54=$A$8,$B$8,IF(A54=$A$9,$B$9,0))))))</f>
        <v/>
      </c>
      <c r="P54" s="819">
        <f>N54*O54</f>
        <v/>
      </c>
      <c r="Q54" s="820">
        <f>E54</f>
        <v/>
      </c>
    </row>
    <row r="55" customFormat="1" s="699">
      <c r="A55" s="445" t="n"/>
      <c r="B55" s="445" t="n"/>
      <c r="C55" s="445" t="n"/>
      <c r="D55" s="445" t="n"/>
      <c r="E55" s="817" t="n"/>
      <c r="F55" s="447" t="n"/>
      <c r="G55" s="817" t="n"/>
      <c r="H55" s="817" t="n"/>
      <c r="I55" s="817" t="n"/>
      <c r="J55" s="817" t="n"/>
      <c r="K55" s="818">
        <f>B55&amp;"-"&amp;C55</f>
        <v/>
      </c>
      <c r="L55" s="818">
        <f>E55+G55</f>
        <v/>
      </c>
      <c r="M55" s="130">
        <f>IF(H55=0,"No Value",L55/H55)</f>
        <v/>
      </c>
      <c r="N55" s="819">
        <f>IF(I55&lt;&gt;"",I55,IF(L55-H55&lt;=0,0,IF(L55-H55&gt;=E55,E55,L55-H55)))</f>
        <v/>
      </c>
      <c r="O55" s="132">
        <f>IF(I55&lt;&gt;"",100%,IF(A55=$A$5,$B$5,IF(A55=$A$6,$B$6,IF(A55=$A$7,$B$7,IF(A55=$A$8,$B$8,IF(A55=$A$9,$B$9,0))))))</f>
        <v/>
      </c>
      <c r="P55" s="819">
        <f>N55*O55</f>
        <v/>
      </c>
      <c r="Q55" s="820">
        <f>E55</f>
        <v/>
      </c>
    </row>
    <row r="56" customFormat="1" s="699">
      <c r="A56" s="445" t="n"/>
      <c r="B56" s="445" t="n"/>
      <c r="C56" s="445" t="n"/>
      <c r="D56" s="445" t="n"/>
      <c r="E56" s="817" t="n"/>
      <c r="F56" s="447" t="n"/>
      <c r="G56" s="817" t="n"/>
      <c r="H56" s="817" t="n"/>
      <c r="I56" s="817" t="n"/>
      <c r="J56" s="817" t="n"/>
      <c r="K56" s="818">
        <f>B56&amp;"-"&amp;C56</f>
        <v/>
      </c>
      <c r="L56" s="818">
        <f>E56+G56</f>
        <v/>
      </c>
      <c r="M56" s="130">
        <f>IF(H56=0,"No Value",L56/H56)</f>
        <v/>
      </c>
      <c r="N56" s="819">
        <f>IF(I56&lt;&gt;"",I56,IF(L56-H56&lt;=0,0,IF(L56-H56&gt;=E56,E56,L56-H56)))</f>
        <v/>
      </c>
      <c r="O56" s="132">
        <f>IF(I56&lt;&gt;"",100%,IF(A56=$A$5,$B$5,IF(A56=$A$6,$B$6,IF(A56=$A$7,$B$7,IF(A56=$A$8,$B$8,IF(A56=$A$9,$B$9,0))))))</f>
        <v/>
      </c>
      <c r="P56" s="819">
        <f>N56*O56</f>
        <v/>
      </c>
      <c r="Q56" s="820">
        <f>E56</f>
        <v/>
      </c>
    </row>
    <row r="57" customFormat="1" s="699">
      <c r="A57" s="445" t="n"/>
      <c r="B57" s="445" t="n"/>
      <c r="C57" s="445" t="n"/>
      <c r="D57" s="445" t="n"/>
      <c r="E57" s="817" t="n"/>
      <c r="F57" s="447" t="n"/>
      <c r="G57" s="817" t="n"/>
      <c r="H57" s="817" t="n"/>
      <c r="I57" s="817" t="n"/>
      <c r="J57" s="817" t="n"/>
      <c r="K57" s="818">
        <f>B57&amp;"-"&amp;C57</f>
        <v/>
      </c>
      <c r="L57" s="818">
        <f>E57+G57</f>
        <v/>
      </c>
      <c r="M57" s="130">
        <f>IF(H57=0,"No Value",L57/H57)</f>
        <v/>
      </c>
      <c r="N57" s="819">
        <f>IF(I57&lt;&gt;"",I57,IF(L57-H57&lt;=0,0,IF(L57-H57&gt;=E57,E57,L57-H57)))</f>
        <v/>
      </c>
      <c r="O57" s="132">
        <f>IF(I57&lt;&gt;"",100%,IF(A57=$A$5,$B$5,IF(A57=$A$6,$B$6,IF(A57=$A$7,$B$7,IF(A57=$A$8,$B$8,IF(A57=$A$9,$B$9,0))))))</f>
        <v/>
      </c>
      <c r="P57" s="819">
        <f>N57*O57</f>
        <v/>
      </c>
      <c r="Q57" s="820">
        <f>E57</f>
        <v/>
      </c>
    </row>
    <row r="58" customFormat="1" s="699">
      <c r="A58" s="445" t="n"/>
      <c r="B58" s="445" t="n"/>
      <c r="C58" s="445" t="n"/>
      <c r="D58" s="445" t="n"/>
      <c r="E58" s="817" t="n"/>
      <c r="F58" s="447" t="n"/>
      <c r="G58" s="817" t="n"/>
      <c r="H58" s="817" t="n"/>
      <c r="I58" s="817" t="n"/>
      <c r="J58" s="817" t="n"/>
      <c r="K58" s="818">
        <f>B58&amp;"-"&amp;C58</f>
        <v/>
      </c>
      <c r="L58" s="818">
        <f>E58+G58</f>
        <v/>
      </c>
      <c r="M58" s="130">
        <f>IF(H58=0,"No Value",L58/H58)</f>
        <v/>
      </c>
      <c r="N58" s="819">
        <f>IF(I58&lt;&gt;"",I58,IF(L58-H58&lt;=0,0,IF(L58-H58&gt;=E58,E58,L58-H58)))</f>
        <v/>
      </c>
      <c r="O58" s="132">
        <f>IF(I58&lt;&gt;"",100%,IF(A58=$A$5,$B$5,IF(A58=$A$6,$B$6,IF(A58=$A$7,$B$7,IF(A58=$A$8,$B$8,IF(A58=$A$9,$B$9,0))))))</f>
        <v/>
      </c>
      <c r="P58" s="819">
        <f>N58*O58</f>
        <v/>
      </c>
      <c r="Q58" s="820">
        <f>E58</f>
        <v/>
      </c>
    </row>
    <row r="59" customFormat="1" s="699">
      <c r="A59" s="445" t="n"/>
      <c r="B59" s="445" t="n"/>
      <c r="C59" s="445" t="n"/>
      <c r="D59" s="445" t="n"/>
      <c r="E59" s="817" t="n"/>
      <c r="F59" s="447" t="n"/>
      <c r="G59" s="817" t="n"/>
      <c r="H59" s="817" t="n"/>
      <c r="I59" s="817" t="n"/>
      <c r="J59" s="817" t="n"/>
      <c r="K59" s="818">
        <f>B59&amp;"-"&amp;C59</f>
        <v/>
      </c>
      <c r="L59" s="818">
        <f>E59+G59</f>
        <v/>
      </c>
      <c r="M59" s="130">
        <f>IF(H59=0,"No Value",L59/H59)</f>
        <v/>
      </c>
      <c r="N59" s="819">
        <f>IF(I59&lt;&gt;"",I59,IF(L59-H59&lt;=0,0,IF(L59-H59&gt;=E59,E59,L59-H59)))</f>
        <v/>
      </c>
      <c r="O59" s="132">
        <f>IF(I59&lt;&gt;"",100%,IF(A59=$A$5,$B$5,IF(A59=$A$6,$B$6,IF(A59=$A$7,$B$7,IF(A59=$A$8,$B$8,IF(A59=$A$9,$B$9,0))))))</f>
        <v/>
      </c>
      <c r="P59" s="819">
        <f>N59*O59</f>
        <v/>
      </c>
      <c r="Q59" s="820">
        <f>E59</f>
        <v/>
      </c>
    </row>
    <row r="60" customFormat="1" s="699">
      <c r="A60" s="445" t="n"/>
      <c r="B60" s="445" t="n"/>
      <c r="C60" s="445" t="n"/>
      <c r="D60" s="445" t="n"/>
      <c r="E60" s="817" t="n"/>
      <c r="F60" s="447" t="n"/>
      <c r="G60" s="817" t="n"/>
      <c r="H60" s="817" t="n"/>
      <c r="I60" s="817" t="n"/>
      <c r="J60" s="817" t="n"/>
      <c r="K60" s="818">
        <f>B60&amp;"-"&amp;C60</f>
        <v/>
      </c>
      <c r="L60" s="818">
        <f>E60+G60</f>
        <v/>
      </c>
      <c r="M60" s="130">
        <f>IF(H60=0,"No Value",L60/H60)</f>
        <v/>
      </c>
      <c r="N60" s="819">
        <f>IF(I60&lt;&gt;"",I60,IF(L60-H60&lt;=0,0,IF(L60-H60&gt;=E60,E60,L60-H60)))</f>
        <v/>
      </c>
      <c r="O60" s="132">
        <f>IF(I60&lt;&gt;"",100%,IF(A60=$A$5,$B$5,IF(A60=$A$6,$B$6,IF(A60=$A$7,$B$7,IF(A60=$A$8,$B$8,IF(A60=$A$9,$B$9,0))))))</f>
        <v/>
      </c>
      <c r="P60" s="819">
        <f>N60*O60</f>
        <v/>
      </c>
      <c r="Q60" s="820">
        <f>E60</f>
        <v/>
      </c>
    </row>
    <row r="61" customFormat="1" s="699">
      <c r="A61" s="445" t="n"/>
      <c r="B61" s="445" t="n"/>
      <c r="C61" s="445" t="n"/>
      <c r="D61" s="445" t="n"/>
      <c r="E61" s="817" t="n"/>
      <c r="F61" s="447" t="n"/>
      <c r="G61" s="817" t="n"/>
      <c r="H61" s="817" t="n"/>
      <c r="I61" s="817" t="n"/>
      <c r="J61" s="817" t="n"/>
      <c r="K61" s="818">
        <f>B61&amp;"-"&amp;C61</f>
        <v/>
      </c>
      <c r="L61" s="818">
        <f>E61+G61</f>
        <v/>
      </c>
      <c r="M61" s="130">
        <f>IF(H61=0,"No Value",L61/H61)</f>
        <v/>
      </c>
      <c r="N61" s="819">
        <f>IF(I61&lt;&gt;"",I61,IF(L61-H61&lt;=0,0,IF(L61-H61&gt;=E61,E61,L61-H61)))</f>
        <v/>
      </c>
      <c r="O61" s="132">
        <f>IF(I61&lt;&gt;"",100%,IF(A61=$A$5,$B$5,IF(A61=$A$6,$B$6,IF(A61=$A$7,$B$7,IF(A61=$A$8,$B$8,IF(A61=$A$9,$B$9,0))))))</f>
        <v/>
      </c>
      <c r="P61" s="819">
        <f>N61*O61</f>
        <v/>
      </c>
      <c r="Q61" s="820">
        <f>E61</f>
        <v/>
      </c>
    </row>
    <row r="62" customFormat="1" s="699">
      <c r="A62" s="445" t="n"/>
      <c r="B62" s="445" t="n"/>
      <c r="C62" s="445" t="n"/>
      <c r="D62" s="445" t="n"/>
      <c r="E62" s="817" t="n"/>
      <c r="F62" s="447" t="n"/>
      <c r="G62" s="817" t="n"/>
      <c r="H62" s="817" t="n"/>
      <c r="I62" s="817" t="n"/>
      <c r="J62" s="817" t="n"/>
      <c r="K62" s="818">
        <f>B62&amp;"-"&amp;C62</f>
        <v/>
      </c>
      <c r="L62" s="818">
        <f>E62+G62</f>
        <v/>
      </c>
      <c r="M62" s="130">
        <f>IF(H62=0,"No Value",L62/H62)</f>
        <v/>
      </c>
      <c r="N62" s="819">
        <f>IF(I62&lt;&gt;"",I62,IF(L62-H62&lt;=0,0,IF(L62-H62&gt;=E62,E62,L62-H62)))</f>
        <v/>
      </c>
      <c r="O62" s="132">
        <f>IF(I62&lt;&gt;"",100%,IF(A62=$A$5,$B$5,IF(A62=$A$6,$B$6,IF(A62=$A$7,$B$7,IF(A62=$A$8,$B$8,IF(A62=$A$9,$B$9,0))))))</f>
        <v/>
      </c>
      <c r="P62" s="819">
        <f>N62*O62</f>
        <v/>
      </c>
      <c r="Q62" s="820">
        <f>E62</f>
        <v/>
      </c>
    </row>
    <row r="63" customFormat="1" s="699">
      <c r="A63" s="445" t="n"/>
      <c r="B63" s="445" t="n"/>
      <c r="C63" s="445" t="n"/>
      <c r="D63" s="445" t="n"/>
      <c r="E63" s="817" t="n"/>
      <c r="F63" s="447" t="n"/>
      <c r="G63" s="817" t="n"/>
      <c r="H63" s="817" t="n"/>
      <c r="I63" s="817" t="n"/>
      <c r="J63" s="817" t="n"/>
      <c r="K63" s="818">
        <f>B63&amp;"-"&amp;C63</f>
        <v/>
      </c>
      <c r="L63" s="818">
        <f>E63+G63</f>
        <v/>
      </c>
      <c r="M63" s="130">
        <f>IF(H63=0,"No Value",L63/H63)</f>
        <v/>
      </c>
      <c r="N63" s="819">
        <f>IF(I63&lt;&gt;"",I63,IF(L63-H63&lt;=0,0,IF(L63-H63&gt;=E63,E63,L63-H63)))</f>
        <v/>
      </c>
      <c r="O63" s="132">
        <f>IF(I63&lt;&gt;"",100%,IF(A63=$A$5,$B$5,IF(A63=$A$6,$B$6,IF(A63=$A$7,$B$7,IF(A63=$A$8,$B$8,IF(A63=$A$9,$B$9,0))))))</f>
        <v/>
      </c>
      <c r="P63" s="819">
        <f>N63*O63</f>
        <v/>
      </c>
      <c r="Q63" s="820">
        <f>E63</f>
        <v/>
      </c>
    </row>
    <row r="64" customFormat="1" s="699">
      <c r="A64" s="445" t="n"/>
      <c r="B64" s="445" t="n"/>
      <c r="C64" s="445" t="n"/>
      <c r="D64" s="445" t="n"/>
      <c r="E64" s="817" t="n"/>
      <c r="F64" s="447" t="n"/>
      <c r="G64" s="817" t="n"/>
      <c r="H64" s="817" t="n"/>
      <c r="I64" s="817" t="n"/>
      <c r="J64" s="817" t="n"/>
      <c r="K64" s="818">
        <f>B64&amp;"-"&amp;C64</f>
        <v/>
      </c>
      <c r="L64" s="818">
        <f>E64+G64</f>
        <v/>
      </c>
      <c r="M64" s="130">
        <f>IF(H64=0,"No Value",L64/H64)</f>
        <v/>
      </c>
      <c r="N64" s="819">
        <f>IF(I64&lt;&gt;"",I64,IF(L64-H64&lt;=0,0,IF(L64-H64&gt;=E64,E64,L64-H64)))</f>
        <v/>
      </c>
      <c r="O64" s="132">
        <f>IF(I64&lt;&gt;"",100%,IF(A64=$A$5,$B$5,IF(A64=$A$6,$B$6,IF(A64=$A$7,$B$7,IF(A64=$A$8,$B$8,IF(A64=$A$9,$B$9,0))))))</f>
        <v/>
      </c>
      <c r="P64" s="819">
        <f>N64*O64</f>
        <v/>
      </c>
      <c r="Q64" s="820">
        <f>E64</f>
        <v/>
      </c>
    </row>
    <row r="65" customFormat="1" s="699">
      <c r="A65" s="445" t="n"/>
      <c r="B65" s="445" t="n"/>
      <c r="C65" s="445" t="n"/>
      <c r="D65" s="445" t="n"/>
      <c r="E65" s="817" t="n"/>
      <c r="F65" s="447" t="n"/>
      <c r="G65" s="817" t="n"/>
      <c r="H65" s="817" t="n"/>
      <c r="I65" s="817" t="n"/>
      <c r="J65" s="817" t="n"/>
      <c r="K65" s="818">
        <f>B65&amp;"-"&amp;C65</f>
        <v/>
      </c>
      <c r="L65" s="818">
        <f>E65+G65</f>
        <v/>
      </c>
      <c r="M65" s="130">
        <f>IF(H65=0,"No Value",L65/H65)</f>
        <v/>
      </c>
      <c r="N65" s="819">
        <f>IF(I65&lt;&gt;"",I65,IF(L65-H65&lt;=0,0,IF(L65-H65&gt;=E65,E65,L65-H65)))</f>
        <v/>
      </c>
      <c r="O65" s="132">
        <f>IF(I65&lt;&gt;"",100%,IF(A65=$A$5,$B$5,IF(A65=$A$6,$B$6,IF(A65=$A$7,$B$7,IF(A65=$A$8,$B$8,IF(A65=$A$9,$B$9,0))))))</f>
        <v/>
      </c>
      <c r="P65" s="819">
        <f>N65*O65</f>
        <v/>
      </c>
      <c r="Q65" s="820">
        <f>E65</f>
        <v/>
      </c>
    </row>
    <row r="66" customFormat="1" s="699">
      <c r="A66" s="445" t="n"/>
      <c r="B66" s="445" t="n"/>
      <c r="C66" s="445" t="n"/>
      <c r="D66" s="445" t="n"/>
      <c r="E66" s="817" t="n"/>
      <c r="F66" s="447" t="n"/>
      <c r="G66" s="817" t="n"/>
      <c r="H66" s="817" t="n"/>
      <c r="I66" s="817" t="n"/>
      <c r="J66" s="817" t="n"/>
      <c r="K66" s="818">
        <f>B66&amp;"-"&amp;C66</f>
        <v/>
      </c>
      <c r="L66" s="818">
        <f>E66+G66</f>
        <v/>
      </c>
      <c r="M66" s="130">
        <f>IF(H66=0,"No Value",L66/H66)</f>
        <v/>
      </c>
      <c r="N66" s="819">
        <f>IF(I66&lt;&gt;"",I66,IF(L66-H66&lt;=0,0,IF(L66-H66&gt;=E66,E66,L66-H66)))</f>
        <v/>
      </c>
      <c r="O66" s="132">
        <f>IF(I66&lt;&gt;"",100%,IF(A66=$A$5,$B$5,IF(A66=$A$6,$B$6,IF(A66=$A$7,$B$7,IF(A66=$A$8,$B$8,IF(A66=$A$9,$B$9,0))))))</f>
        <v/>
      </c>
      <c r="P66" s="819">
        <f>N66*O66</f>
        <v/>
      </c>
      <c r="Q66" s="820">
        <f>E66</f>
        <v/>
      </c>
    </row>
    <row r="67" customFormat="1" s="699">
      <c r="A67" s="445" t="n"/>
      <c r="B67" s="445" t="n"/>
      <c r="C67" s="445" t="n"/>
      <c r="D67" s="445" t="n"/>
      <c r="E67" s="817" t="n"/>
      <c r="F67" s="447" t="n"/>
      <c r="G67" s="817" t="n"/>
      <c r="H67" s="817" t="n"/>
      <c r="I67" s="817" t="n"/>
      <c r="J67" s="817" t="n"/>
      <c r="K67" s="818">
        <f>B67&amp;"-"&amp;C67</f>
        <v/>
      </c>
      <c r="L67" s="818">
        <f>E67+G67</f>
        <v/>
      </c>
      <c r="M67" s="130">
        <f>IF(H67=0,"No Value",L67/H67)</f>
        <v/>
      </c>
      <c r="N67" s="819">
        <f>IF(I67&lt;&gt;"",I67,IF(L67-H67&lt;=0,0,IF(L67-H67&gt;=E67,E67,L67-H67)))</f>
        <v/>
      </c>
      <c r="O67" s="132">
        <f>IF(I67&lt;&gt;"",100%,IF(A67=$A$5,$B$5,IF(A67=$A$6,$B$6,IF(A67=$A$7,$B$7,IF(A67=$A$8,$B$8,IF(A67=$A$9,$B$9,0))))))</f>
        <v/>
      </c>
      <c r="P67" s="819">
        <f>N67*O67</f>
        <v/>
      </c>
      <c r="Q67" s="820">
        <f>E67</f>
        <v/>
      </c>
    </row>
    <row r="68" customFormat="1" s="699">
      <c r="A68" s="445" t="n"/>
      <c r="B68" s="445" t="n"/>
      <c r="C68" s="445" t="n"/>
      <c r="D68" s="445" t="n"/>
      <c r="E68" s="817" t="n"/>
      <c r="F68" s="447" t="n"/>
      <c r="G68" s="817" t="n"/>
      <c r="H68" s="817" t="n"/>
      <c r="I68" s="817" t="n"/>
      <c r="J68" s="817" t="n"/>
      <c r="K68" s="818">
        <f>B68&amp;"-"&amp;C68</f>
        <v/>
      </c>
      <c r="L68" s="818">
        <f>E68+G68</f>
        <v/>
      </c>
      <c r="M68" s="130">
        <f>IF(H68=0,"No Value",L68/H68)</f>
        <v/>
      </c>
      <c r="N68" s="819">
        <f>IF(I68&lt;&gt;"",I68,IF(L68-H68&lt;=0,0,IF(L68-H68&gt;=E68,E68,L68-H68)))</f>
        <v/>
      </c>
      <c r="O68" s="132">
        <f>IF(I68&lt;&gt;"",100%,IF(A68=$A$5,$B$5,IF(A68=$A$6,$B$6,IF(A68=$A$7,$B$7,IF(A68=$A$8,$B$8,IF(A68=$A$9,$B$9,0))))))</f>
        <v/>
      </c>
      <c r="P68" s="819">
        <f>N68*O68</f>
        <v/>
      </c>
      <c r="Q68" s="820">
        <f>E68</f>
        <v/>
      </c>
    </row>
    <row r="69" customFormat="1" s="699">
      <c r="A69" s="445" t="n"/>
      <c r="B69" s="445" t="n"/>
      <c r="C69" s="445" t="n"/>
      <c r="D69" s="445" t="n"/>
      <c r="E69" s="817" t="n"/>
      <c r="F69" s="447" t="n"/>
      <c r="G69" s="817" t="n"/>
      <c r="H69" s="817" t="n"/>
      <c r="I69" s="817" t="n"/>
      <c r="J69" s="817" t="n"/>
      <c r="K69" s="818">
        <f>B69&amp;"-"&amp;C69</f>
        <v/>
      </c>
      <c r="L69" s="818">
        <f>E69+G69</f>
        <v/>
      </c>
      <c r="M69" s="130">
        <f>IF(H69=0,"No Value",L69/H69)</f>
        <v/>
      </c>
      <c r="N69" s="819">
        <f>IF(I69&lt;&gt;"",I69,IF(L69-H69&lt;=0,0,IF(L69-H69&gt;=E69,E69,L69-H69)))</f>
        <v/>
      </c>
      <c r="O69" s="132">
        <f>IF(I69&lt;&gt;"",100%,IF(A69=$A$5,$B$5,IF(A69=$A$6,$B$6,IF(A69=$A$7,$B$7,IF(A69=$A$8,$B$8,IF(A69=$A$9,$B$9,0))))))</f>
        <v/>
      </c>
      <c r="P69" s="819">
        <f>N69*O69</f>
        <v/>
      </c>
      <c r="Q69" s="820">
        <f>E69</f>
        <v/>
      </c>
    </row>
    <row r="70" customFormat="1" s="699">
      <c r="A70" s="445" t="n"/>
      <c r="B70" s="445" t="n"/>
      <c r="C70" s="445" t="n"/>
      <c r="D70" s="445" t="n"/>
      <c r="E70" s="817" t="n"/>
      <c r="F70" s="447" t="n"/>
      <c r="G70" s="817" t="n"/>
      <c r="H70" s="817" t="n"/>
      <c r="I70" s="817" t="n"/>
      <c r="J70" s="817" t="n"/>
      <c r="K70" s="818">
        <f>B70&amp;"-"&amp;C70</f>
        <v/>
      </c>
      <c r="L70" s="818">
        <f>E70+G70</f>
        <v/>
      </c>
      <c r="M70" s="130">
        <f>IF(H70=0,"No Value",L70/H70)</f>
        <v/>
      </c>
      <c r="N70" s="819">
        <f>IF(I70&lt;&gt;"",I70,IF(L70-H70&lt;=0,0,IF(L70-H70&gt;=E70,E70,L70-H70)))</f>
        <v/>
      </c>
      <c r="O70" s="132">
        <f>IF(I70&lt;&gt;"",100%,IF(A70=$A$5,$B$5,IF(A70=$A$6,$B$6,IF(A70=$A$7,$B$7,IF(A70=$A$8,$B$8,IF(A70=$A$9,$B$9,0))))))</f>
        <v/>
      </c>
      <c r="P70" s="819">
        <f>N70*O70</f>
        <v/>
      </c>
      <c r="Q70" s="820">
        <f>E70</f>
        <v/>
      </c>
    </row>
    <row r="71" customFormat="1" s="699">
      <c r="A71" s="445" t="n"/>
      <c r="B71" s="445" t="n"/>
      <c r="C71" s="445" t="n"/>
      <c r="D71" s="445" t="n"/>
      <c r="E71" s="817" t="n"/>
      <c r="F71" s="447" t="n"/>
      <c r="G71" s="817" t="n"/>
      <c r="H71" s="817" t="n"/>
      <c r="I71" s="817" t="n"/>
      <c r="J71" s="817" t="n"/>
      <c r="K71" s="818">
        <f>B71&amp;"-"&amp;C71</f>
        <v/>
      </c>
      <c r="L71" s="818">
        <f>E71+G71</f>
        <v/>
      </c>
      <c r="M71" s="130">
        <f>IF(H71=0,"No Value",L71/H71)</f>
        <v/>
      </c>
      <c r="N71" s="819">
        <f>IF(I71&lt;&gt;"",I71,IF(L71-H71&lt;=0,0,IF(L71-H71&gt;=E71,E71,L71-H71)))</f>
        <v/>
      </c>
      <c r="O71" s="132">
        <f>IF(I71&lt;&gt;"",100%,IF(A71=$A$5,$B$5,IF(A71=$A$6,$B$6,IF(A71=$A$7,$B$7,IF(A71=$A$8,$B$8,IF(A71=$A$9,$B$9,0))))))</f>
        <v/>
      </c>
      <c r="P71" s="819">
        <f>N71*O71</f>
        <v/>
      </c>
      <c r="Q71" s="820">
        <f>E71</f>
        <v/>
      </c>
    </row>
    <row r="72" customFormat="1" s="699">
      <c r="A72" s="445" t="n"/>
      <c r="B72" s="445" t="n"/>
      <c r="C72" s="445" t="n"/>
      <c r="D72" s="445" t="n"/>
      <c r="E72" s="817" t="n"/>
      <c r="F72" s="447" t="n"/>
      <c r="G72" s="817" t="n"/>
      <c r="H72" s="817" t="n"/>
      <c r="I72" s="817" t="n"/>
      <c r="J72" s="817" t="n"/>
      <c r="K72" s="818">
        <f>B72&amp;"-"&amp;C72</f>
        <v/>
      </c>
      <c r="L72" s="818">
        <f>E72+G72</f>
        <v/>
      </c>
      <c r="M72" s="130">
        <f>IF(H72=0,"No Value",L72/H72)</f>
        <v/>
      </c>
      <c r="N72" s="819">
        <f>IF(I72&lt;&gt;"",I72,IF(L72-H72&lt;=0,0,IF(L72-H72&gt;=E72,E72,L72-H72)))</f>
        <v/>
      </c>
      <c r="O72" s="132">
        <f>IF(I72&lt;&gt;"",100%,IF(A72=$A$5,$B$5,IF(A72=$A$6,$B$6,IF(A72=$A$7,$B$7,IF(A72=$A$8,$B$8,IF(A72=$A$9,$B$9,0))))))</f>
        <v/>
      </c>
      <c r="P72" s="819">
        <f>N72*O72</f>
        <v/>
      </c>
      <c r="Q72" s="820">
        <f>E72</f>
        <v/>
      </c>
    </row>
    <row r="73" customFormat="1" s="699">
      <c r="A73" s="445" t="n"/>
      <c r="B73" s="445" t="n"/>
      <c r="C73" s="445" t="n"/>
      <c r="D73" s="445" t="n"/>
      <c r="E73" s="817" t="n"/>
      <c r="F73" s="447" t="n"/>
      <c r="G73" s="817" t="n"/>
      <c r="H73" s="817" t="n"/>
      <c r="I73" s="817" t="n"/>
      <c r="J73" s="817" t="n"/>
      <c r="K73" s="818">
        <f>B73&amp;"-"&amp;C73</f>
        <v/>
      </c>
      <c r="L73" s="818">
        <f>E73+G73</f>
        <v/>
      </c>
      <c r="M73" s="130">
        <f>IF(H73=0,"No Value",L73/H73)</f>
        <v/>
      </c>
      <c r="N73" s="819">
        <f>IF(I73&lt;&gt;"",I73,IF(L73-H73&lt;=0,0,IF(L73-H73&gt;=E73,E73,L73-H73)))</f>
        <v/>
      </c>
      <c r="O73" s="132">
        <f>IF(I73&lt;&gt;"",100%,IF(A73=$A$5,$B$5,IF(A73=$A$6,$B$6,IF(A73=$A$7,$B$7,IF(A73=$A$8,$B$8,IF(A73=$A$9,$B$9,0))))))</f>
        <v/>
      </c>
      <c r="P73" s="819">
        <f>N73*O73</f>
        <v/>
      </c>
      <c r="Q73" s="820">
        <f>E73</f>
        <v/>
      </c>
    </row>
    <row r="74" customFormat="1" s="699">
      <c r="A74" s="445" t="n"/>
      <c r="B74" s="445" t="n"/>
      <c r="C74" s="445" t="n"/>
      <c r="D74" s="445" t="n"/>
      <c r="E74" s="817" t="n"/>
      <c r="F74" s="447" t="n"/>
      <c r="G74" s="817" t="n"/>
      <c r="H74" s="817" t="n"/>
      <c r="I74" s="817" t="n"/>
      <c r="J74" s="817" t="n"/>
      <c r="K74" s="818">
        <f>B74&amp;"-"&amp;C74</f>
        <v/>
      </c>
      <c r="L74" s="818">
        <f>E74+G74</f>
        <v/>
      </c>
      <c r="M74" s="130">
        <f>IF(H74=0,"No Value",L74/H74)</f>
        <v/>
      </c>
      <c r="N74" s="819">
        <f>IF(I74&lt;&gt;"",I74,IF(L74-H74&lt;=0,0,IF(L74-H74&gt;=E74,E74,L74-H74)))</f>
        <v/>
      </c>
      <c r="O74" s="132">
        <f>IF(I74&lt;&gt;"",100%,IF(A74=$A$5,$B$5,IF(A74=$A$6,$B$6,IF(A74=$A$7,$B$7,IF(A74=$A$8,$B$8,IF(A74=$A$9,$B$9,0))))))</f>
        <v/>
      </c>
      <c r="P74" s="819">
        <f>N74*O74</f>
        <v/>
      </c>
      <c r="Q74" s="820">
        <f>E74</f>
        <v/>
      </c>
    </row>
    <row r="75" customFormat="1" s="699">
      <c r="A75" s="445" t="n"/>
      <c r="B75" s="445" t="n"/>
      <c r="C75" s="445" t="n"/>
      <c r="D75" s="445" t="n"/>
      <c r="E75" s="817" t="n"/>
      <c r="F75" s="447" t="n"/>
      <c r="G75" s="817" t="n"/>
      <c r="H75" s="817" t="n"/>
      <c r="I75" s="817" t="n"/>
      <c r="J75" s="817" t="n"/>
      <c r="K75" s="818">
        <f>B75&amp;"-"&amp;C75</f>
        <v/>
      </c>
      <c r="L75" s="818">
        <f>E75+G75</f>
        <v/>
      </c>
      <c r="M75" s="130">
        <f>IF(H75=0,"No Value",L75/H75)</f>
        <v/>
      </c>
      <c r="N75" s="819">
        <f>IF(I75&lt;&gt;"",I75,IF(L75-H75&lt;=0,0,IF(L75-H75&gt;=E75,E75,L75-H75)))</f>
        <v/>
      </c>
      <c r="O75" s="132">
        <f>IF(I75&lt;&gt;"",100%,IF(A75=$A$5,$B$5,IF(A75=$A$6,$B$6,IF(A75=$A$7,$B$7,IF(A75=$A$8,$B$8,IF(A75=$A$9,$B$9,0))))))</f>
        <v/>
      </c>
      <c r="P75" s="819">
        <f>N75*O75</f>
        <v/>
      </c>
      <c r="Q75" s="820">
        <f>E75</f>
        <v/>
      </c>
    </row>
    <row r="76" customFormat="1" s="699">
      <c r="A76" s="445" t="n"/>
      <c r="B76" s="445" t="n"/>
      <c r="C76" s="445" t="n"/>
      <c r="D76" s="445" t="n"/>
      <c r="E76" s="817" t="n"/>
      <c r="F76" s="447" t="n"/>
      <c r="G76" s="817" t="n"/>
      <c r="H76" s="817" t="n"/>
      <c r="I76" s="817" t="n"/>
      <c r="J76" s="817" t="n"/>
      <c r="K76" s="818">
        <f>B76&amp;"-"&amp;C76</f>
        <v/>
      </c>
      <c r="L76" s="818">
        <f>E76+G76</f>
        <v/>
      </c>
      <c r="M76" s="130">
        <f>IF(H76=0,"No Value",L76/H76)</f>
        <v/>
      </c>
      <c r="N76" s="819">
        <f>IF(I76&lt;&gt;"",I76,IF(L76-H76&lt;=0,0,IF(L76-H76&gt;=E76,E76,L76-H76)))</f>
        <v/>
      </c>
      <c r="O76" s="132">
        <f>IF(I76&lt;&gt;"",100%,IF(A76=$A$5,$B$5,IF(A76=$A$6,$B$6,IF(A76=$A$7,$B$7,IF(A76=$A$8,$B$8,IF(A76=$A$9,$B$9,0))))))</f>
        <v/>
      </c>
      <c r="P76" s="819">
        <f>N76*O76</f>
        <v/>
      </c>
      <c r="Q76" s="820">
        <f>E76</f>
        <v/>
      </c>
    </row>
    <row r="77" customFormat="1" s="699">
      <c r="A77" s="445" t="n"/>
      <c r="B77" s="445" t="n"/>
      <c r="C77" s="445" t="n"/>
      <c r="D77" s="445" t="n"/>
      <c r="E77" s="817" t="n"/>
      <c r="F77" s="447" t="n"/>
      <c r="G77" s="817" t="n"/>
      <c r="H77" s="817" t="n"/>
      <c r="I77" s="817" t="n"/>
      <c r="J77" s="817" t="n"/>
      <c r="K77" s="818">
        <f>B77&amp;"-"&amp;C77</f>
        <v/>
      </c>
      <c r="L77" s="818">
        <f>E77+G77</f>
        <v/>
      </c>
      <c r="M77" s="130">
        <f>IF(H77=0,"No Value",L77/H77)</f>
        <v/>
      </c>
      <c r="N77" s="819">
        <f>IF(I77&lt;&gt;"",I77,IF(L77-H77&lt;=0,0,IF(L77-H77&gt;=E77,E77,L77-H77)))</f>
        <v/>
      </c>
      <c r="O77" s="132">
        <f>IF(I77&lt;&gt;"",100%,IF(A77=$A$5,$B$5,IF(A77=$A$6,$B$6,IF(A77=$A$7,$B$7,IF(A77=$A$8,$B$8,IF(A77=$A$9,$B$9,0))))))</f>
        <v/>
      </c>
      <c r="P77" s="819">
        <f>N77*O77</f>
        <v/>
      </c>
      <c r="Q77" s="820">
        <f>E77</f>
        <v/>
      </c>
    </row>
    <row r="78" customFormat="1" s="699">
      <c r="A78" s="445" t="n"/>
      <c r="B78" s="445" t="n"/>
      <c r="C78" s="445" t="n"/>
      <c r="D78" s="445" t="n"/>
      <c r="E78" s="817" t="n"/>
      <c r="F78" s="447" t="n"/>
      <c r="G78" s="817" t="n"/>
      <c r="H78" s="817" t="n"/>
      <c r="I78" s="817" t="n"/>
      <c r="J78" s="817" t="n"/>
      <c r="K78" s="818">
        <f>B78&amp;"-"&amp;C78</f>
        <v/>
      </c>
      <c r="L78" s="818">
        <f>E78+G78</f>
        <v/>
      </c>
      <c r="M78" s="130">
        <f>IF(H78=0,"No Value",L78/H78)</f>
        <v/>
      </c>
      <c r="N78" s="819">
        <f>IF(I78&lt;&gt;"",I78,IF(L78-H78&lt;=0,0,IF(L78-H78&gt;=E78,E78,L78-H78)))</f>
        <v/>
      </c>
      <c r="O78" s="132">
        <f>IF(I78&lt;&gt;"",100%,IF(A78=$A$5,$B$5,IF(A78=$A$6,$B$6,IF(A78=$A$7,$B$7,IF(A78=$A$8,$B$8,IF(A78=$A$9,$B$9,0))))))</f>
        <v/>
      </c>
      <c r="P78" s="819">
        <f>N78*O78</f>
        <v/>
      </c>
      <c r="Q78" s="820">
        <f>E78</f>
        <v/>
      </c>
    </row>
    <row r="79" customFormat="1" s="699">
      <c r="A79" s="445" t="n"/>
      <c r="B79" s="445" t="n"/>
      <c r="C79" s="445" t="n"/>
      <c r="D79" s="445" t="n"/>
      <c r="E79" s="817" t="n"/>
      <c r="F79" s="447" t="n"/>
      <c r="G79" s="817" t="n"/>
      <c r="H79" s="817" t="n"/>
      <c r="I79" s="817" t="n"/>
      <c r="J79" s="817" t="n"/>
      <c r="K79" s="818">
        <f>B79&amp;"-"&amp;C79</f>
        <v/>
      </c>
      <c r="L79" s="818">
        <f>E79+G79</f>
        <v/>
      </c>
      <c r="M79" s="130">
        <f>IF(H79=0,"No Value",L79/H79)</f>
        <v/>
      </c>
      <c r="N79" s="819">
        <f>IF(I79&lt;&gt;"",I79,IF(L79-H79&lt;=0,0,IF(L79-H79&gt;=E79,E79,L79-H79)))</f>
        <v/>
      </c>
      <c r="O79" s="132">
        <f>IF(I79&lt;&gt;"",100%,IF(A79=$A$5,$B$5,IF(A79=$A$6,$B$6,IF(A79=$A$7,$B$7,IF(A79=$A$8,$B$8,IF(A79=$A$9,$B$9,0))))))</f>
        <v/>
      </c>
      <c r="P79" s="819">
        <f>N79*O79</f>
        <v/>
      </c>
      <c r="Q79" s="820">
        <f>E79</f>
        <v/>
      </c>
    </row>
    <row r="80" customFormat="1" s="699">
      <c r="A80" s="445" t="n"/>
      <c r="B80" s="445" t="n"/>
      <c r="C80" s="445" t="n"/>
      <c r="D80" s="445" t="n"/>
      <c r="E80" s="817" t="n"/>
      <c r="F80" s="447" t="n"/>
      <c r="G80" s="817" t="n"/>
      <c r="H80" s="817" t="n"/>
      <c r="I80" s="817" t="n"/>
      <c r="J80" s="817" t="n"/>
      <c r="K80" s="818">
        <f>B80&amp;"-"&amp;C80</f>
        <v/>
      </c>
      <c r="L80" s="818">
        <f>E80+G80</f>
        <v/>
      </c>
      <c r="M80" s="130">
        <f>IF(H80=0,"No Value",L80/H80)</f>
        <v/>
      </c>
      <c r="N80" s="819">
        <f>IF(I80&lt;&gt;"",I80,IF(L80-H80&lt;=0,0,IF(L80-H80&gt;=E80,E80,L80-H80)))</f>
        <v/>
      </c>
      <c r="O80" s="132">
        <f>IF(I80&lt;&gt;"",100%,IF(A80=$A$5,$B$5,IF(A80=$A$6,$B$6,IF(A80=$A$7,$B$7,IF(A80=$A$8,$B$8,IF(A80=$A$9,$B$9,0))))))</f>
        <v/>
      </c>
      <c r="P80" s="819">
        <f>N80*O80</f>
        <v/>
      </c>
      <c r="Q80" s="820">
        <f>E80</f>
        <v/>
      </c>
    </row>
    <row r="81" customFormat="1" s="699">
      <c r="A81" s="445" t="n"/>
      <c r="B81" s="445" t="n"/>
      <c r="C81" s="445" t="n"/>
      <c r="D81" s="445" t="n"/>
      <c r="E81" s="817" t="n"/>
      <c r="F81" s="447" t="n"/>
      <c r="G81" s="817" t="n"/>
      <c r="H81" s="817" t="n"/>
      <c r="I81" s="817" t="n"/>
      <c r="J81" s="817" t="n"/>
      <c r="K81" s="818">
        <f>B81&amp;"-"&amp;C81</f>
        <v/>
      </c>
      <c r="L81" s="818">
        <f>E81+G81</f>
        <v/>
      </c>
      <c r="M81" s="130">
        <f>IF(H81=0,"No Value",L81/H81)</f>
        <v/>
      </c>
      <c r="N81" s="819">
        <f>IF(I81&lt;&gt;"",I81,IF(L81-H81&lt;=0,0,IF(L81-H81&gt;=E81,E81,L81-H81)))</f>
        <v/>
      </c>
      <c r="O81" s="132">
        <f>IF(I81&lt;&gt;"",100%,IF(A81=$A$5,$B$5,IF(A81=$A$6,$B$6,IF(A81=$A$7,$B$7,IF(A81=$A$8,$B$8,IF(A81=$A$9,$B$9,0))))))</f>
        <v/>
      </c>
      <c r="P81" s="819">
        <f>N81*O81</f>
        <v/>
      </c>
      <c r="Q81" s="820">
        <f>E81</f>
        <v/>
      </c>
    </row>
    <row r="82" customFormat="1" s="699">
      <c r="A82" s="445" t="n"/>
      <c r="B82" s="445" t="n"/>
      <c r="C82" s="445" t="n"/>
      <c r="D82" s="445" t="n"/>
      <c r="E82" s="817" t="n"/>
      <c r="F82" s="447" t="n"/>
      <c r="G82" s="817" t="n"/>
      <c r="H82" s="817" t="n"/>
      <c r="I82" s="817" t="n"/>
      <c r="J82" s="817" t="n"/>
      <c r="K82" s="818">
        <f>B82&amp;"-"&amp;C82</f>
        <v/>
      </c>
      <c r="L82" s="818">
        <f>E82+G82</f>
        <v/>
      </c>
      <c r="M82" s="130">
        <f>IF(H82=0,"No Value",L82/H82)</f>
        <v/>
      </c>
      <c r="N82" s="819">
        <f>IF(I82&lt;&gt;"",I82,IF(L82-H82&lt;=0,0,IF(L82-H82&gt;=E82,E82,L82-H82)))</f>
        <v/>
      </c>
      <c r="O82" s="132">
        <f>IF(I82&lt;&gt;"",100%,IF(A82=$A$5,$B$5,IF(A82=$A$6,$B$6,IF(A82=$A$7,$B$7,IF(A82=$A$8,$B$8,IF(A82=$A$9,$B$9,0))))))</f>
        <v/>
      </c>
      <c r="P82" s="819">
        <f>N82*O82</f>
        <v/>
      </c>
      <c r="Q82" s="820">
        <f>E82</f>
        <v/>
      </c>
    </row>
    <row r="83" customFormat="1" s="699">
      <c r="A83" s="445" t="n"/>
      <c r="B83" s="445" t="n"/>
      <c r="C83" s="445" t="n"/>
      <c r="D83" s="445" t="n"/>
      <c r="E83" s="817" t="n"/>
      <c r="F83" s="447" t="n"/>
      <c r="G83" s="817" t="n"/>
      <c r="H83" s="817" t="n"/>
      <c r="I83" s="817" t="n"/>
      <c r="J83" s="817" t="n"/>
      <c r="K83" s="818">
        <f>B83&amp;"-"&amp;C83</f>
        <v/>
      </c>
      <c r="L83" s="818">
        <f>E83+G83</f>
        <v/>
      </c>
      <c r="M83" s="130">
        <f>IF(H83=0,"No Value",L83/H83)</f>
        <v/>
      </c>
      <c r="N83" s="819">
        <f>IF(I83&lt;&gt;"",I83,IF(L83-H83&lt;=0,0,IF(L83-H83&gt;=E83,E83,L83-H83)))</f>
        <v/>
      </c>
      <c r="O83" s="132">
        <f>IF(I83&lt;&gt;"",100%,IF(A83=$A$5,$B$5,IF(A83=$A$6,$B$6,IF(A83=$A$7,$B$7,IF(A83=$A$8,$B$8,IF(A83=$A$9,$B$9,0))))))</f>
        <v/>
      </c>
      <c r="P83" s="819">
        <f>N83*O83</f>
        <v/>
      </c>
      <c r="Q83" s="820">
        <f>E83</f>
        <v/>
      </c>
    </row>
    <row r="84" customFormat="1" s="699">
      <c r="A84" s="445" t="n"/>
      <c r="B84" s="445" t="n"/>
      <c r="C84" s="445" t="n"/>
      <c r="D84" s="445" t="n"/>
      <c r="E84" s="817" t="n"/>
      <c r="F84" s="447" t="n"/>
      <c r="G84" s="817" t="n"/>
      <c r="H84" s="817" t="n"/>
      <c r="I84" s="817" t="n"/>
      <c r="J84" s="817" t="n"/>
      <c r="K84" s="818">
        <f>B84&amp;"-"&amp;C84</f>
        <v/>
      </c>
      <c r="L84" s="818">
        <f>E84+G84</f>
        <v/>
      </c>
      <c r="M84" s="130">
        <f>IF(H84=0,"No Value",L84/H84)</f>
        <v/>
      </c>
      <c r="N84" s="819">
        <f>IF(I84&lt;&gt;"",I84,IF(L84-H84&lt;=0,0,IF(L84-H84&gt;=E84,E84,L84-H84)))</f>
        <v/>
      </c>
      <c r="O84" s="132">
        <f>IF(I84&lt;&gt;"",100%,IF(A84=$A$5,$B$5,IF(A84=$A$6,$B$6,IF(A84=$A$7,$B$7,IF(A84=$A$8,$B$8,IF(A84=$A$9,$B$9,0))))))</f>
        <v/>
      </c>
      <c r="P84" s="819">
        <f>N84*O84</f>
        <v/>
      </c>
      <c r="Q84" s="820">
        <f>E84</f>
        <v/>
      </c>
    </row>
    <row r="85" customFormat="1" s="699">
      <c r="A85" s="445" t="n"/>
      <c r="B85" s="445" t="n"/>
      <c r="C85" s="445" t="n"/>
      <c r="D85" s="445" t="n"/>
      <c r="E85" s="817" t="n"/>
      <c r="F85" s="447" t="n"/>
      <c r="G85" s="817" t="n"/>
      <c r="H85" s="817" t="n"/>
      <c r="I85" s="817" t="n"/>
      <c r="J85" s="817" t="n"/>
      <c r="K85" s="818">
        <f>B85&amp;"-"&amp;C85</f>
        <v/>
      </c>
      <c r="L85" s="818">
        <f>E85+G85</f>
        <v/>
      </c>
      <c r="M85" s="130">
        <f>IF(H85=0,"No Value",L85/H85)</f>
        <v/>
      </c>
      <c r="N85" s="819">
        <f>IF(I85&lt;&gt;"",I85,IF(L85-H85&lt;=0,0,IF(L85-H85&gt;=E85,E85,L85-H85)))</f>
        <v/>
      </c>
      <c r="O85" s="132">
        <f>IF(I85&lt;&gt;"",100%,IF(A85=$A$5,$B$5,IF(A85=$A$6,$B$6,IF(A85=$A$7,$B$7,IF(A85=$A$8,$B$8,IF(A85=$A$9,$B$9,0))))))</f>
        <v/>
      </c>
      <c r="P85" s="819">
        <f>N85*O85</f>
        <v/>
      </c>
      <c r="Q85" s="820">
        <f>E85</f>
        <v/>
      </c>
    </row>
    <row r="86" customFormat="1" s="699">
      <c r="A86" s="445" t="n"/>
      <c r="B86" s="445" t="n"/>
      <c r="C86" s="445" t="n"/>
      <c r="D86" s="445" t="n"/>
      <c r="E86" s="817" t="n"/>
      <c r="F86" s="447" t="n"/>
      <c r="G86" s="817" t="n"/>
      <c r="H86" s="817" t="n"/>
      <c r="I86" s="817" t="n"/>
      <c r="J86" s="817" t="n"/>
      <c r="K86" s="818">
        <f>B86&amp;"-"&amp;C86</f>
        <v/>
      </c>
      <c r="L86" s="818">
        <f>E86+G86</f>
        <v/>
      </c>
      <c r="M86" s="130">
        <f>IF(H86=0,"No Value",L86/H86)</f>
        <v/>
      </c>
      <c r="N86" s="819">
        <f>IF(I86&lt;&gt;"",I86,IF(L86-H86&lt;=0,0,IF(L86-H86&gt;=E86,E86,L86-H86)))</f>
        <v/>
      </c>
      <c r="O86" s="132">
        <f>IF(I86&lt;&gt;"",100%,IF(A86=$A$5,$B$5,IF(A86=$A$6,$B$6,IF(A86=$A$7,$B$7,IF(A86=$A$8,$B$8,IF(A86=$A$9,$B$9,0))))))</f>
        <v/>
      </c>
      <c r="P86" s="819">
        <f>N86*O86</f>
        <v/>
      </c>
      <c r="Q86" s="820">
        <f>E86</f>
        <v/>
      </c>
    </row>
    <row r="87" customFormat="1" s="699">
      <c r="A87" s="445" t="n"/>
      <c r="B87" s="445" t="n"/>
      <c r="C87" s="445" t="n"/>
      <c r="D87" s="445" t="n"/>
      <c r="E87" s="817" t="n"/>
      <c r="F87" s="447" t="n"/>
      <c r="G87" s="817" t="n"/>
      <c r="H87" s="817" t="n"/>
      <c r="I87" s="817" t="n"/>
      <c r="J87" s="817" t="n"/>
      <c r="K87" s="818">
        <f>B87&amp;"-"&amp;C87</f>
        <v/>
      </c>
      <c r="L87" s="818">
        <f>E87+G87</f>
        <v/>
      </c>
      <c r="M87" s="130">
        <f>IF(H87=0,"No Value",L87/H87)</f>
        <v/>
      </c>
      <c r="N87" s="819">
        <f>IF(I87&lt;&gt;"",I87,IF(L87-H87&lt;=0,0,IF(L87-H87&gt;=E87,E87,L87-H87)))</f>
        <v/>
      </c>
      <c r="O87" s="132">
        <f>IF(I87&lt;&gt;"",100%,IF(A87=$A$5,$B$5,IF(A87=$A$6,$B$6,IF(A87=$A$7,$B$7,IF(A87=$A$8,$B$8,IF(A87=$A$9,$B$9,0))))))</f>
        <v/>
      </c>
      <c r="P87" s="819">
        <f>N87*O87</f>
        <v/>
      </c>
      <c r="Q87" s="820">
        <f>E87</f>
        <v/>
      </c>
    </row>
    <row r="88" customFormat="1" s="699">
      <c r="A88" s="445" t="n"/>
      <c r="B88" s="445" t="n"/>
      <c r="C88" s="445" t="n"/>
      <c r="D88" s="445" t="n"/>
      <c r="E88" s="817" t="n"/>
      <c r="F88" s="447" t="n"/>
      <c r="G88" s="817" t="n"/>
      <c r="H88" s="817" t="n"/>
      <c r="I88" s="817" t="n"/>
      <c r="J88" s="817" t="n"/>
      <c r="K88" s="818">
        <f>B88&amp;"-"&amp;C88</f>
        <v/>
      </c>
      <c r="L88" s="818">
        <f>E88+G88</f>
        <v/>
      </c>
      <c r="M88" s="130">
        <f>IF(H88=0,"No Value",L88/H88)</f>
        <v/>
      </c>
      <c r="N88" s="819">
        <f>IF(I88&lt;&gt;"",I88,IF(L88-H88&lt;=0,0,IF(L88-H88&gt;=E88,E88,L88-H88)))</f>
        <v/>
      </c>
      <c r="O88" s="132">
        <f>IF(I88&lt;&gt;"",100%,IF(A88=$A$5,$B$5,IF(A88=$A$6,$B$6,IF(A88=$A$7,$B$7,IF(A88=$A$8,$B$8,IF(A88=$A$9,$B$9,0))))))</f>
        <v/>
      </c>
      <c r="P88" s="819">
        <f>N88*O88</f>
        <v/>
      </c>
      <c r="Q88" s="820">
        <f>E88</f>
        <v/>
      </c>
    </row>
    <row r="89" customFormat="1" s="699">
      <c r="A89" s="445" t="n"/>
      <c r="B89" s="445" t="n"/>
      <c r="C89" s="445" t="n"/>
      <c r="D89" s="445" t="n"/>
      <c r="E89" s="817" t="n"/>
      <c r="F89" s="447" t="n"/>
      <c r="G89" s="817" t="n"/>
      <c r="H89" s="817" t="n"/>
      <c r="I89" s="817" t="n"/>
      <c r="J89" s="817" t="n"/>
      <c r="K89" s="818">
        <f>B89&amp;"-"&amp;C89</f>
        <v/>
      </c>
      <c r="L89" s="818">
        <f>E89+G89</f>
        <v/>
      </c>
      <c r="M89" s="130">
        <f>IF(H89=0,"No Value",L89/H89)</f>
        <v/>
      </c>
      <c r="N89" s="819">
        <f>IF(I89&lt;&gt;"",I89,IF(L89-H89&lt;=0,0,IF(L89-H89&gt;=E89,E89,L89-H89)))</f>
        <v/>
      </c>
      <c r="O89" s="132">
        <f>IF(I89&lt;&gt;"",100%,IF(A89=$A$5,$B$5,IF(A89=$A$6,$B$6,IF(A89=$A$7,$B$7,IF(A89=$A$8,$B$8,IF(A89=$A$9,$B$9,0))))))</f>
        <v/>
      </c>
      <c r="P89" s="819">
        <f>N89*O89</f>
        <v/>
      </c>
      <c r="Q89" s="820">
        <f>E89</f>
        <v/>
      </c>
    </row>
    <row r="90" customFormat="1" s="699">
      <c r="A90" s="445" t="n"/>
      <c r="B90" s="445" t="n"/>
      <c r="C90" s="445" t="n"/>
      <c r="D90" s="445" t="n"/>
      <c r="E90" s="817" t="n"/>
      <c r="F90" s="447" t="n"/>
      <c r="G90" s="817" t="n"/>
      <c r="H90" s="817" t="n"/>
      <c r="I90" s="817" t="n"/>
      <c r="J90" s="817" t="n"/>
      <c r="K90" s="818">
        <f>B90&amp;"-"&amp;C90</f>
        <v/>
      </c>
      <c r="L90" s="818">
        <f>E90+G90</f>
        <v/>
      </c>
      <c r="M90" s="130">
        <f>IF(H90=0,"No Value",L90/H90)</f>
        <v/>
      </c>
      <c r="N90" s="819">
        <f>IF(I90&lt;&gt;"",I90,IF(L90-H90&lt;=0,0,IF(L90-H90&gt;=E90,E90,L90-H90)))</f>
        <v/>
      </c>
      <c r="O90" s="132">
        <f>IF(I90&lt;&gt;"",100%,IF(A90=$A$5,$B$5,IF(A90=$A$6,$B$6,IF(A90=$A$7,$B$7,IF(A90=$A$8,$B$8,IF(A90=$A$9,$B$9,0))))))</f>
        <v/>
      </c>
      <c r="P90" s="819">
        <f>N90*O90</f>
        <v/>
      </c>
      <c r="Q90" s="820">
        <f>E90</f>
        <v/>
      </c>
    </row>
    <row r="91" customFormat="1" s="699">
      <c r="A91" s="445" t="n"/>
      <c r="B91" s="445" t="n"/>
      <c r="C91" s="445" t="n"/>
      <c r="D91" s="445" t="n"/>
      <c r="E91" s="817" t="n"/>
      <c r="F91" s="447" t="n"/>
      <c r="G91" s="817" t="n"/>
      <c r="H91" s="817" t="n"/>
      <c r="I91" s="817" t="n"/>
      <c r="J91" s="817" t="n"/>
      <c r="K91" s="818">
        <f>B91&amp;"-"&amp;C91</f>
        <v/>
      </c>
      <c r="L91" s="818">
        <f>E91+G91</f>
        <v/>
      </c>
      <c r="M91" s="130">
        <f>IF(H91=0,"No Value",L91/H91)</f>
        <v/>
      </c>
      <c r="N91" s="819">
        <f>IF(I91&lt;&gt;"",I91,IF(L91-H91&lt;=0,0,IF(L91-H91&gt;=E91,E91,L91-H91)))</f>
        <v/>
      </c>
      <c r="O91" s="132">
        <f>IF(I91&lt;&gt;"",100%,IF(A91=$A$5,$B$5,IF(A91=$A$6,$B$6,IF(A91=$A$7,$B$7,IF(A91=$A$8,$B$8,IF(A91=$A$9,$B$9,0))))))</f>
        <v/>
      </c>
      <c r="P91" s="819">
        <f>N91*O91</f>
        <v/>
      </c>
      <c r="Q91" s="820">
        <f>E91</f>
        <v/>
      </c>
    </row>
    <row r="92" customFormat="1" s="699">
      <c r="A92" s="445" t="n"/>
      <c r="B92" s="445" t="n"/>
      <c r="C92" s="445" t="n"/>
      <c r="D92" s="445" t="n"/>
      <c r="E92" s="817" t="n"/>
      <c r="F92" s="447" t="n"/>
      <c r="G92" s="817" t="n"/>
      <c r="H92" s="817" t="n"/>
      <c r="I92" s="817" t="n"/>
      <c r="J92" s="817" t="n"/>
      <c r="K92" s="818">
        <f>B92&amp;"-"&amp;C92</f>
        <v/>
      </c>
      <c r="L92" s="818">
        <f>E92+G92</f>
        <v/>
      </c>
      <c r="M92" s="130">
        <f>IF(H92=0,"No Value",L92/H92)</f>
        <v/>
      </c>
      <c r="N92" s="819">
        <f>IF(I92&lt;&gt;"",I92,IF(L92-H92&lt;=0,0,IF(L92-H92&gt;=E92,E92,L92-H92)))</f>
        <v/>
      </c>
      <c r="O92" s="132">
        <f>IF(I92&lt;&gt;"",100%,IF(A92=$A$5,$B$5,IF(A92=$A$6,$B$6,IF(A92=$A$7,$B$7,IF(A92=$A$8,$B$8,IF(A92=$A$9,$B$9,0))))))</f>
        <v/>
      </c>
      <c r="P92" s="819">
        <f>N92*O92</f>
        <v/>
      </c>
      <c r="Q92" s="820">
        <f>E92</f>
        <v/>
      </c>
    </row>
    <row r="93" customFormat="1" s="699">
      <c r="A93" s="445" t="n"/>
      <c r="B93" s="445" t="n"/>
      <c r="C93" s="445" t="n"/>
      <c r="D93" s="445" t="n"/>
      <c r="E93" s="817" t="n"/>
      <c r="F93" s="447" t="n"/>
      <c r="G93" s="817" t="n"/>
      <c r="H93" s="817" t="n"/>
      <c r="I93" s="817" t="n"/>
      <c r="J93" s="817" t="n"/>
      <c r="K93" s="818">
        <f>B93&amp;"-"&amp;C93</f>
        <v/>
      </c>
      <c r="L93" s="818">
        <f>E93+G93</f>
        <v/>
      </c>
      <c r="M93" s="130">
        <f>IF(H93=0,"No Value",L93/H93)</f>
        <v/>
      </c>
      <c r="N93" s="819">
        <f>IF(I93&lt;&gt;"",I93,IF(L93-H93&lt;=0,0,IF(L93-H93&gt;=E93,E93,L93-H93)))</f>
        <v/>
      </c>
      <c r="O93" s="132">
        <f>IF(I93&lt;&gt;"",100%,IF(A93=$A$5,$B$5,IF(A93=$A$6,$B$6,IF(A93=$A$7,$B$7,IF(A93=$A$8,$B$8,IF(A93=$A$9,$B$9,0))))))</f>
        <v/>
      </c>
      <c r="P93" s="819">
        <f>N93*O93</f>
        <v/>
      </c>
      <c r="Q93" s="820">
        <f>E93</f>
        <v/>
      </c>
    </row>
    <row r="94" customFormat="1" s="699">
      <c r="A94" s="445" t="n"/>
      <c r="B94" s="445" t="n"/>
      <c r="C94" s="445" t="n"/>
      <c r="D94" s="445" t="n"/>
      <c r="E94" s="817" t="n"/>
      <c r="F94" s="447" t="n"/>
      <c r="G94" s="817" t="n"/>
      <c r="H94" s="817" t="n"/>
      <c r="I94" s="817" t="n"/>
      <c r="J94" s="817" t="n"/>
      <c r="K94" s="818">
        <f>B94&amp;"-"&amp;C94</f>
        <v/>
      </c>
      <c r="L94" s="818">
        <f>E94+G94</f>
        <v/>
      </c>
      <c r="M94" s="130">
        <f>IF(H94=0,"No Value",L94/H94)</f>
        <v/>
      </c>
      <c r="N94" s="819">
        <f>IF(I94&lt;&gt;"",I94,IF(L94-H94&lt;=0,0,IF(L94-H94&gt;=E94,E94,L94-H94)))</f>
        <v/>
      </c>
      <c r="O94" s="132">
        <f>IF(I94&lt;&gt;"",100%,IF(A94=$A$5,$B$5,IF(A94=$A$6,$B$6,IF(A94=$A$7,$B$7,IF(A94=$A$8,$B$8,IF(A94=$A$9,$B$9,0))))))</f>
        <v/>
      </c>
      <c r="P94" s="819">
        <f>N94*O94</f>
        <v/>
      </c>
      <c r="Q94" s="820">
        <f>E94</f>
        <v/>
      </c>
    </row>
    <row r="95" customFormat="1" s="699">
      <c r="A95" s="445" t="n"/>
      <c r="B95" s="445" t="n"/>
      <c r="C95" s="445" t="n"/>
      <c r="D95" s="445" t="n"/>
      <c r="E95" s="817" t="n"/>
      <c r="F95" s="447" t="n"/>
      <c r="G95" s="817" t="n"/>
      <c r="H95" s="817" t="n"/>
      <c r="I95" s="817" t="n"/>
      <c r="J95" s="817" t="n"/>
      <c r="K95" s="818">
        <f>B95&amp;"-"&amp;C95</f>
        <v/>
      </c>
      <c r="L95" s="818">
        <f>E95+G95</f>
        <v/>
      </c>
      <c r="M95" s="130">
        <f>IF(H95=0,"No Value",L95/H95)</f>
        <v/>
      </c>
      <c r="N95" s="819">
        <f>IF(I95&lt;&gt;"",I95,IF(L95-H95&lt;=0,0,IF(L95-H95&gt;=E95,E95,L95-H95)))</f>
        <v/>
      </c>
      <c r="O95" s="132">
        <f>IF(I95&lt;&gt;"",100%,IF(A95=$A$5,$B$5,IF(A95=$A$6,$B$6,IF(A95=$A$7,$B$7,IF(A95=$A$8,$B$8,IF(A95=$A$9,$B$9,0))))))</f>
        <v/>
      </c>
      <c r="P95" s="819">
        <f>N95*O95</f>
        <v/>
      </c>
      <c r="Q95" s="820">
        <f>E95</f>
        <v/>
      </c>
    </row>
    <row r="96" customFormat="1" s="699">
      <c r="A96" s="445" t="n"/>
      <c r="B96" s="445" t="n"/>
      <c r="C96" s="445" t="n"/>
      <c r="D96" s="445" t="n"/>
      <c r="E96" s="817" t="n"/>
      <c r="F96" s="447" t="n"/>
      <c r="G96" s="817" t="n"/>
      <c r="H96" s="817" t="n"/>
      <c r="I96" s="817" t="n"/>
      <c r="J96" s="817" t="n"/>
      <c r="K96" s="818">
        <f>B96&amp;"-"&amp;C96</f>
        <v/>
      </c>
      <c r="L96" s="818">
        <f>E96+G96</f>
        <v/>
      </c>
      <c r="M96" s="130">
        <f>IF(H96=0,"No Value",L96/H96)</f>
        <v/>
      </c>
      <c r="N96" s="819">
        <f>IF(I96&lt;&gt;"",I96,IF(L96-H96&lt;=0,0,IF(L96-H96&gt;=E96,E96,L96-H96)))</f>
        <v/>
      </c>
      <c r="O96" s="132">
        <f>IF(I96&lt;&gt;"",100%,IF(A96=$A$5,$B$5,IF(A96=$A$6,$B$6,IF(A96=$A$7,$B$7,IF(A96=$A$8,$B$8,IF(A96=$A$9,$B$9,0))))))</f>
        <v/>
      </c>
      <c r="P96" s="819">
        <f>N96*O96</f>
        <v/>
      </c>
      <c r="Q96" s="820">
        <f>E96</f>
        <v/>
      </c>
    </row>
    <row r="97" customFormat="1" s="699">
      <c r="A97" s="445" t="n"/>
      <c r="B97" s="445" t="n"/>
      <c r="C97" s="445" t="n"/>
      <c r="D97" s="445" t="n"/>
      <c r="E97" s="817" t="n"/>
      <c r="F97" s="447" t="n"/>
      <c r="G97" s="817" t="n"/>
      <c r="H97" s="817" t="n"/>
      <c r="I97" s="817" t="n"/>
      <c r="J97" s="817" t="n"/>
      <c r="K97" s="818">
        <f>B97&amp;"-"&amp;C97</f>
        <v/>
      </c>
      <c r="L97" s="818">
        <f>E97+G97</f>
        <v/>
      </c>
      <c r="M97" s="130">
        <f>IF(H97=0,"No Value",L97/H97)</f>
        <v/>
      </c>
      <c r="N97" s="819">
        <f>IF(I97&lt;&gt;"",I97,IF(L97-H97&lt;=0,0,IF(L97-H97&gt;=E97,E97,L97-H97)))</f>
        <v/>
      </c>
      <c r="O97" s="132">
        <f>IF(I97&lt;&gt;"",100%,IF(A97=$A$5,$B$5,IF(A97=$A$6,$B$6,IF(A97=$A$7,$B$7,IF(A97=$A$8,$B$8,IF(A97=$A$9,$B$9,0))))))</f>
        <v/>
      </c>
      <c r="P97" s="819">
        <f>N97*O97</f>
        <v/>
      </c>
      <c r="Q97" s="820">
        <f>E97</f>
        <v/>
      </c>
    </row>
    <row r="98" customFormat="1" s="699">
      <c r="A98" s="445" t="n"/>
      <c r="B98" s="445" t="n"/>
      <c r="C98" s="445" t="n"/>
      <c r="D98" s="445" t="n"/>
      <c r="E98" s="817" t="n"/>
      <c r="F98" s="447" t="n"/>
      <c r="G98" s="817" t="n"/>
      <c r="H98" s="817" t="n"/>
      <c r="I98" s="817" t="n"/>
      <c r="J98" s="817" t="n"/>
      <c r="K98" s="818">
        <f>B98&amp;"-"&amp;C98</f>
        <v/>
      </c>
      <c r="L98" s="818">
        <f>E98+G98</f>
        <v/>
      </c>
      <c r="M98" s="130">
        <f>IF(H98=0,"No Value",L98/H98)</f>
        <v/>
      </c>
      <c r="N98" s="819">
        <f>IF(I98&lt;&gt;"",I98,IF(L98-H98&lt;=0,0,IF(L98-H98&gt;=E98,E98,L98-H98)))</f>
        <v/>
      </c>
      <c r="O98" s="132">
        <f>IF(I98&lt;&gt;"",100%,IF(A98=$A$5,$B$5,IF(A98=$A$6,$B$6,IF(A98=$A$7,$B$7,IF(A98=$A$8,$B$8,IF(A98=$A$9,$B$9,0))))))</f>
        <v/>
      </c>
      <c r="P98" s="819">
        <f>N98*O98</f>
        <v/>
      </c>
      <c r="Q98" s="820">
        <f>E98</f>
        <v/>
      </c>
    </row>
    <row r="99" customFormat="1" s="699">
      <c r="A99" s="445" t="n"/>
      <c r="B99" s="445" t="n"/>
      <c r="C99" s="445" t="n"/>
      <c r="D99" s="445" t="n"/>
      <c r="E99" s="817" t="n"/>
      <c r="F99" s="447" t="n"/>
      <c r="G99" s="817" t="n"/>
      <c r="H99" s="817" t="n"/>
      <c r="I99" s="817" t="n"/>
      <c r="J99" s="817" t="n"/>
      <c r="K99" s="818">
        <f>B99&amp;"-"&amp;C99</f>
        <v/>
      </c>
      <c r="L99" s="818">
        <f>E99+G99</f>
        <v/>
      </c>
      <c r="M99" s="130">
        <f>IF(H99=0,"No Value",L99/H99)</f>
        <v/>
      </c>
      <c r="N99" s="819">
        <f>IF(I99&lt;&gt;"",I99,IF(L99-H99&lt;=0,0,IF(L99-H99&gt;=E99,E99,L99-H99)))</f>
        <v/>
      </c>
      <c r="O99" s="132">
        <f>IF(I99&lt;&gt;"",100%,IF(A99=$A$5,$B$5,IF(A99=$A$6,$B$6,IF(A99=$A$7,$B$7,IF(A99=$A$8,$B$8,IF(A99=$A$9,$B$9,0))))))</f>
        <v/>
      </c>
      <c r="P99" s="819">
        <f>N99*O99</f>
        <v/>
      </c>
      <c r="Q99" s="820">
        <f>E99</f>
        <v/>
      </c>
    </row>
    <row r="100" customFormat="1" s="699">
      <c r="A100" s="445" t="n"/>
      <c r="B100" s="445" t="n"/>
      <c r="C100" s="445" t="n"/>
      <c r="D100" s="445" t="n"/>
      <c r="E100" s="817" t="n"/>
      <c r="F100" s="447" t="n"/>
      <c r="G100" s="817" t="n"/>
      <c r="H100" s="817" t="n"/>
      <c r="I100" s="817" t="n"/>
      <c r="J100" s="817" t="n"/>
      <c r="K100" s="818">
        <f>B100&amp;"-"&amp;C100</f>
        <v/>
      </c>
      <c r="L100" s="818">
        <f>E100+G100</f>
        <v/>
      </c>
      <c r="M100" s="130">
        <f>IF(H100=0,"No Value",L100/H100)</f>
        <v/>
      </c>
      <c r="N100" s="819">
        <f>IF(I100&lt;&gt;"",I100,IF(L100-H100&lt;=0,0,IF(L100-H100&gt;=E100,E100,L100-H100)))</f>
        <v/>
      </c>
      <c r="O100" s="132">
        <f>IF(I100&lt;&gt;"",100%,IF(A100=$A$5,$B$5,IF(A100=$A$6,$B$6,IF(A100=$A$7,$B$7,IF(A100=$A$8,$B$8,IF(A100=$A$9,$B$9,0))))))</f>
        <v/>
      </c>
      <c r="P100" s="819">
        <f>N100*O100</f>
        <v/>
      </c>
      <c r="Q100" s="820">
        <f>E100</f>
        <v/>
      </c>
    </row>
    <row r="101" customFormat="1" s="699">
      <c r="A101" s="445" t="n"/>
      <c r="B101" s="445" t="n"/>
      <c r="C101" s="445" t="n"/>
      <c r="D101" s="445" t="n"/>
      <c r="E101" s="817" t="n"/>
      <c r="F101" s="447" t="n"/>
      <c r="G101" s="817" t="n"/>
      <c r="H101" s="817" t="n"/>
      <c r="I101" s="817" t="n"/>
      <c r="J101" s="817" t="n"/>
      <c r="K101" s="818">
        <f>B101&amp;"-"&amp;C101</f>
        <v/>
      </c>
      <c r="L101" s="818">
        <f>E101+G101</f>
        <v/>
      </c>
      <c r="M101" s="130">
        <f>IF(H101=0,"No Value",L101/H101)</f>
        <v/>
      </c>
      <c r="N101" s="819">
        <f>IF(I101&lt;&gt;"",I101,IF(L101-H101&lt;=0,0,IF(L101-H101&gt;=E101,E101,L101-H101)))</f>
        <v/>
      </c>
      <c r="O101" s="132">
        <f>IF(I101&lt;&gt;"",100%,IF(A101=$A$5,$B$5,IF(A101=$A$6,$B$6,IF(A101=$A$7,$B$7,IF(A101=$A$8,$B$8,IF(A101=$A$9,$B$9,0))))))</f>
        <v/>
      </c>
      <c r="P101" s="819">
        <f>N101*O101</f>
        <v/>
      </c>
      <c r="Q101" s="820">
        <f>E101</f>
        <v/>
      </c>
    </row>
    <row r="102" customFormat="1" s="699">
      <c r="A102" s="445" t="n"/>
      <c r="B102" s="445" t="n"/>
      <c r="C102" s="445" t="n"/>
      <c r="D102" s="445" t="n"/>
      <c r="E102" s="817" t="n"/>
      <c r="F102" s="447" t="n"/>
      <c r="G102" s="817" t="n"/>
      <c r="H102" s="817" t="n"/>
      <c r="I102" s="817" t="n"/>
      <c r="J102" s="817" t="n"/>
      <c r="K102" s="818">
        <f>B102&amp;"-"&amp;C102</f>
        <v/>
      </c>
      <c r="L102" s="818">
        <f>E102+G102</f>
        <v/>
      </c>
      <c r="M102" s="130">
        <f>IF(H102=0,"No Value",L102/H102)</f>
        <v/>
      </c>
      <c r="N102" s="819">
        <f>IF(I102&lt;&gt;"",I102,IF(L102-H102&lt;=0,0,IF(L102-H102&gt;=E102,E102,L102-H102)))</f>
        <v/>
      </c>
      <c r="O102" s="132">
        <f>IF(I102&lt;&gt;"",100%,IF(A102=$A$5,$B$5,IF(A102=$A$6,$B$6,IF(A102=$A$7,$B$7,IF(A102=$A$8,$B$8,IF(A102=$A$9,$B$9,0))))))</f>
        <v/>
      </c>
      <c r="P102" s="819">
        <f>N102*O102</f>
        <v/>
      </c>
      <c r="Q102" s="820">
        <f>E102</f>
        <v/>
      </c>
    </row>
    <row r="103" customFormat="1" s="699">
      <c r="A103" s="445" t="n"/>
      <c r="B103" s="445" t="n"/>
      <c r="C103" s="445" t="n"/>
      <c r="D103" s="445" t="n"/>
      <c r="E103" s="817" t="n"/>
      <c r="F103" s="447" t="n"/>
      <c r="G103" s="817" t="n"/>
      <c r="H103" s="817" t="n"/>
      <c r="I103" s="817" t="n"/>
      <c r="J103" s="817" t="n"/>
      <c r="K103" s="818">
        <f>B103&amp;"-"&amp;C103</f>
        <v/>
      </c>
      <c r="L103" s="818">
        <f>E103+G103</f>
        <v/>
      </c>
      <c r="M103" s="130">
        <f>IF(H103=0,"No Value",L103/H103)</f>
        <v/>
      </c>
      <c r="N103" s="819">
        <f>IF(I103&lt;&gt;"",I103,IF(L103-H103&lt;=0,0,IF(L103-H103&gt;=E103,E103,L103-H103)))</f>
        <v/>
      </c>
      <c r="O103" s="132">
        <f>IF(I103&lt;&gt;"",100%,IF(A103=$A$5,$B$5,IF(A103=$A$6,$B$6,IF(A103=$A$7,$B$7,IF(A103=$A$8,$B$8,IF(A103=$A$9,$B$9,0))))))</f>
        <v/>
      </c>
      <c r="P103" s="819">
        <f>N103*O103</f>
        <v/>
      </c>
      <c r="Q103" s="820">
        <f>E103</f>
        <v/>
      </c>
    </row>
    <row r="104" customFormat="1" s="699">
      <c r="A104" s="445" t="n"/>
      <c r="B104" s="445" t="n"/>
      <c r="C104" s="445" t="n"/>
      <c r="D104" s="445" t="n"/>
      <c r="E104" s="817" t="n"/>
      <c r="F104" s="447" t="n"/>
      <c r="G104" s="817" t="n"/>
      <c r="H104" s="817" t="n"/>
      <c r="I104" s="817" t="n"/>
      <c r="J104" s="817" t="n"/>
      <c r="K104" s="818">
        <f>B104&amp;"-"&amp;C104</f>
        <v/>
      </c>
      <c r="L104" s="818">
        <f>E104+G104</f>
        <v/>
      </c>
      <c r="M104" s="130">
        <f>IF(H104=0,"No Value",L104/H104)</f>
        <v/>
      </c>
      <c r="N104" s="819">
        <f>IF(I104&lt;&gt;"",I104,IF(L104-H104&lt;=0,0,IF(L104-H104&gt;=E104,E104,L104-H104)))</f>
        <v/>
      </c>
      <c r="O104" s="132">
        <f>IF(I104&lt;&gt;"",100%,IF(A104=$A$5,$B$5,IF(A104=$A$6,$B$6,IF(A104=$A$7,$B$7,IF(A104=$A$8,$B$8,IF(A104=$A$9,$B$9,0))))))</f>
        <v/>
      </c>
      <c r="P104" s="819">
        <f>N104*O104</f>
        <v/>
      </c>
      <c r="Q104" s="820">
        <f>E104</f>
        <v/>
      </c>
    </row>
    <row r="105" customFormat="1" s="699">
      <c r="A105" s="445" t="n"/>
      <c r="B105" s="445" t="n"/>
      <c r="C105" s="445" t="n"/>
      <c r="D105" s="445" t="n"/>
      <c r="E105" s="817" t="n"/>
      <c r="F105" s="447" t="n"/>
      <c r="G105" s="817" t="n"/>
      <c r="H105" s="817" t="n"/>
      <c r="I105" s="817" t="n"/>
      <c r="J105" s="817" t="n"/>
      <c r="K105" s="818">
        <f>B105&amp;"-"&amp;C105</f>
        <v/>
      </c>
      <c r="L105" s="818">
        <f>E105+G105</f>
        <v/>
      </c>
      <c r="M105" s="130">
        <f>IF(H105=0,"No Value",L105/H105)</f>
        <v/>
      </c>
      <c r="N105" s="819">
        <f>IF(I105&lt;&gt;"",I105,IF(L105-H105&lt;=0,0,IF(L105-H105&gt;=E105,E105,L105-H105)))</f>
        <v/>
      </c>
      <c r="O105" s="132">
        <f>IF(I105&lt;&gt;"",100%,IF(A105=$A$5,$B$5,IF(A105=$A$6,$B$6,IF(A105=$A$7,$B$7,IF(A105=$A$8,$B$8,IF(A105=$A$9,$B$9,0))))))</f>
        <v/>
      </c>
      <c r="P105" s="819">
        <f>N105*O105</f>
        <v/>
      </c>
      <c r="Q105" s="820">
        <f>E105</f>
        <v/>
      </c>
    </row>
    <row r="106" customFormat="1" s="699">
      <c r="A106" s="445" t="n"/>
      <c r="B106" s="445" t="n"/>
      <c r="C106" s="445" t="n"/>
      <c r="D106" s="445" t="n"/>
      <c r="E106" s="817" t="n"/>
      <c r="F106" s="447" t="n"/>
      <c r="G106" s="817" t="n"/>
      <c r="H106" s="817" t="n"/>
      <c r="I106" s="817" t="n"/>
      <c r="J106" s="817" t="n"/>
      <c r="K106" s="818">
        <f>B106&amp;"-"&amp;C106</f>
        <v/>
      </c>
      <c r="L106" s="818">
        <f>E106+G106</f>
        <v/>
      </c>
      <c r="M106" s="130">
        <f>IF(H106=0,"No Value",L106/H106)</f>
        <v/>
      </c>
      <c r="N106" s="819">
        <f>IF(I106&lt;&gt;"",I106,IF(L106-H106&lt;=0,0,IF(L106-H106&gt;=E106,E106,L106-H106)))</f>
        <v/>
      </c>
      <c r="O106" s="132">
        <f>IF(I106&lt;&gt;"",100%,IF(A106=$A$5,$B$5,IF(A106=$A$6,$B$6,IF(A106=$A$7,$B$7,IF(A106=$A$8,$B$8,IF(A106=$A$9,$B$9,0))))))</f>
        <v/>
      </c>
      <c r="P106" s="819">
        <f>N106*O106</f>
        <v/>
      </c>
      <c r="Q106" s="820">
        <f>E106</f>
        <v/>
      </c>
    </row>
    <row r="107" customFormat="1" s="699">
      <c r="A107" s="445" t="n"/>
      <c r="B107" s="445" t="n"/>
      <c r="C107" s="445" t="n"/>
      <c r="D107" s="445" t="n"/>
      <c r="E107" s="817" t="n"/>
      <c r="F107" s="447" t="n"/>
      <c r="G107" s="817" t="n"/>
      <c r="H107" s="817" t="n"/>
      <c r="I107" s="817" t="n"/>
      <c r="J107" s="817" t="n"/>
      <c r="K107" s="818">
        <f>B107&amp;"-"&amp;C107</f>
        <v/>
      </c>
      <c r="L107" s="818">
        <f>E107+G107</f>
        <v/>
      </c>
      <c r="M107" s="130">
        <f>IF(H107=0,"No Value",L107/H107)</f>
        <v/>
      </c>
      <c r="N107" s="819">
        <f>IF(I107&lt;&gt;"",I107,IF(L107-H107&lt;=0,0,IF(L107-H107&gt;=E107,E107,L107-H107)))</f>
        <v/>
      </c>
      <c r="O107" s="132">
        <f>IF(I107&lt;&gt;"",100%,IF(A107=$A$5,$B$5,IF(A107=$A$6,$B$6,IF(A107=$A$7,$B$7,IF(A107=$A$8,$B$8,IF(A107=$A$9,$B$9,0))))))</f>
        <v/>
      </c>
      <c r="P107" s="819">
        <f>N107*O107</f>
        <v/>
      </c>
      <c r="Q107" s="820">
        <f>E107</f>
        <v/>
      </c>
    </row>
    <row r="108" customFormat="1" s="699">
      <c r="A108" s="445" t="n"/>
      <c r="B108" s="445" t="n"/>
      <c r="C108" s="445" t="n"/>
      <c r="D108" s="445" t="n"/>
      <c r="E108" s="817" t="n"/>
      <c r="F108" s="447" t="n"/>
      <c r="G108" s="817" t="n"/>
      <c r="H108" s="817" t="n"/>
      <c r="I108" s="817" t="n"/>
      <c r="J108" s="817" t="n"/>
      <c r="K108" s="818">
        <f>B108&amp;"-"&amp;C108</f>
        <v/>
      </c>
      <c r="L108" s="818">
        <f>E108+G108</f>
        <v/>
      </c>
      <c r="M108" s="130">
        <f>IF(H108=0,"No Value",L108/H108)</f>
        <v/>
      </c>
      <c r="N108" s="819">
        <f>IF(I108&lt;&gt;"",I108,IF(L108-H108&lt;=0,0,IF(L108-H108&gt;=E108,E108,L108-H108)))</f>
        <v/>
      </c>
      <c r="O108" s="132">
        <f>IF(I108&lt;&gt;"",100%,IF(A108=$A$5,$B$5,IF(A108=$A$6,$B$6,IF(A108=$A$7,$B$7,IF(A108=$A$8,$B$8,IF(A108=$A$9,$B$9,0))))))</f>
        <v/>
      </c>
      <c r="P108" s="819">
        <f>N108*O108</f>
        <v/>
      </c>
      <c r="Q108" s="820">
        <f>E108</f>
        <v/>
      </c>
    </row>
    <row r="109" customFormat="1" s="699">
      <c r="A109" s="445" t="n"/>
      <c r="B109" s="445" t="n"/>
      <c r="C109" s="445" t="n"/>
      <c r="D109" s="445" t="n"/>
      <c r="E109" s="817" t="n"/>
      <c r="F109" s="447" t="n"/>
      <c r="G109" s="817" t="n"/>
      <c r="H109" s="817" t="n"/>
      <c r="I109" s="817" t="n"/>
      <c r="J109" s="817" t="n"/>
      <c r="K109" s="818">
        <f>B109&amp;"-"&amp;C109</f>
        <v/>
      </c>
      <c r="L109" s="818">
        <f>E109+G109</f>
        <v/>
      </c>
      <c r="M109" s="130">
        <f>IF(H109=0,"No Value",L109/H109)</f>
        <v/>
      </c>
      <c r="N109" s="819">
        <f>IF(I109&lt;&gt;"",I109,IF(L109-H109&lt;=0,0,IF(L109-H109&gt;=E109,E109,L109-H109)))</f>
        <v/>
      </c>
      <c r="O109" s="132">
        <f>IF(I109&lt;&gt;"",100%,IF(A109=$A$5,$B$5,IF(A109=$A$6,$B$6,IF(A109=$A$7,$B$7,IF(A109=$A$8,$B$8,IF(A109=$A$9,$B$9,0))))))</f>
        <v/>
      </c>
      <c r="P109" s="819">
        <f>N109*O109</f>
        <v/>
      </c>
      <c r="Q109" s="820">
        <f>E109</f>
        <v/>
      </c>
    </row>
    <row r="110" customFormat="1" s="699">
      <c r="A110" s="445" t="n"/>
      <c r="B110" s="445" t="n"/>
      <c r="C110" s="445" t="n"/>
      <c r="D110" s="445" t="n"/>
      <c r="E110" s="817" t="n"/>
      <c r="F110" s="447" t="n"/>
      <c r="G110" s="817" t="n"/>
      <c r="H110" s="817" t="n"/>
      <c r="I110" s="817" t="n"/>
      <c r="J110" s="817" t="n"/>
      <c r="K110" s="818">
        <f>B110&amp;"-"&amp;C110</f>
        <v/>
      </c>
      <c r="L110" s="818">
        <f>E110+G110</f>
        <v/>
      </c>
      <c r="M110" s="130">
        <f>IF(H110=0,"No Value",L110/H110)</f>
        <v/>
      </c>
      <c r="N110" s="819">
        <f>IF(I110&lt;&gt;"",I110,IF(L110-H110&lt;=0,0,IF(L110-H110&gt;=E110,E110,L110-H110)))</f>
        <v/>
      </c>
      <c r="O110" s="132">
        <f>IF(I110&lt;&gt;"",100%,IF(A110=$A$5,$B$5,IF(A110=$A$6,$B$6,IF(A110=$A$7,$B$7,IF(A110=$A$8,$B$8,IF(A110=$A$9,$B$9,0))))))</f>
        <v/>
      </c>
      <c r="P110" s="819">
        <f>N110*O110</f>
        <v/>
      </c>
      <c r="Q110" s="820">
        <f>E110</f>
        <v/>
      </c>
    </row>
    <row r="111" customFormat="1" s="699">
      <c r="A111" s="445" t="n"/>
      <c r="B111" s="445" t="n"/>
      <c r="C111" s="445" t="n"/>
      <c r="D111" s="445" t="n"/>
      <c r="E111" s="817" t="n"/>
      <c r="F111" s="447" t="n"/>
      <c r="G111" s="817" t="n"/>
      <c r="H111" s="817" t="n"/>
      <c r="I111" s="817" t="n"/>
      <c r="J111" s="817" t="n"/>
      <c r="K111" s="818">
        <f>B111&amp;"-"&amp;C111</f>
        <v/>
      </c>
      <c r="L111" s="818">
        <f>E111+G111</f>
        <v/>
      </c>
      <c r="M111" s="130">
        <f>IF(H111=0,"No Value",L111/H111)</f>
        <v/>
      </c>
      <c r="N111" s="819">
        <f>IF(I111&lt;&gt;"",I111,IF(L111-H111&lt;=0,0,IF(L111-H111&gt;=E111,E111,L111-H111)))</f>
        <v/>
      </c>
      <c r="O111" s="132">
        <f>IF(I111&lt;&gt;"",100%,IF(A111=$A$5,$B$5,IF(A111=$A$6,$B$6,IF(A111=$A$7,$B$7,IF(A111=$A$8,$B$8,IF(A111=$A$9,$B$9,0))))))</f>
        <v/>
      </c>
      <c r="P111" s="819">
        <f>N111*O111</f>
        <v/>
      </c>
      <c r="Q111" s="820">
        <f>E111</f>
        <v/>
      </c>
    </row>
    <row r="112" customFormat="1" s="699">
      <c r="A112" s="445" t="n"/>
      <c r="B112" s="445" t="n"/>
      <c r="C112" s="445" t="n"/>
      <c r="D112" s="445" t="n"/>
      <c r="E112" s="817" t="n"/>
      <c r="F112" s="447" t="n"/>
      <c r="G112" s="817" t="n"/>
      <c r="H112" s="817" t="n"/>
      <c r="I112" s="817" t="n"/>
      <c r="J112" s="817" t="n"/>
      <c r="K112" s="818">
        <f>B112&amp;"-"&amp;C112</f>
        <v/>
      </c>
      <c r="L112" s="818">
        <f>E112+G112</f>
        <v/>
      </c>
      <c r="M112" s="130">
        <f>IF(H112=0,"No Value",L112/H112)</f>
        <v/>
      </c>
      <c r="N112" s="819">
        <f>IF(I112&lt;&gt;"",I112,IF(L112-H112&lt;=0,0,IF(L112-H112&gt;=E112,E112,L112-H112)))</f>
        <v/>
      </c>
      <c r="O112" s="132">
        <f>IF(I112&lt;&gt;"",100%,IF(A112=$A$5,$B$5,IF(A112=$A$6,$B$6,IF(A112=$A$7,$B$7,IF(A112=$A$8,$B$8,IF(A112=$A$9,$B$9,0))))))</f>
        <v/>
      </c>
      <c r="P112" s="819">
        <f>N112*O112</f>
        <v/>
      </c>
      <c r="Q112" s="820">
        <f>E112</f>
        <v/>
      </c>
    </row>
    <row r="113" customFormat="1" s="699">
      <c r="A113" s="445" t="n"/>
      <c r="B113" s="445" t="n"/>
      <c r="C113" s="445" t="n"/>
      <c r="D113" s="445" t="n"/>
      <c r="E113" s="817" t="n"/>
      <c r="F113" s="447" t="n"/>
      <c r="G113" s="817" t="n"/>
      <c r="H113" s="817" t="n"/>
      <c r="I113" s="817" t="n"/>
      <c r="J113" s="817" t="n"/>
      <c r="K113" s="818">
        <f>B113&amp;"-"&amp;C113</f>
        <v/>
      </c>
      <c r="L113" s="818">
        <f>E113+G113</f>
        <v/>
      </c>
      <c r="M113" s="130">
        <f>IF(H113=0,"No Value",L113/H113)</f>
        <v/>
      </c>
      <c r="N113" s="819">
        <f>IF(I113&lt;&gt;"",I113,IF(L113-H113&lt;=0,0,IF(L113-H113&gt;=E113,E113,L113-H113)))</f>
        <v/>
      </c>
      <c r="O113" s="132">
        <f>IF(I113&lt;&gt;"",100%,IF(A113=$A$5,$B$5,IF(A113=$A$6,$B$6,IF(A113=$A$7,$B$7,IF(A113=$A$8,$B$8,IF(A113=$A$9,$B$9,0))))))</f>
        <v/>
      </c>
      <c r="P113" s="819">
        <f>N113*O113</f>
        <v/>
      </c>
      <c r="Q113" s="820">
        <f>E113</f>
        <v/>
      </c>
    </row>
    <row r="114" customFormat="1" s="699">
      <c r="A114" s="445" t="n"/>
      <c r="B114" s="445" t="n"/>
      <c r="C114" s="445" t="n"/>
      <c r="D114" s="445" t="n"/>
      <c r="E114" s="817" t="n"/>
      <c r="F114" s="447" t="n"/>
      <c r="G114" s="817" t="n"/>
      <c r="H114" s="817" t="n"/>
      <c r="I114" s="817" t="n"/>
      <c r="J114" s="817" t="n"/>
      <c r="K114" s="818">
        <f>B114&amp;"-"&amp;C114</f>
        <v/>
      </c>
      <c r="L114" s="818">
        <f>E114+G114</f>
        <v/>
      </c>
      <c r="M114" s="130">
        <f>IF(H114=0,"No Value",L114/H114)</f>
        <v/>
      </c>
      <c r="N114" s="819">
        <f>IF(I114&lt;&gt;"",I114,IF(L114-H114&lt;=0,0,IF(L114-H114&gt;=E114,E114,L114-H114)))</f>
        <v/>
      </c>
      <c r="O114" s="132">
        <f>IF(I114&lt;&gt;"",100%,IF(A114=$A$5,$B$5,IF(A114=$A$6,$B$6,IF(A114=$A$7,$B$7,IF(A114=$A$8,$B$8,IF(A114=$A$9,$B$9,0))))))</f>
        <v/>
      </c>
      <c r="P114" s="819">
        <f>N114*O114</f>
        <v/>
      </c>
      <c r="Q114" s="820">
        <f>E114</f>
        <v/>
      </c>
    </row>
    <row r="115" customFormat="1" s="699">
      <c r="A115" s="445" t="n"/>
      <c r="B115" s="445" t="n"/>
      <c r="C115" s="445" t="n"/>
      <c r="D115" s="445" t="n"/>
      <c r="E115" s="817" t="n"/>
      <c r="F115" s="447" t="n"/>
      <c r="G115" s="817" t="n"/>
      <c r="H115" s="817" t="n"/>
      <c r="I115" s="817" t="n"/>
      <c r="J115" s="817" t="n"/>
      <c r="K115" s="818">
        <f>B115&amp;"-"&amp;C115</f>
        <v/>
      </c>
      <c r="L115" s="818">
        <f>E115+G115</f>
        <v/>
      </c>
      <c r="M115" s="130">
        <f>IF(H115=0,"No Value",L115/H115)</f>
        <v/>
      </c>
      <c r="N115" s="819">
        <f>IF(I115&lt;&gt;"",I115,IF(L115-H115&lt;=0,0,IF(L115-H115&gt;=E115,E115,L115-H115)))</f>
        <v/>
      </c>
      <c r="O115" s="132">
        <f>IF(I115&lt;&gt;"",100%,IF(A115=$A$5,$B$5,IF(A115=$A$6,$B$6,IF(A115=$A$7,$B$7,IF(A115=$A$8,$B$8,IF(A115=$A$9,$B$9,0))))))</f>
        <v/>
      </c>
      <c r="P115" s="819">
        <f>N115*O115</f>
        <v/>
      </c>
      <c r="Q115" s="820">
        <f>E115</f>
        <v/>
      </c>
    </row>
    <row r="116" customFormat="1" s="699">
      <c r="A116" s="445" t="n"/>
      <c r="B116" s="445" t="n"/>
      <c r="C116" s="445" t="n"/>
      <c r="D116" s="445" t="n"/>
      <c r="E116" s="817" t="n"/>
      <c r="F116" s="447" t="n"/>
      <c r="G116" s="817" t="n"/>
      <c r="H116" s="817" t="n"/>
      <c r="I116" s="817" t="n"/>
      <c r="J116" s="817" t="n"/>
      <c r="K116" s="818">
        <f>B116&amp;"-"&amp;C116</f>
        <v/>
      </c>
      <c r="L116" s="818">
        <f>E116+G116</f>
        <v/>
      </c>
      <c r="M116" s="130">
        <f>IF(H116=0,"No Value",L116/H116)</f>
        <v/>
      </c>
      <c r="N116" s="819">
        <f>IF(I116&lt;&gt;"",I116,IF(L116-H116&lt;=0,0,IF(L116-H116&gt;=E116,E116,L116-H116)))</f>
        <v/>
      </c>
      <c r="O116" s="132">
        <f>IF(I116&lt;&gt;"",100%,IF(A116=$A$5,$B$5,IF(A116=$A$6,$B$6,IF(A116=$A$7,$B$7,IF(A116=$A$8,$B$8,IF(A116=$A$9,$B$9,0))))))</f>
        <v/>
      </c>
      <c r="P116" s="819">
        <f>N116*O116</f>
        <v/>
      </c>
      <c r="Q116" s="820">
        <f>E116</f>
        <v/>
      </c>
    </row>
    <row r="117">
      <c r="A117" s="445" t="n"/>
      <c r="B117" s="445" t="n"/>
      <c r="C117" s="445" t="n"/>
      <c r="D117" s="445" t="n"/>
      <c r="E117" s="817" t="n"/>
      <c r="F117" s="447" t="n"/>
      <c r="G117" s="817" t="n"/>
      <c r="H117" s="817" t="n"/>
      <c r="I117" s="817" t="n"/>
      <c r="J117" s="817" t="n"/>
      <c r="K117" s="818">
        <f>B117&amp;"-"&amp;C117</f>
        <v/>
      </c>
      <c r="L117" s="818">
        <f>E117+G117</f>
        <v/>
      </c>
      <c r="M117" s="130">
        <f>IF(H117=0,"No Value",L117/H117)</f>
        <v/>
      </c>
      <c r="N117" s="819">
        <f>IF(I117&lt;&gt;"",I117,IF(L117-H117&lt;=0,0,IF(L117-H117&gt;=E117,E117,L117-H117)))</f>
        <v/>
      </c>
      <c r="O117" s="132">
        <f>IF(I117&lt;&gt;"",100%,IF(A117=$A$5,$B$5,IF(A117=$A$6,$B$6,IF(A117=$A$7,$B$7,IF(A117=$A$8,$B$8,IF(A117=$A$9,$B$9,0))))))</f>
        <v/>
      </c>
      <c r="P117" s="819">
        <f>N117*O117</f>
        <v/>
      </c>
      <c r="Q117" s="820">
        <f>E117</f>
        <v/>
      </c>
    </row>
    <row r="118">
      <c r="A118" s="445" t="n"/>
      <c r="B118" s="445" t="n"/>
      <c r="C118" s="445" t="n"/>
      <c r="D118" s="445" t="n"/>
      <c r="E118" s="817" t="n"/>
      <c r="F118" s="447" t="n"/>
      <c r="G118" s="817" t="n"/>
      <c r="H118" s="817" t="n"/>
      <c r="I118" s="817" t="n"/>
      <c r="J118" s="817" t="n"/>
      <c r="K118" s="818">
        <f>B118&amp;"-"&amp;C118</f>
        <v/>
      </c>
      <c r="L118" s="818">
        <f>E118+G118</f>
        <v/>
      </c>
      <c r="M118" s="130">
        <f>IF(H118=0,"No Value",L118/H118)</f>
        <v/>
      </c>
      <c r="N118" s="819">
        <f>IF(I118&lt;&gt;"",I118,IF(L118-H118&lt;=0,0,IF(L118-H118&gt;=E118,E118,L118-H118)))</f>
        <v/>
      </c>
      <c r="O118" s="132">
        <f>IF(I118&lt;&gt;"",100%,IF(A118=$A$5,$B$5,IF(A118=$A$6,$B$6,IF(A118=$A$7,$B$7,IF(A118=$A$8,$B$8,IF(A118=$A$9,$B$9,0))))))</f>
        <v/>
      </c>
      <c r="P118" s="819">
        <f>N118*O118</f>
        <v/>
      </c>
      <c r="Q118" s="820">
        <f>E118</f>
        <v/>
      </c>
    </row>
    <row r="119">
      <c r="A119" s="445" t="n"/>
      <c r="B119" s="445" t="n"/>
      <c r="C119" s="445" t="n"/>
      <c r="D119" s="445" t="n"/>
      <c r="E119" s="817" t="n"/>
      <c r="F119" s="447" t="n"/>
      <c r="G119" s="817" t="n"/>
      <c r="H119" s="817" t="n"/>
      <c r="I119" s="817" t="n"/>
      <c r="J119" s="817" t="n"/>
      <c r="K119" s="818">
        <f>B119&amp;"-"&amp;C119</f>
        <v/>
      </c>
      <c r="L119" s="818">
        <f>E119+G119</f>
        <v/>
      </c>
      <c r="M119" s="130">
        <f>IF(H119=0,"No Value",L119/H119)</f>
        <v/>
      </c>
      <c r="N119" s="819">
        <f>IF(I119&lt;&gt;"",I119,IF(L119-H119&lt;=0,0,IF(L119-H119&gt;=E119,E119,L119-H119)))</f>
        <v/>
      </c>
      <c r="O119" s="132">
        <f>IF(I119&lt;&gt;"",100%,IF(A119=$A$5,$B$5,IF(A119=$A$6,$B$6,IF(A119=$A$7,$B$7,IF(A119=$A$8,$B$8,IF(A119=$A$9,$B$9,0))))))</f>
        <v/>
      </c>
      <c r="P119" s="819">
        <f>N119*O119</f>
        <v/>
      </c>
      <c r="Q119" s="820">
        <f>E119</f>
        <v/>
      </c>
    </row>
    <row r="120">
      <c r="A120" s="445" t="n"/>
      <c r="B120" s="445" t="n"/>
      <c r="C120" s="445" t="n"/>
      <c r="D120" s="445" t="n"/>
      <c r="E120" s="817" t="n"/>
      <c r="F120" s="447" t="n"/>
      <c r="G120" s="817" t="n"/>
      <c r="H120" s="817" t="n"/>
      <c r="I120" s="817" t="n"/>
      <c r="J120" s="817" t="n"/>
      <c r="K120" s="818">
        <f>B120&amp;"-"&amp;C120</f>
        <v/>
      </c>
      <c r="L120" s="818">
        <f>E120+G120</f>
        <v/>
      </c>
      <c r="M120" s="130">
        <f>IF(H120=0,"No Value",L120/H120)</f>
        <v/>
      </c>
      <c r="N120" s="819">
        <f>IF(I120&lt;&gt;"",I120,IF(L120-H120&lt;=0,0,IF(L120-H120&gt;=E120,E120,L120-H120)))</f>
        <v/>
      </c>
      <c r="O120" s="132">
        <f>IF(I120&lt;&gt;"",100%,IF(A120=$A$5,$B$5,IF(A120=$A$6,$B$6,IF(A120=$A$7,$B$7,IF(A120=$A$8,$B$8,IF(A120=$A$9,$B$9,0))))))</f>
        <v/>
      </c>
      <c r="P120" s="819">
        <f>N120*O120</f>
        <v/>
      </c>
      <c r="Q120" s="820">
        <f>E120</f>
        <v/>
      </c>
    </row>
    <row r="121">
      <c r="A121" s="445" t="n"/>
      <c r="B121" s="445" t="n"/>
      <c r="C121" s="445" t="n"/>
      <c r="D121" s="445" t="n"/>
      <c r="E121" s="817" t="n"/>
      <c r="F121" s="447" t="n"/>
      <c r="G121" s="817" t="n"/>
      <c r="H121" s="817" t="n"/>
      <c r="I121" s="817" t="n"/>
      <c r="J121" s="817" t="n"/>
      <c r="K121" s="818">
        <f>B121&amp;"-"&amp;C121</f>
        <v/>
      </c>
      <c r="L121" s="818">
        <f>E121+G121</f>
        <v/>
      </c>
      <c r="M121" s="130">
        <f>IF(H121=0,"No Value",L121/H121)</f>
        <v/>
      </c>
      <c r="N121" s="819">
        <f>IF(I121&lt;&gt;"",I121,IF(L121-H121&lt;=0,0,IF(L121-H121&gt;=E121,E121,L121-H121)))</f>
        <v/>
      </c>
      <c r="O121" s="132">
        <f>IF(I121&lt;&gt;"",100%,IF(A121=$A$5,$B$5,IF(A121=$A$6,$B$6,IF(A121=$A$7,$B$7,IF(A121=$A$8,$B$8,IF(A121=$A$9,$B$9,0))))))</f>
        <v/>
      </c>
      <c r="P121" s="819">
        <f>N121*O121</f>
        <v/>
      </c>
      <c r="Q121" s="820">
        <f>E121</f>
        <v/>
      </c>
    </row>
    <row r="122">
      <c r="A122" s="445" t="n"/>
      <c r="B122" s="445" t="n"/>
      <c r="C122" s="445" t="n"/>
      <c r="D122" s="445" t="n"/>
      <c r="E122" s="817" t="n"/>
      <c r="F122" s="447" t="n"/>
      <c r="G122" s="817" t="n"/>
      <c r="H122" s="817" t="n"/>
      <c r="I122" s="817" t="n"/>
      <c r="J122" s="817" t="n"/>
      <c r="K122" s="818">
        <f>B122&amp;"-"&amp;C122</f>
        <v/>
      </c>
      <c r="L122" s="818">
        <f>E122+G122</f>
        <v/>
      </c>
      <c r="M122" s="130">
        <f>IF(H122=0,"No Value",L122/H122)</f>
        <v/>
      </c>
      <c r="N122" s="819">
        <f>IF(I122&lt;&gt;"",I122,IF(L122-H122&lt;=0,0,IF(L122-H122&gt;=E122,E122,L122-H122)))</f>
        <v/>
      </c>
      <c r="O122" s="132">
        <f>IF(I122&lt;&gt;"",100%,IF(A122=$A$5,$B$5,IF(A122=$A$6,$B$6,IF(A122=$A$7,$B$7,IF(A122=$A$8,$B$8,IF(A122=$A$9,$B$9,0))))))</f>
        <v/>
      </c>
      <c r="P122" s="819">
        <f>N122*O122</f>
        <v/>
      </c>
      <c r="Q122" s="820">
        <f>E122</f>
        <v/>
      </c>
    </row>
    <row r="123">
      <c r="A123" s="445" t="n"/>
      <c r="B123" s="445" t="n"/>
      <c r="C123" s="445" t="n"/>
      <c r="D123" s="445" t="n"/>
      <c r="E123" s="817" t="n"/>
      <c r="F123" s="447" t="n"/>
      <c r="G123" s="817" t="n"/>
      <c r="H123" s="817" t="n"/>
      <c r="I123" s="817" t="n"/>
      <c r="J123" s="817" t="n"/>
      <c r="K123" s="818">
        <f>B123&amp;"-"&amp;C123</f>
        <v/>
      </c>
      <c r="L123" s="818">
        <f>E123+G123</f>
        <v/>
      </c>
      <c r="M123" s="130">
        <f>IF(H123=0,"No Value",L123/H123)</f>
        <v/>
      </c>
      <c r="N123" s="819">
        <f>IF(I123&lt;&gt;"",I123,IF(L123-H123&lt;=0,0,IF(L123-H123&gt;=E123,E123,L123-H123)))</f>
        <v/>
      </c>
      <c r="O123" s="132">
        <f>IF(I123&lt;&gt;"",100%,IF(A123=$A$5,$B$5,IF(A123=$A$6,$B$6,IF(A123=$A$7,$B$7,IF(A123=$A$8,$B$8,IF(A123=$A$9,$B$9,0))))))</f>
        <v/>
      </c>
      <c r="P123" s="819">
        <f>N123*O123</f>
        <v/>
      </c>
      <c r="Q123" s="820">
        <f>E123</f>
        <v/>
      </c>
    </row>
    <row r="124">
      <c r="A124" s="445" t="n"/>
      <c r="B124" s="445" t="n"/>
      <c r="C124" s="445" t="n"/>
      <c r="D124" s="445" t="n"/>
      <c r="E124" s="817" t="n"/>
      <c r="F124" s="447" t="n"/>
      <c r="G124" s="817" t="n"/>
      <c r="H124" s="817" t="n"/>
      <c r="I124" s="817" t="n"/>
      <c r="J124" s="817" t="n"/>
      <c r="K124" s="818">
        <f>B124&amp;"-"&amp;C124</f>
        <v/>
      </c>
      <c r="L124" s="818">
        <f>E124+G124</f>
        <v/>
      </c>
      <c r="M124" s="130">
        <f>IF(H124=0,"No Value",L124/H124)</f>
        <v/>
      </c>
      <c r="N124" s="819">
        <f>IF(I124&lt;&gt;"",I124,IF(L124-H124&lt;=0,0,IF(L124-H124&gt;=E124,E124,L124-H124)))</f>
        <v/>
      </c>
      <c r="O124" s="132">
        <f>IF(I124&lt;&gt;"",100%,IF(A124=$A$5,$B$5,IF(A124=$A$6,$B$6,IF(A124=$A$7,$B$7,IF(A124=$A$8,$B$8,IF(A124=$A$9,$B$9,0))))))</f>
        <v/>
      </c>
      <c r="P124" s="819">
        <f>N124*O124</f>
        <v/>
      </c>
      <c r="Q124" s="820">
        <f>E124</f>
        <v/>
      </c>
    </row>
    <row r="125">
      <c r="A125" s="445" t="n"/>
      <c r="B125" s="445" t="n"/>
      <c r="C125" s="445" t="n"/>
      <c r="D125" s="445" t="n"/>
      <c r="E125" s="817" t="n"/>
      <c r="F125" s="447" t="n"/>
      <c r="G125" s="817" t="n"/>
      <c r="H125" s="817" t="n"/>
      <c r="I125" s="817" t="n"/>
      <c r="J125" s="817" t="n"/>
      <c r="K125" s="818">
        <f>B125&amp;"-"&amp;C125</f>
        <v/>
      </c>
      <c r="L125" s="818">
        <f>E125+G125</f>
        <v/>
      </c>
      <c r="M125" s="130">
        <f>IF(H125=0,"No Value",L125/H125)</f>
        <v/>
      </c>
      <c r="N125" s="819">
        <f>IF(I125&lt;&gt;"",I125,IF(L125-H125&lt;=0,0,IF(L125-H125&gt;=E125,E125,L125-H125)))</f>
        <v/>
      </c>
      <c r="O125" s="132">
        <f>IF(I125&lt;&gt;"",100%,IF(A125=$A$5,$B$5,IF(A125=$A$6,$B$6,IF(A125=$A$7,$B$7,IF(A125=$A$8,$B$8,IF(A125=$A$9,$B$9,0))))))</f>
        <v/>
      </c>
      <c r="P125" s="819">
        <f>N125*O125</f>
        <v/>
      </c>
      <c r="Q125" s="820">
        <f>E125</f>
        <v/>
      </c>
    </row>
    <row r="126">
      <c r="A126" s="445" t="n"/>
      <c r="B126" s="445" t="n"/>
      <c r="C126" s="445" t="n"/>
      <c r="D126" s="445" t="n"/>
      <c r="E126" s="817" t="n"/>
      <c r="F126" s="447" t="n"/>
      <c r="G126" s="817" t="n"/>
      <c r="H126" s="817" t="n"/>
      <c r="I126" s="817" t="n"/>
      <c r="J126" s="817" t="n"/>
      <c r="K126" s="818">
        <f>B126&amp;"-"&amp;C126</f>
        <v/>
      </c>
      <c r="L126" s="818">
        <f>E126+G126</f>
        <v/>
      </c>
      <c r="M126" s="130">
        <f>IF(H126=0,"No Value",L126/H126)</f>
        <v/>
      </c>
      <c r="N126" s="819">
        <f>IF(I126&lt;&gt;"",I126,IF(L126-H126&lt;=0,0,IF(L126-H126&gt;=E126,E126,L126-H126)))</f>
        <v/>
      </c>
      <c r="O126" s="132">
        <f>IF(I126&lt;&gt;"",100%,IF(A126=$A$5,$B$5,IF(A126=$A$6,$B$6,IF(A126=$A$7,$B$7,IF(A126=$A$8,$B$8,IF(A126=$A$9,$B$9,0))))))</f>
        <v/>
      </c>
      <c r="P126" s="819">
        <f>N126*O126</f>
        <v/>
      </c>
      <c r="Q126" s="820">
        <f>E126</f>
        <v/>
      </c>
    </row>
    <row r="127">
      <c r="A127" s="445" t="n"/>
      <c r="B127" s="445" t="n"/>
      <c r="C127" s="445" t="n"/>
      <c r="D127" s="445" t="n"/>
      <c r="E127" s="817" t="n"/>
      <c r="F127" s="447" t="n"/>
      <c r="G127" s="817" t="n"/>
      <c r="H127" s="817" t="n"/>
      <c r="I127" s="817" t="n"/>
      <c r="J127" s="817" t="n"/>
      <c r="K127" s="818">
        <f>B127&amp;"-"&amp;C127</f>
        <v/>
      </c>
      <c r="L127" s="818">
        <f>E127+G127</f>
        <v/>
      </c>
      <c r="M127" s="130">
        <f>IF(H127=0,"No Value",L127/H127)</f>
        <v/>
      </c>
      <c r="N127" s="819">
        <f>IF(I127&lt;&gt;"",I127,IF(L127-H127&lt;=0,0,IF(L127-H127&gt;=E127,E127,L127-H127)))</f>
        <v/>
      </c>
      <c r="O127" s="132">
        <f>IF(I127&lt;&gt;"",100%,IF(A127=$A$5,$B$5,IF(A127=$A$6,$B$6,IF(A127=$A$7,$B$7,IF(A127=$A$8,$B$8,IF(A127=$A$9,$B$9,0))))))</f>
        <v/>
      </c>
      <c r="P127" s="819">
        <f>N127*O127</f>
        <v/>
      </c>
      <c r="Q127" s="820">
        <f>E127</f>
        <v/>
      </c>
    </row>
    <row r="128">
      <c r="A128" s="445" t="n"/>
      <c r="B128" s="445" t="n"/>
      <c r="C128" s="445" t="n"/>
      <c r="D128" s="445" t="n"/>
      <c r="E128" s="817" t="n"/>
      <c r="F128" s="447" t="n"/>
      <c r="G128" s="817" t="n"/>
      <c r="H128" s="817" t="n"/>
      <c r="I128" s="817" t="n"/>
      <c r="J128" s="817" t="n"/>
      <c r="K128" s="818">
        <f>B128&amp;"-"&amp;C128</f>
        <v/>
      </c>
      <c r="L128" s="818">
        <f>E128+G128</f>
        <v/>
      </c>
      <c r="M128" s="130">
        <f>IF(H128=0,"No Value",L128/H128)</f>
        <v/>
      </c>
      <c r="N128" s="819">
        <f>IF(I128&lt;&gt;"",I128,IF(L128-H128&lt;=0,0,IF(L128-H128&gt;=E128,E128,L128-H128)))</f>
        <v/>
      </c>
      <c r="O128" s="132">
        <f>IF(I128&lt;&gt;"",100%,IF(A128=$A$5,$B$5,IF(A128=$A$6,$B$6,IF(A128=$A$7,$B$7,IF(A128=$A$8,$B$8,IF(A128=$A$9,$B$9,0))))))</f>
        <v/>
      </c>
      <c r="P128" s="819">
        <f>N128*O128</f>
        <v/>
      </c>
      <c r="Q128" s="820">
        <f>E128</f>
        <v/>
      </c>
    </row>
    <row r="129">
      <c r="A129" s="445" t="n"/>
      <c r="B129" s="445" t="n"/>
      <c r="C129" s="445" t="n"/>
      <c r="D129" s="445" t="n"/>
      <c r="E129" s="817" t="n"/>
      <c r="F129" s="447" t="n"/>
      <c r="G129" s="817" t="n"/>
      <c r="H129" s="817" t="n"/>
      <c r="I129" s="817" t="n"/>
      <c r="J129" s="817" t="n"/>
      <c r="K129" s="818">
        <f>B129&amp;"-"&amp;C129</f>
        <v/>
      </c>
      <c r="L129" s="818">
        <f>E129+G129</f>
        <v/>
      </c>
      <c r="M129" s="130">
        <f>IF(H129=0,"No Value",L129/H129)</f>
        <v/>
      </c>
      <c r="N129" s="819">
        <f>IF(I129&lt;&gt;"",I129,IF(L129-H129&lt;=0,0,IF(L129-H129&gt;=E129,E129,L129-H129)))</f>
        <v/>
      </c>
      <c r="O129" s="132">
        <f>IF(I129&lt;&gt;"",100%,IF(A129=$A$5,$B$5,IF(A129=$A$6,$B$6,IF(A129=$A$7,$B$7,IF(A129=$A$8,$B$8,IF(A129=$A$9,$B$9,0))))))</f>
        <v/>
      </c>
      <c r="P129" s="819">
        <f>N129*O129</f>
        <v/>
      </c>
      <c r="Q129" s="820">
        <f>E129</f>
        <v/>
      </c>
    </row>
    <row r="130">
      <c r="A130" s="445" t="n"/>
      <c r="B130" s="445" t="n"/>
      <c r="C130" s="445" t="n"/>
      <c r="D130" s="445" t="n"/>
      <c r="E130" s="817" t="n"/>
      <c r="F130" s="447" t="n"/>
      <c r="G130" s="817" t="n"/>
      <c r="H130" s="817" t="n"/>
      <c r="I130" s="817" t="n"/>
      <c r="J130" s="817" t="n"/>
      <c r="K130" s="818">
        <f>B130&amp;"-"&amp;C130</f>
        <v/>
      </c>
      <c r="L130" s="818">
        <f>E130+G130</f>
        <v/>
      </c>
      <c r="M130" s="130">
        <f>IF(H130=0,"No Value",L130/H130)</f>
        <v/>
      </c>
      <c r="N130" s="819">
        <f>IF(I130&lt;&gt;"",I130,IF(L130-H130&lt;=0,0,IF(L130-H130&gt;=E130,E130,L130-H130)))</f>
        <v/>
      </c>
      <c r="O130" s="132">
        <f>IF(I130&lt;&gt;"",100%,IF(A130=$A$5,$B$5,IF(A130=$A$6,$B$6,IF(A130=$A$7,$B$7,IF(A130=$A$8,$B$8,IF(A130=$A$9,$B$9,0))))))</f>
        <v/>
      </c>
      <c r="P130" s="819">
        <f>N130*O130</f>
        <v/>
      </c>
      <c r="Q130" s="820">
        <f>E130</f>
        <v/>
      </c>
    </row>
    <row r="131">
      <c r="A131" s="445" t="n"/>
      <c r="B131" s="445" t="n"/>
      <c r="C131" s="445" t="n"/>
      <c r="D131" s="445" t="n"/>
      <c r="E131" s="817" t="n"/>
      <c r="F131" s="447" t="n"/>
      <c r="G131" s="817" t="n"/>
      <c r="H131" s="817" t="n"/>
      <c r="I131" s="817" t="n"/>
      <c r="J131" s="817" t="n"/>
      <c r="K131" s="818">
        <f>B131&amp;"-"&amp;C131</f>
        <v/>
      </c>
      <c r="L131" s="818">
        <f>E131+G131</f>
        <v/>
      </c>
      <c r="M131" s="130">
        <f>IF(H131=0,"No Value",L131/H131)</f>
        <v/>
      </c>
      <c r="N131" s="819">
        <f>IF(I131&lt;&gt;"",I131,IF(L131-H131&lt;=0,0,IF(L131-H131&gt;=E131,E131,L131-H131)))</f>
        <v/>
      </c>
      <c r="O131" s="132">
        <f>IF(I131&lt;&gt;"",100%,IF(A131=$A$5,$B$5,IF(A131=$A$6,$B$6,IF(A131=$A$7,$B$7,IF(A131=$A$8,$B$8,IF(A131=$A$9,$B$9,0))))))</f>
        <v/>
      </c>
      <c r="P131" s="819">
        <f>N131*O131</f>
        <v/>
      </c>
      <c r="Q131" s="820">
        <f>E131</f>
        <v/>
      </c>
    </row>
    <row r="132">
      <c r="A132" s="445" t="n"/>
      <c r="B132" s="445" t="n"/>
      <c r="C132" s="445" t="n"/>
      <c r="D132" s="445" t="n"/>
      <c r="E132" s="817" t="n"/>
      <c r="F132" s="447" t="n"/>
      <c r="G132" s="817" t="n"/>
      <c r="H132" s="817" t="n"/>
      <c r="I132" s="817" t="n"/>
      <c r="J132" s="817" t="n"/>
      <c r="K132" s="818">
        <f>B132&amp;"-"&amp;C132</f>
        <v/>
      </c>
      <c r="L132" s="818">
        <f>E132+G132</f>
        <v/>
      </c>
      <c r="M132" s="130">
        <f>IF(H132=0,"No Value",L132/H132)</f>
        <v/>
      </c>
      <c r="N132" s="819">
        <f>IF(I132&lt;&gt;"",I132,IF(L132-H132&lt;=0,0,IF(L132-H132&gt;=E132,E132,L132-H132)))</f>
        <v/>
      </c>
      <c r="O132" s="132">
        <f>IF(I132&lt;&gt;"",100%,IF(A132=$A$5,$B$5,IF(A132=$A$6,$B$6,IF(A132=$A$7,$B$7,IF(A132=$A$8,$B$8,IF(A132=$A$9,$B$9,0))))))</f>
        <v/>
      </c>
      <c r="P132" s="819">
        <f>N132*O132</f>
        <v/>
      </c>
      <c r="Q132" s="820">
        <f>E132</f>
        <v/>
      </c>
    </row>
    <row r="133">
      <c r="A133" s="445" t="n"/>
      <c r="B133" s="445" t="n"/>
      <c r="C133" s="445" t="n"/>
      <c r="D133" s="445" t="n"/>
      <c r="E133" s="817" t="n"/>
      <c r="F133" s="447" t="n"/>
      <c r="G133" s="817" t="n"/>
      <c r="H133" s="817" t="n"/>
      <c r="I133" s="817" t="n"/>
      <c r="J133" s="817" t="n"/>
      <c r="K133" s="818">
        <f>B133&amp;"-"&amp;C133</f>
        <v/>
      </c>
      <c r="L133" s="818">
        <f>E133+G133</f>
        <v/>
      </c>
      <c r="M133" s="130">
        <f>IF(H133=0,"No Value",L133/H133)</f>
        <v/>
      </c>
      <c r="N133" s="819">
        <f>IF(I133&lt;&gt;"",I133,IF(L133-H133&lt;=0,0,IF(L133-H133&gt;=E133,E133,L133-H133)))</f>
        <v/>
      </c>
      <c r="O133" s="132">
        <f>IF(I133&lt;&gt;"",100%,IF(A133=$A$5,$B$5,IF(A133=$A$6,$B$6,IF(A133=$A$7,$B$7,IF(A133=$A$8,$B$8,IF(A133=$A$9,$B$9,0))))))</f>
        <v/>
      </c>
      <c r="P133" s="819">
        <f>N133*O133</f>
        <v/>
      </c>
      <c r="Q133" s="820">
        <f>E133</f>
        <v/>
      </c>
    </row>
    <row r="134">
      <c r="A134" s="445" t="n"/>
      <c r="B134" s="445" t="n"/>
      <c r="C134" s="445" t="n"/>
      <c r="D134" s="445" t="n"/>
      <c r="E134" s="817" t="n"/>
      <c r="F134" s="447" t="n"/>
      <c r="G134" s="817" t="n"/>
      <c r="H134" s="817" t="n"/>
      <c r="I134" s="817" t="n"/>
      <c r="J134" s="817" t="n"/>
      <c r="K134" s="818">
        <f>B134&amp;"-"&amp;C134</f>
        <v/>
      </c>
      <c r="L134" s="818">
        <f>E134+G134</f>
        <v/>
      </c>
      <c r="M134" s="130">
        <f>IF(H134=0,"No Value",L134/H134)</f>
        <v/>
      </c>
      <c r="N134" s="819">
        <f>IF(I134&lt;&gt;"",I134,IF(L134-H134&lt;=0,0,IF(L134-H134&gt;=E134,E134,L134-H134)))</f>
        <v/>
      </c>
      <c r="O134" s="132">
        <f>IF(I134&lt;&gt;"",100%,IF(A134=$A$5,$B$5,IF(A134=$A$6,$B$6,IF(A134=$A$7,$B$7,IF(A134=$A$8,$B$8,IF(A134=$A$9,$B$9,0))))))</f>
        <v/>
      </c>
      <c r="P134" s="819">
        <f>N134*O134</f>
        <v/>
      </c>
      <c r="Q134" s="820">
        <f>E134</f>
        <v/>
      </c>
    </row>
    <row r="135">
      <c r="A135" s="445" t="n"/>
      <c r="B135" s="445" t="n"/>
      <c r="C135" s="445" t="n"/>
      <c r="D135" s="445" t="n"/>
      <c r="E135" s="817" t="n"/>
      <c r="F135" s="447" t="n"/>
      <c r="G135" s="817" t="n"/>
      <c r="H135" s="817" t="n"/>
      <c r="I135" s="817" t="n"/>
      <c r="J135" s="817" t="n"/>
      <c r="K135" s="818">
        <f>B135&amp;"-"&amp;C135</f>
        <v/>
      </c>
      <c r="L135" s="818">
        <f>E135+G135</f>
        <v/>
      </c>
      <c r="M135" s="130">
        <f>IF(H135=0,"No Value",L135/H135)</f>
        <v/>
      </c>
      <c r="N135" s="819">
        <f>IF(I135&lt;&gt;"",I135,IF(L135-H135&lt;=0,0,IF(L135-H135&gt;=E135,E135,L135-H135)))</f>
        <v/>
      </c>
      <c r="O135" s="132">
        <f>IF(I135&lt;&gt;"",100%,IF(A135=$A$5,$B$5,IF(A135=$A$6,$B$6,IF(A135=$A$7,$B$7,IF(A135=$A$8,$B$8,IF(A135=$A$9,$B$9,0))))))</f>
        <v/>
      </c>
      <c r="P135" s="819">
        <f>N135*O135</f>
        <v/>
      </c>
      <c r="Q135" s="820">
        <f>E135</f>
        <v/>
      </c>
    </row>
    <row r="136">
      <c r="A136" s="445" t="n"/>
      <c r="B136" s="445" t="n"/>
      <c r="C136" s="445" t="n"/>
      <c r="D136" s="445" t="n"/>
      <c r="E136" s="817" t="n"/>
      <c r="F136" s="447" t="n"/>
      <c r="G136" s="817" t="n"/>
      <c r="H136" s="817" t="n"/>
      <c r="I136" s="817" t="n"/>
      <c r="J136" s="817" t="n"/>
      <c r="K136" s="818">
        <f>B136&amp;"-"&amp;C136</f>
        <v/>
      </c>
      <c r="L136" s="818">
        <f>E136+G136</f>
        <v/>
      </c>
      <c r="M136" s="130">
        <f>IF(H136=0,"No Value",L136/H136)</f>
        <v/>
      </c>
      <c r="N136" s="819">
        <f>IF(I136&lt;&gt;"",I136,IF(L136-H136&lt;=0,0,IF(L136-H136&gt;=E136,E136,L136-H136)))</f>
        <v/>
      </c>
      <c r="O136" s="132">
        <f>IF(I136&lt;&gt;"",100%,IF(A136=$A$5,$B$5,IF(A136=$A$6,$B$6,IF(A136=$A$7,$B$7,IF(A136=$A$8,$B$8,IF(A136=$A$9,$B$9,0))))))</f>
        <v/>
      </c>
      <c r="P136" s="819">
        <f>N136*O136</f>
        <v/>
      </c>
      <c r="Q136" s="820">
        <f>E136</f>
        <v/>
      </c>
    </row>
    <row r="137">
      <c r="A137" s="445" t="n"/>
      <c r="B137" s="445" t="n"/>
      <c r="C137" s="445" t="n"/>
      <c r="D137" s="445" t="n"/>
      <c r="E137" s="817" t="n"/>
      <c r="F137" s="447" t="n"/>
      <c r="G137" s="817" t="n"/>
      <c r="H137" s="817" t="n"/>
      <c r="I137" s="817" t="n"/>
      <c r="J137" s="817" t="n"/>
      <c r="K137" s="818">
        <f>B137&amp;"-"&amp;C137</f>
        <v/>
      </c>
      <c r="L137" s="818">
        <f>E137+G137</f>
        <v/>
      </c>
      <c r="M137" s="130">
        <f>IF(H137=0,"No Value",L137/H137)</f>
        <v/>
      </c>
      <c r="N137" s="819">
        <f>IF(I137&lt;&gt;"",I137,IF(L137-H137&lt;=0,0,IF(L137-H137&gt;=E137,E137,L137-H137)))</f>
        <v/>
      </c>
      <c r="O137" s="132">
        <f>IF(I137&lt;&gt;"",100%,IF(A137=$A$5,$B$5,IF(A137=$A$6,$B$6,IF(A137=$A$7,$B$7,IF(A137=$A$8,$B$8,IF(A137=$A$9,$B$9,0))))))</f>
        <v/>
      </c>
      <c r="P137" s="819">
        <f>N137*O137</f>
        <v/>
      </c>
      <c r="Q137" s="820">
        <f>E137</f>
        <v/>
      </c>
    </row>
    <row r="138">
      <c r="A138" s="445" t="n"/>
      <c r="B138" s="445" t="n"/>
      <c r="C138" s="445" t="n"/>
      <c r="D138" s="445" t="n"/>
      <c r="E138" s="817" t="n"/>
      <c r="F138" s="447" t="n"/>
      <c r="G138" s="817" t="n"/>
      <c r="H138" s="817" t="n"/>
      <c r="I138" s="817" t="n"/>
      <c r="J138" s="817" t="n"/>
      <c r="K138" s="818">
        <f>B138&amp;"-"&amp;C138</f>
        <v/>
      </c>
      <c r="L138" s="818">
        <f>E138+G138</f>
        <v/>
      </c>
      <c r="M138" s="130">
        <f>IF(H138=0,"No Value",L138/H138)</f>
        <v/>
      </c>
      <c r="N138" s="819">
        <f>IF(I138&lt;&gt;"",I138,IF(L138-H138&lt;=0,0,IF(L138-H138&gt;=E138,E138,L138-H138)))</f>
        <v/>
      </c>
      <c r="O138" s="132">
        <f>IF(I138&lt;&gt;"",100%,IF(A138=$A$5,$B$5,IF(A138=$A$6,$B$6,IF(A138=$A$7,$B$7,IF(A138=$A$8,$B$8,IF(A138=$A$9,$B$9,0))))))</f>
        <v/>
      </c>
      <c r="P138" s="819">
        <f>N138*O138</f>
        <v/>
      </c>
      <c r="Q138" s="820">
        <f>E138</f>
        <v/>
      </c>
    </row>
    <row r="139">
      <c r="A139" s="445" t="n"/>
      <c r="B139" s="445" t="n"/>
      <c r="C139" s="445" t="n"/>
      <c r="D139" s="445" t="n"/>
      <c r="E139" s="817" t="n"/>
      <c r="F139" s="447" t="n"/>
      <c r="G139" s="817" t="n"/>
      <c r="H139" s="817" t="n"/>
      <c r="I139" s="817" t="n"/>
      <c r="J139" s="817" t="n"/>
      <c r="K139" s="818">
        <f>B139&amp;"-"&amp;C139</f>
        <v/>
      </c>
      <c r="L139" s="818">
        <f>E139+G139</f>
        <v/>
      </c>
      <c r="M139" s="130">
        <f>IF(H139=0,"No Value",L139/H139)</f>
        <v/>
      </c>
      <c r="N139" s="819">
        <f>IF(I139&lt;&gt;"",I139,IF(L139-H139&lt;=0,0,IF(L139-H139&gt;=E139,E139,L139-H139)))</f>
        <v/>
      </c>
      <c r="O139" s="132">
        <f>IF(I139&lt;&gt;"",100%,IF(A139=$A$5,$B$5,IF(A139=$A$6,$B$6,IF(A139=$A$7,$B$7,IF(A139=$A$8,$B$8,IF(A139=$A$9,$B$9,0))))))</f>
        <v/>
      </c>
      <c r="P139" s="819">
        <f>N139*O139</f>
        <v/>
      </c>
      <c r="Q139" s="820">
        <f>E139</f>
        <v/>
      </c>
    </row>
    <row r="140">
      <c r="A140" s="445" t="n"/>
      <c r="B140" s="445" t="n"/>
      <c r="C140" s="445" t="n"/>
      <c r="D140" s="445" t="n"/>
      <c r="E140" s="817" t="n"/>
      <c r="F140" s="447" t="n"/>
      <c r="G140" s="817" t="n"/>
      <c r="H140" s="817" t="n"/>
      <c r="I140" s="817" t="n"/>
      <c r="J140" s="817" t="n"/>
      <c r="K140" s="818">
        <f>B140&amp;"-"&amp;C140</f>
        <v/>
      </c>
      <c r="L140" s="818">
        <f>E140+G140</f>
        <v/>
      </c>
      <c r="M140" s="130">
        <f>IF(H140=0,"No Value",L140/H140)</f>
        <v/>
      </c>
      <c r="N140" s="819">
        <f>IF(I140&lt;&gt;"",I140,IF(L140-H140&lt;=0,0,IF(L140-H140&gt;=E140,E140,L140-H140)))</f>
        <v/>
      </c>
      <c r="O140" s="132">
        <f>IF(I140&lt;&gt;"",100%,IF(A140=$A$5,$B$5,IF(A140=$A$6,$B$6,IF(A140=$A$7,$B$7,IF(A140=$A$8,$B$8,IF(A140=$A$9,$B$9,0))))))</f>
        <v/>
      </c>
      <c r="P140" s="819">
        <f>N140*O140</f>
        <v/>
      </c>
      <c r="Q140" s="820">
        <f>E140</f>
        <v/>
      </c>
    </row>
    <row r="141">
      <c r="A141" s="445" t="n"/>
      <c r="B141" s="445" t="n"/>
      <c r="C141" s="445" t="n"/>
      <c r="D141" s="445" t="n"/>
      <c r="E141" s="817" t="n"/>
      <c r="F141" s="447" t="n"/>
      <c r="G141" s="817" t="n"/>
      <c r="H141" s="817" t="n"/>
      <c r="I141" s="817" t="n"/>
      <c r="J141" s="817" t="n"/>
      <c r="K141" s="818">
        <f>B141&amp;"-"&amp;C141</f>
        <v/>
      </c>
      <c r="L141" s="818">
        <f>E141+G141</f>
        <v/>
      </c>
      <c r="M141" s="130">
        <f>IF(H141=0,"No Value",L141/H141)</f>
        <v/>
      </c>
      <c r="N141" s="819">
        <f>IF(I141&lt;&gt;"",I141,IF(L141-H141&lt;=0,0,IF(L141-H141&gt;=E141,E141,L141-H141)))</f>
        <v/>
      </c>
      <c r="O141" s="132">
        <f>IF(I141&lt;&gt;"",100%,IF(A141=$A$5,$B$5,IF(A141=$A$6,$B$6,IF(A141=$A$7,$B$7,IF(A141=$A$8,$B$8,IF(A141=$A$9,$B$9,0))))))</f>
        <v/>
      </c>
      <c r="P141" s="819">
        <f>N141*O141</f>
        <v/>
      </c>
      <c r="Q141" s="820">
        <f>E141</f>
        <v/>
      </c>
    </row>
    <row r="142">
      <c r="A142" s="445" t="n"/>
      <c r="B142" s="445" t="n"/>
      <c r="C142" s="445" t="n"/>
      <c r="D142" s="445" t="n"/>
      <c r="E142" s="817" t="n"/>
      <c r="F142" s="447" t="n"/>
      <c r="G142" s="817" t="n"/>
      <c r="H142" s="817" t="n"/>
      <c r="I142" s="817" t="n"/>
      <c r="J142" s="817" t="n"/>
      <c r="K142" s="818">
        <f>B142&amp;"-"&amp;C142</f>
        <v/>
      </c>
      <c r="L142" s="818">
        <f>E142+G142</f>
        <v/>
      </c>
      <c r="M142" s="130">
        <f>IF(H142=0,"No Value",L142/H142)</f>
        <v/>
      </c>
      <c r="N142" s="819">
        <f>IF(I142&lt;&gt;"",I142,IF(L142-H142&lt;=0,0,IF(L142-H142&gt;=E142,E142,L142-H142)))</f>
        <v/>
      </c>
      <c r="O142" s="132">
        <f>IF(I142&lt;&gt;"",100%,IF(A142=$A$5,$B$5,IF(A142=$A$6,$B$6,IF(A142=$A$7,$B$7,IF(A142=$A$8,$B$8,IF(A142=$A$9,$B$9,0))))))</f>
        <v/>
      </c>
      <c r="P142" s="819">
        <f>N142*O142</f>
        <v/>
      </c>
      <c r="Q142" s="820">
        <f>E142</f>
        <v/>
      </c>
    </row>
    <row r="143">
      <c r="A143" s="445" t="n"/>
      <c r="B143" s="445" t="n"/>
      <c r="C143" s="445" t="n"/>
      <c r="D143" s="445" t="n"/>
      <c r="E143" s="817" t="n"/>
      <c r="F143" s="447" t="n"/>
      <c r="G143" s="817" t="n"/>
      <c r="H143" s="817" t="n"/>
      <c r="I143" s="817" t="n"/>
      <c r="J143" s="817" t="n"/>
      <c r="K143" s="818">
        <f>B143&amp;"-"&amp;C143</f>
        <v/>
      </c>
      <c r="L143" s="818">
        <f>E143+G143</f>
        <v/>
      </c>
      <c r="M143" s="130">
        <f>IF(H143=0,"No Value",L143/H143)</f>
        <v/>
      </c>
      <c r="N143" s="819">
        <f>IF(I143&lt;&gt;"",I143,IF(L143-H143&lt;=0,0,IF(L143-H143&gt;=E143,E143,L143-H143)))</f>
        <v/>
      </c>
      <c r="O143" s="132">
        <f>IF(I143&lt;&gt;"",100%,IF(A143=$A$5,$B$5,IF(A143=$A$6,$B$6,IF(A143=$A$7,$B$7,IF(A143=$A$8,$B$8,IF(A143=$A$9,$B$9,0))))))</f>
        <v/>
      </c>
      <c r="P143" s="819">
        <f>N143*O143</f>
        <v/>
      </c>
      <c r="Q143" s="820">
        <f>E143</f>
        <v/>
      </c>
    </row>
    <row r="144">
      <c r="A144" s="445" t="n"/>
      <c r="B144" s="445" t="n"/>
      <c r="C144" s="445" t="n"/>
      <c r="D144" s="445" t="n"/>
      <c r="E144" s="817" t="n"/>
      <c r="F144" s="447" t="n"/>
      <c r="G144" s="817" t="n"/>
      <c r="H144" s="817" t="n"/>
      <c r="I144" s="817" t="n"/>
      <c r="J144" s="817" t="n"/>
      <c r="K144" s="818">
        <f>B144&amp;"-"&amp;C144</f>
        <v/>
      </c>
      <c r="L144" s="818">
        <f>E144+G144</f>
        <v/>
      </c>
      <c r="M144" s="130">
        <f>IF(H144=0,"No Value",L144/H144)</f>
        <v/>
      </c>
      <c r="N144" s="819">
        <f>IF(I144&lt;&gt;"",I144,IF(L144-H144&lt;=0,0,IF(L144-H144&gt;=E144,E144,L144-H144)))</f>
        <v/>
      </c>
      <c r="O144" s="132">
        <f>IF(I144&lt;&gt;"",100%,IF(A144=$A$5,$B$5,IF(A144=$A$6,$B$6,IF(A144=$A$7,$B$7,IF(A144=$A$8,$B$8,IF(A144=$A$9,$B$9,0))))))</f>
        <v/>
      </c>
      <c r="P144" s="819">
        <f>N144*O144</f>
        <v/>
      </c>
      <c r="Q144" s="820">
        <f>E144</f>
        <v/>
      </c>
    </row>
    <row r="145">
      <c r="A145" s="445" t="n"/>
      <c r="B145" s="445" t="n"/>
      <c r="C145" s="445" t="n"/>
      <c r="D145" s="445" t="n"/>
      <c r="E145" s="817" t="n"/>
      <c r="F145" s="447" t="n"/>
      <c r="G145" s="817" t="n"/>
      <c r="H145" s="817" t="n"/>
      <c r="I145" s="817" t="n"/>
      <c r="J145" s="817" t="n"/>
      <c r="K145" s="818">
        <f>B145&amp;"-"&amp;C145</f>
        <v/>
      </c>
      <c r="L145" s="818">
        <f>E145+G145</f>
        <v/>
      </c>
      <c r="M145" s="130">
        <f>IF(H145=0,"No Value",L145/H145)</f>
        <v/>
      </c>
      <c r="N145" s="819">
        <f>IF(I145&lt;&gt;"",I145,IF(L145-H145&lt;=0,0,IF(L145-H145&gt;=E145,E145,L145-H145)))</f>
        <v/>
      </c>
      <c r="O145" s="132">
        <f>IF(I145&lt;&gt;"",100%,IF(A145=$A$5,$B$5,IF(A145=$A$6,$B$6,IF(A145=$A$7,$B$7,IF(A145=$A$8,$B$8,IF(A145=$A$9,$B$9,0))))))</f>
        <v/>
      </c>
      <c r="P145" s="819">
        <f>N145*O145</f>
        <v/>
      </c>
      <c r="Q145" s="820">
        <f>E145</f>
        <v/>
      </c>
    </row>
    <row r="146">
      <c r="A146" s="445" t="n"/>
      <c r="B146" s="445" t="n"/>
      <c r="C146" s="445" t="n"/>
      <c r="D146" s="445" t="n"/>
      <c r="E146" s="817" t="n"/>
      <c r="F146" s="447" t="n"/>
      <c r="G146" s="817" t="n"/>
      <c r="H146" s="817" t="n"/>
      <c r="I146" s="817" t="n"/>
      <c r="J146" s="817" t="n"/>
      <c r="K146" s="818">
        <f>B146&amp;"-"&amp;C146</f>
        <v/>
      </c>
      <c r="L146" s="818">
        <f>E146+G146</f>
        <v/>
      </c>
      <c r="M146" s="130">
        <f>IF(H146=0,"No Value",L146/H146)</f>
        <v/>
      </c>
      <c r="N146" s="819">
        <f>IF(I146&lt;&gt;"",I146,IF(L146-H146&lt;=0,0,IF(L146-H146&gt;=E146,E146,L146-H146)))</f>
        <v/>
      </c>
      <c r="O146" s="132">
        <f>IF(I146&lt;&gt;"",100%,IF(A146=$A$5,$B$5,IF(A146=$A$6,$B$6,IF(A146=$A$7,$B$7,IF(A146=$A$8,$B$8,IF(A146=$A$9,$B$9,0))))))</f>
        <v/>
      </c>
      <c r="P146" s="819">
        <f>N146*O146</f>
        <v/>
      </c>
      <c r="Q146" s="820">
        <f>E146</f>
        <v/>
      </c>
    </row>
    <row r="147">
      <c r="A147" s="445" t="n"/>
      <c r="B147" s="445" t="n"/>
      <c r="C147" s="445" t="n"/>
      <c r="D147" s="445" t="n"/>
      <c r="E147" s="817" t="n"/>
      <c r="F147" s="447" t="n"/>
      <c r="G147" s="817" t="n"/>
      <c r="H147" s="817" t="n"/>
      <c r="I147" s="817" t="n"/>
      <c r="J147" s="817" t="n"/>
      <c r="K147" s="818">
        <f>B147&amp;"-"&amp;C147</f>
        <v/>
      </c>
      <c r="L147" s="818">
        <f>E147+G147</f>
        <v/>
      </c>
      <c r="M147" s="130">
        <f>IF(H147=0,"No Value",L147/H147)</f>
        <v/>
      </c>
      <c r="N147" s="819">
        <f>IF(I147&lt;&gt;"",I147,IF(L147-H147&lt;=0,0,IF(L147-H147&gt;=E147,E147,L147-H147)))</f>
        <v/>
      </c>
      <c r="O147" s="132">
        <f>IF(I147&lt;&gt;"",100%,IF(A147=$A$5,$B$5,IF(A147=$A$6,$B$6,IF(A147=$A$7,$B$7,IF(A147=$A$8,$B$8,IF(A147=$A$9,$B$9,0))))))</f>
        <v/>
      </c>
      <c r="P147" s="819">
        <f>N147*O147</f>
        <v/>
      </c>
      <c r="Q147" s="820">
        <f>E147</f>
        <v/>
      </c>
    </row>
    <row r="148">
      <c r="A148" s="445" t="n"/>
      <c r="B148" s="445" t="n"/>
      <c r="C148" s="445" t="n"/>
      <c r="D148" s="445" t="n"/>
      <c r="E148" s="817" t="n"/>
      <c r="F148" s="447" t="n"/>
      <c r="G148" s="817" t="n"/>
      <c r="H148" s="817" t="n"/>
      <c r="I148" s="817" t="n"/>
      <c r="J148" s="817" t="n"/>
      <c r="K148" s="818">
        <f>B148&amp;"-"&amp;C148</f>
        <v/>
      </c>
      <c r="L148" s="818">
        <f>E148+G148</f>
        <v/>
      </c>
      <c r="M148" s="130">
        <f>IF(H148=0,"No Value",L148/H148)</f>
        <v/>
      </c>
      <c r="N148" s="819">
        <f>IF(I148&lt;&gt;"",I148,IF(L148-H148&lt;=0,0,IF(L148-H148&gt;=E148,E148,L148-H148)))</f>
        <v/>
      </c>
      <c r="O148" s="132">
        <f>IF(I148&lt;&gt;"",100%,IF(A148=$A$5,$B$5,IF(A148=$A$6,$B$6,IF(A148=$A$7,$B$7,IF(A148=$A$8,$B$8,IF(A148=$A$9,$B$9,0))))))</f>
        <v/>
      </c>
      <c r="P148" s="819">
        <f>N148*O148</f>
        <v/>
      </c>
      <c r="Q148" s="820">
        <f>E148</f>
        <v/>
      </c>
    </row>
    <row r="149">
      <c r="A149" s="445" t="n"/>
      <c r="B149" s="445" t="n"/>
      <c r="C149" s="445" t="n"/>
      <c r="D149" s="445" t="n"/>
      <c r="E149" s="817" t="n"/>
      <c r="F149" s="447" t="n"/>
      <c r="G149" s="817" t="n"/>
      <c r="H149" s="817" t="n"/>
      <c r="I149" s="817" t="n"/>
      <c r="J149" s="817" t="n"/>
      <c r="K149" s="818">
        <f>B149&amp;"-"&amp;C149</f>
        <v/>
      </c>
      <c r="L149" s="818">
        <f>E149+G149</f>
        <v/>
      </c>
      <c r="M149" s="130">
        <f>IF(H149=0,"No Value",L149/H149)</f>
        <v/>
      </c>
      <c r="N149" s="819">
        <f>IF(I149&lt;&gt;"",I149,IF(L149-H149&lt;=0,0,IF(L149-H149&gt;=E149,E149,L149-H149)))</f>
        <v/>
      </c>
      <c r="O149" s="132">
        <f>IF(I149&lt;&gt;"",100%,IF(A149=$A$5,$B$5,IF(A149=$A$6,$B$6,IF(A149=$A$7,$B$7,IF(A149=$A$8,$B$8,IF(A149=$A$9,$B$9,0))))))</f>
        <v/>
      </c>
      <c r="P149" s="819">
        <f>N149*O149</f>
        <v/>
      </c>
      <c r="Q149" s="820">
        <f>E149</f>
        <v/>
      </c>
    </row>
    <row r="150">
      <c r="A150" s="445" t="n"/>
      <c r="B150" s="445" t="n"/>
      <c r="C150" s="445" t="n"/>
      <c r="D150" s="445" t="n"/>
      <c r="E150" s="817" t="n"/>
      <c r="F150" s="447" t="n"/>
      <c r="G150" s="817" t="n"/>
      <c r="H150" s="817" t="n"/>
      <c r="I150" s="817" t="n"/>
      <c r="J150" s="817" t="n"/>
      <c r="K150" s="818">
        <f>B150&amp;"-"&amp;C150</f>
        <v/>
      </c>
      <c r="L150" s="818">
        <f>E150+G150</f>
        <v/>
      </c>
      <c r="M150" s="130">
        <f>IF(H150=0,"No Value",L150/H150)</f>
        <v/>
      </c>
      <c r="N150" s="819">
        <f>IF(I150&lt;&gt;"",I150,IF(L150-H150&lt;=0,0,IF(L150-H150&gt;=E150,E150,L150-H150)))</f>
        <v/>
      </c>
      <c r="O150" s="132">
        <f>IF(I150&lt;&gt;"",100%,IF(A150=$A$5,$B$5,IF(A150=$A$6,$B$6,IF(A150=$A$7,$B$7,IF(A150=$A$8,$B$8,IF(A150=$A$9,$B$9,0))))))</f>
        <v/>
      </c>
      <c r="P150" s="819">
        <f>N150*O150</f>
        <v/>
      </c>
      <c r="Q150" s="820">
        <f>E150</f>
        <v/>
      </c>
    </row>
    <row r="151">
      <c r="A151" s="445" t="n"/>
      <c r="B151" s="445" t="n"/>
      <c r="C151" s="445" t="n"/>
      <c r="D151" s="445" t="n"/>
      <c r="E151" s="817" t="n"/>
      <c r="F151" s="447" t="n"/>
      <c r="G151" s="817" t="n"/>
      <c r="H151" s="817" t="n"/>
      <c r="I151" s="817" t="n"/>
      <c r="J151" s="817" t="n"/>
      <c r="K151" s="818">
        <f>B151&amp;"-"&amp;C151</f>
        <v/>
      </c>
      <c r="L151" s="818">
        <f>E151+G151</f>
        <v/>
      </c>
      <c r="M151" s="130">
        <f>IF(H151=0,"No Value",L151/H151)</f>
        <v/>
      </c>
      <c r="N151" s="819">
        <f>IF(I151&lt;&gt;"",I151,IF(L151-H151&lt;=0,0,IF(L151-H151&gt;=E151,E151,L151-H151)))</f>
        <v/>
      </c>
      <c r="O151" s="132">
        <f>IF(I151&lt;&gt;"",100%,IF(A151=$A$5,$B$5,IF(A151=$A$6,$B$6,IF(A151=$A$7,$B$7,IF(A151=$A$8,$B$8,IF(A151=$A$9,$B$9,0))))))</f>
        <v/>
      </c>
      <c r="P151" s="819">
        <f>N151*O151</f>
        <v/>
      </c>
      <c r="Q151" s="820">
        <f>E151</f>
        <v/>
      </c>
    </row>
    <row r="152">
      <c r="A152" s="445" t="n"/>
      <c r="B152" s="445" t="n"/>
      <c r="C152" s="445" t="n"/>
      <c r="D152" s="445" t="n"/>
      <c r="E152" s="817" t="n"/>
      <c r="F152" s="447" t="n"/>
      <c r="G152" s="817" t="n"/>
      <c r="H152" s="817" t="n"/>
      <c r="I152" s="817" t="n"/>
      <c r="J152" s="817" t="n"/>
      <c r="K152" s="818">
        <f>B152&amp;"-"&amp;C152</f>
        <v/>
      </c>
      <c r="L152" s="818">
        <f>E152+G152</f>
        <v/>
      </c>
      <c r="M152" s="130">
        <f>IF(H152=0,"No Value",L152/H152)</f>
        <v/>
      </c>
      <c r="N152" s="819">
        <f>IF(I152&lt;&gt;"",I152,IF(L152-H152&lt;=0,0,IF(L152-H152&gt;=E152,E152,L152-H152)))</f>
        <v/>
      </c>
      <c r="O152" s="132">
        <f>IF(I152&lt;&gt;"",100%,IF(A152=$A$5,$B$5,IF(A152=$A$6,$B$6,IF(A152=$A$7,$B$7,IF(A152=$A$8,$B$8,IF(A152=$A$9,$B$9,0))))))</f>
        <v/>
      </c>
      <c r="P152" s="819">
        <f>N152*O152</f>
        <v/>
      </c>
      <c r="Q152" s="820">
        <f>E152</f>
        <v/>
      </c>
    </row>
    <row r="153">
      <c r="A153" s="445" t="n"/>
      <c r="B153" s="445" t="n"/>
      <c r="C153" s="445" t="n"/>
      <c r="D153" s="445" t="n"/>
      <c r="E153" s="817" t="n"/>
      <c r="F153" s="447" t="n"/>
      <c r="G153" s="817" t="n"/>
      <c r="H153" s="817" t="n"/>
      <c r="I153" s="817" t="n"/>
      <c r="J153" s="817" t="n"/>
      <c r="K153" s="818">
        <f>B153&amp;"-"&amp;C153</f>
        <v/>
      </c>
      <c r="L153" s="818">
        <f>E153+G153</f>
        <v/>
      </c>
      <c r="M153" s="130">
        <f>IF(H153=0,"No Value",L153/H153)</f>
        <v/>
      </c>
      <c r="N153" s="819">
        <f>IF(I153&lt;&gt;"",I153,IF(L153-H153&lt;=0,0,IF(L153-H153&gt;=E153,E153,L153-H153)))</f>
        <v/>
      </c>
      <c r="O153" s="132">
        <f>IF(I153&lt;&gt;"",100%,IF(A153=$A$5,$B$5,IF(A153=$A$6,$B$6,IF(A153=$A$7,$B$7,IF(A153=$A$8,$B$8,IF(A153=$A$9,$B$9,0))))))</f>
        <v/>
      </c>
      <c r="P153" s="819">
        <f>N153*O153</f>
        <v/>
      </c>
      <c r="Q153" s="820">
        <f>E153</f>
        <v/>
      </c>
    </row>
    <row r="154">
      <c r="A154" s="445" t="n"/>
      <c r="B154" s="445" t="n"/>
      <c r="C154" s="445" t="n"/>
      <c r="D154" s="445" t="n"/>
      <c r="E154" s="817" t="n"/>
      <c r="F154" s="447" t="n"/>
      <c r="G154" s="817" t="n"/>
      <c r="H154" s="817" t="n"/>
      <c r="I154" s="817" t="n"/>
      <c r="J154" s="817" t="n"/>
      <c r="K154" s="818">
        <f>B154&amp;"-"&amp;C154</f>
        <v/>
      </c>
      <c r="L154" s="818">
        <f>E154+G154</f>
        <v/>
      </c>
      <c r="M154" s="130">
        <f>IF(H154=0,"No Value",L154/H154)</f>
        <v/>
      </c>
      <c r="N154" s="819">
        <f>IF(I154&lt;&gt;"",I154,IF(L154-H154&lt;=0,0,IF(L154-H154&gt;=E154,E154,L154-H154)))</f>
        <v/>
      </c>
      <c r="O154" s="132">
        <f>IF(I154&lt;&gt;"",100%,IF(A154=$A$5,$B$5,IF(A154=$A$6,$B$6,IF(A154=$A$7,$B$7,IF(A154=$A$8,$B$8,IF(A154=$A$9,$B$9,0))))))</f>
        <v/>
      </c>
      <c r="P154" s="819">
        <f>N154*O154</f>
        <v/>
      </c>
      <c r="Q154" s="820">
        <f>E154</f>
        <v/>
      </c>
    </row>
    <row r="155">
      <c r="A155" s="445" t="n"/>
      <c r="B155" s="445" t="n"/>
      <c r="C155" s="445" t="n"/>
      <c r="D155" s="445" t="n"/>
      <c r="E155" s="817" t="n"/>
      <c r="F155" s="447" t="n"/>
      <c r="G155" s="817" t="n"/>
      <c r="H155" s="817" t="n"/>
      <c r="I155" s="817" t="n"/>
      <c r="J155" s="817" t="n"/>
      <c r="K155" s="818">
        <f>B155&amp;"-"&amp;C155</f>
        <v/>
      </c>
      <c r="L155" s="818">
        <f>E155+G155</f>
        <v/>
      </c>
      <c r="M155" s="130">
        <f>IF(H155=0,"No Value",L155/H155)</f>
        <v/>
      </c>
      <c r="N155" s="819">
        <f>IF(I155&lt;&gt;"",I155,IF(L155-H155&lt;=0,0,IF(L155-H155&gt;=E155,E155,L155-H155)))</f>
        <v/>
      </c>
      <c r="O155" s="132">
        <f>IF(I155&lt;&gt;"",100%,IF(A155=$A$5,$B$5,IF(A155=$A$6,$B$6,IF(A155=$A$7,$B$7,IF(A155=$A$8,$B$8,IF(A155=$A$9,$B$9,0))))))</f>
        <v/>
      </c>
      <c r="P155" s="819">
        <f>N155*O155</f>
        <v/>
      </c>
      <c r="Q155" s="820">
        <f>E155</f>
        <v/>
      </c>
    </row>
    <row r="156">
      <c r="A156" s="445" t="n"/>
      <c r="B156" s="445" t="n"/>
      <c r="C156" s="445" t="n"/>
      <c r="D156" s="445" t="n"/>
      <c r="E156" s="817" t="n"/>
      <c r="F156" s="447" t="n"/>
      <c r="G156" s="817" t="n"/>
      <c r="H156" s="817" t="n"/>
      <c r="I156" s="817" t="n"/>
      <c r="J156" s="817" t="n"/>
      <c r="K156" s="818">
        <f>B156&amp;"-"&amp;C156</f>
        <v/>
      </c>
      <c r="L156" s="818">
        <f>E156+G156</f>
        <v/>
      </c>
      <c r="M156" s="130">
        <f>IF(H156=0,"No Value",L156/H156)</f>
        <v/>
      </c>
      <c r="N156" s="819">
        <f>IF(I156&lt;&gt;"",I156,IF(L156-H156&lt;=0,0,IF(L156-H156&gt;=E156,E156,L156-H156)))</f>
        <v/>
      </c>
      <c r="O156" s="132">
        <f>IF(I156&lt;&gt;"",100%,IF(A156=$A$5,$B$5,IF(A156=$A$6,$B$6,IF(A156=$A$7,$B$7,IF(A156=$A$8,$B$8,IF(A156=$A$9,$B$9,0))))))</f>
        <v/>
      </c>
      <c r="P156" s="819">
        <f>N156*O156</f>
        <v/>
      </c>
      <c r="Q156" s="820">
        <f>E156</f>
        <v/>
      </c>
    </row>
    <row r="157">
      <c r="A157" s="445" t="n"/>
      <c r="B157" s="445" t="n"/>
      <c r="C157" s="445" t="n"/>
      <c r="D157" s="445" t="n"/>
      <c r="E157" s="817" t="n"/>
      <c r="F157" s="447" t="n"/>
      <c r="G157" s="817" t="n"/>
      <c r="H157" s="817" t="n"/>
      <c r="I157" s="817" t="n"/>
      <c r="J157" s="817" t="n"/>
      <c r="K157" s="818">
        <f>B157&amp;"-"&amp;C157</f>
        <v/>
      </c>
      <c r="L157" s="818">
        <f>E157+G157</f>
        <v/>
      </c>
      <c r="M157" s="130">
        <f>IF(H157=0,"No Value",L157/H157)</f>
        <v/>
      </c>
      <c r="N157" s="819">
        <f>IF(I157&lt;&gt;"",I157,IF(L157-H157&lt;=0,0,IF(L157-H157&gt;=E157,E157,L157-H157)))</f>
        <v/>
      </c>
      <c r="O157" s="132">
        <f>IF(I157&lt;&gt;"",100%,IF(A157=$A$5,$B$5,IF(A157=$A$6,$B$6,IF(A157=$A$7,$B$7,IF(A157=$A$8,$B$8,IF(A157=$A$9,$B$9,0))))))</f>
        <v/>
      </c>
      <c r="P157" s="819">
        <f>N157*O157</f>
        <v/>
      </c>
      <c r="Q157" s="820">
        <f>E157</f>
        <v/>
      </c>
    </row>
    <row r="158">
      <c r="A158" s="445" t="n"/>
      <c r="B158" s="445" t="n"/>
      <c r="C158" s="445" t="n"/>
      <c r="D158" s="445" t="n"/>
      <c r="E158" s="817" t="n"/>
      <c r="F158" s="447" t="n"/>
      <c r="G158" s="817" t="n"/>
      <c r="H158" s="817" t="n"/>
      <c r="I158" s="817" t="n"/>
      <c r="J158" s="817" t="n"/>
      <c r="K158" s="818">
        <f>B158&amp;"-"&amp;C158</f>
        <v/>
      </c>
      <c r="L158" s="818">
        <f>E158+G158</f>
        <v/>
      </c>
      <c r="M158" s="130">
        <f>IF(H158=0,"No Value",L158/H158)</f>
        <v/>
      </c>
      <c r="N158" s="819">
        <f>IF(I158&lt;&gt;"",I158,IF(L158-H158&lt;=0,0,IF(L158-H158&gt;=E158,E158,L158-H158)))</f>
        <v/>
      </c>
      <c r="O158" s="132">
        <f>IF(I158&lt;&gt;"",100%,IF(A158=$A$5,$B$5,IF(A158=$A$6,$B$6,IF(A158=$A$7,$B$7,IF(A158=$A$8,$B$8,IF(A158=$A$9,$B$9,0))))))</f>
        <v/>
      </c>
      <c r="P158" s="819">
        <f>N158*O158</f>
        <v/>
      </c>
      <c r="Q158" s="820">
        <f>E158</f>
        <v/>
      </c>
    </row>
    <row r="159">
      <c r="A159" s="445" t="n"/>
      <c r="B159" s="445" t="n"/>
      <c r="C159" s="445" t="n"/>
      <c r="D159" s="445" t="n"/>
      <c r="E159" s="817" t="n"/>
      <c r="F159" s="447" t="n"/>
      <c r="G159" s="817" t="n"/>
      <c r="H159" s="817" t="n"/>
      <c r="I159" s="817" t="n"/>
      <c r="J159" s="817" t="n"/>
      <c r="K159" s="818">
        <f>B159&amp;"-"&amp;C159</f>
        <v/>
      </c>
      <c r="L159" s="818">
        <f>E159+G159</f>
        <v/>
      </c>
      <c r="M159" s="130">
        <f>IF(H159=0,"No Value",L159/H159)</f>
        <v/>
      </c>
      <c r="N159" s="819">
        <f>IF(I159&lt;&gt;"",I159,IF(L159-H159&lt;=0,0,IF(L159-H159&gt;=E159,E159,L159-H159)))</f>
        <v/>
      </c>
      <c r="O159" s="132">
        <f>IF(I159&lt;&gt;"",100%,IF(A159=$A$5,$B$5,IF(A159=$A$6,$B$6,IF(A159=$A$7,$B$7,IF(A159=$A$8,$B$8,IF(A159=$A$9,$B$9,0))))))</f>
        <v/>
      </c>
      <c r="P159" s="819">
        <f>N159*O159</f>
        <v/>
      </c>
      <c r="Q159" s="820">
        <f>E159</f>
        <v/>
      </c>
    </row>
    <row r="160">
      <c r="A160" s="445" t="n"/>
      <c r="B160" s="445" t="n"/>
      <c r="C160" s="445" t="n"/>
      <c r="D160" s="445" t="n"/>
      <c r="E160" s="817" t="n"/>
      <c r="F160" s="447" t="n"/>
      <c r="G160" s="817" t="n"/>
      <c r="H160" s="817" t="n"/>
      <c r="I160" s="817" t="n"/>
      <c r="J160" s="817" t="n"/>
      <c r="K160" s="818">
        <f>B160&amp;"-"&amp;C160</f>
        <v/>
      </c>
      <c r="L160" s="818">
        <f>E160+G160</f>
        <v/>
      </c>
      <c r="M160" s="130">
        <f>IF(H160=0,"No Value",L160/H160)</f>
        <v/>
      </c>
      <c r="N160" s="819">
        <f>IF(I160&lt;&gt;"",I160,IF(L160-H160&lt;=0,0,IF(L160-H160&gt;=E160,E160,L160-H160)))</f>
        <v/>
      </c>
      <c r="O160" s="132">
        <f>IF(I160&lt;&gt;"",100%,IF(A160=$A$5,$B$5,IF(A160=$A$6,$B$6,IF(A160=$A$7,$B$7,IF(A160=$A$8,$B$8,IF(A160=$A$9,$B$9,0))))))</f>
        <v/>
      </c>
      <c r="P160" s="819">
        <f>N160*O160</f>
        <v/>
      </c>
      <c r="Q160" s="820">
        <f>E160</f>
        <v/>
      </c>
    </row>
    <row r="161">
      <c r="A161" s="445" t="n"/>
      <c r="B161" s="445" t="n"/>
      <c r="C161" s="445" t="n"/>
      <c r="D161" s="445" t="n"/>
      <c r="E161" s="817" t="n"/>
      <c r="F161" s="447" t="n"/>
      <c r="G161" s="817" t="n"/>
      <c r="H161" s="817" t="n"/>
      <c r="I161" s="817" t="n"/>
      <c r="J161" s="817" t="n"/>
      <c r="K161" s="818">
        <f>B161&amp;"-"&amp;C161</f>
        <v/>
      </c>
      <c r="L161" s="818">
        <f>E161+G161</f>
        <v/>
      </c>
      <c r="M161" s="130">
        <f>IF(H161=0,"No Value",L161/H161)</f>
        <v/>
      </c>
      <c r="N161" s="819">
        <f>IF(I161&lt;&gt;"",I161,IF(L161-H161&lt;=0,0,IF(L161-H161&gt;=E161,E161,L161-H161)))</f>
        <v/>
      </c>
      <c r="O161" s="132">
        <f>IF(I161&lt;&gt;"",100%,IF(A161=$A$5,$B$5,IF(A161=$A$6,$B$6,IF(A161=$A$7,$B$7,IF(A161=$A$8,$B$8,IF(A161=$A$9,$B$9,0))))))</f>
        <v/>
      </c>
      <c r="P161" s="819">
        <f>N161*O161</f>
        <v/>
      </c>
      <c r="Q161" s="820">
        <f>E161</f>
        <v/>
      </c>
    </row>
    <row r="162">
      <c r="A162" s="445" t="n"/>
      <c r="B162" s="445" t="n"/>
      <c r="C162" s="445" t="n"/>
      <c r="D162" s="445" t="n"/>
      <c r="E162" s="817" t="n"/>
      <c r="F162" s="447" t="n"/>
      <c r="G162" s="817" t="n"/>
      <c r="H162" s="817" t="n"/>
      <c r="I162" s="817" t="n"/>
      <c r="J162" s="817" t="n"/>
      <c r="K162" s="818">
        <f>B162&amp;"-"&amp;C162</f>
        <v/>
      </c>
      <c r="L162" s="818">
        <f>E162+G162</f>
        <v/>
      </c>
      <c r="M162" s="130">
        <f>IF(H162=0,"No Value",L162/H162)</f>
        <v/>
      </c>
      <c r="N162" s="819">
        <f>IF(I162&lt;&gt;"",I162,IF(L162-H162&lt;=0,0,IF(L162-H162&gt;=E162,E162,L162-H162)))</f>
        <v/>
      </c>
      <c r="O162" s="132">
        <f>IF(I162&lt;&gt;"",100%,IF(A162=$A$5,$B$5,IF(A162=$A$6,$B$6,IF(A162=$A$7,$B$7,IF(A162=$A$8,$B$8,IF(A162=$A$9,$B$9,0))))))</f>
        <v/>
      </c>
      <c r="P162" s="819">
        <f>N162*O162</f>
        <v/>
      </c>
      <c r="Q162" s="820">
        <f>E162</f>
        <v/>
      </c>
    </row>
    <row r="163">
      <c r="A163" s="445" t="n"/>
      <c r="B163" s="445" t="n"/>
      <c r="C163" s="445" t="n"/>
      <c r="D163" s="445" t="n"/>
      <c r="E163" s="817" t="n"/>
      <c r="F163" s="447" t="n"/>
      <c r="G163" s="817" t="n"/>
      <c r="H163" s="817" t="n"/>
      <c r="I163" s="817" t="n"/>
      <c r="J163" s="817" t="n"/>
      <c r="K163" s="818">
        <f>B163&amp;"-"&amp;C163</f>
        <v/>
      </c>
      <c r="L163" s="818">
        <f>E163+G163</f>
        <v/>
      </c>
      <c r="M163" s="130">
        <f>IF(H163=0,"No Value",L163/H163)</f>
        <v/>
      </c>
      <c r="N163" s="819">
        <f>IF(I163&lt;&gt;"",I163,IF(L163-H163&lt;=0,0,IF(L163-H163&gt;=E163,E163,L163-H163)))</f>
        <v/>
      </c>
      <c r="O163" s="132">
        <f>IF(I163&lt;&gt;"",100%,IF(A163=$A$5,$B$5,IF(A163=$A$6,$B$6,IF(A163=$A$7,$B$7,IF(A163=$A$8,$B$8,IF(A163=$A$9,$B$9,0))))))</f>
        <v/>
      </c>
      <c r="P163" s="819">
        <f>N163*O163</f>
        <v/>
      </c>
      <c r="Q163" s="820">
        <f>E163</f>
        <v/>
      </c>
    </row>
    <row r="164">
      <c r="A164" s="445" t="n"/>
      <c r="B164" s="445" t="n"/>
      <c r="C164" s="445" t="n"/>
      <c r="D164" s="445" t="n"/>
      <c r="E164" s="817" t="n"/>
      <c r="F164" s="447" t="n"/>
      <c r="G164" s="817" t="n"/>
      <c r="H164" s="817" t="n"/>
      <c r="I164" s="817" t="n"/>
      <c r="J164" s="817" t="n"/>
      <c r="K164" s="818">
        <f>B164&amp;"-"&amp;C164</f>
        <v/>
      </c>
      <c r="L164" s="818">
        <f>E164+G164</f>
        <v/>
      </c>
      <c r="M164" s="130">
        <f>IF(H164=0,"No Value",L164/H164)</f>
        <v/>
      </c>
      <c r="N164" s="819">
        <f>IF(I164&lt;&gt;"",I164,IF(L164-H164&lt;=0,0,IF(L164-H164&gt;=E164,E164,L164-H164)))</f>
        <v/>
      </c>
      <c r="O164" s="132">
        <f>IF(I164&lt;&gt;"",100%,IF(A164=$A$5,$B$5,IF(A164=$A$6,$B$6,IF(A164=$A$7,$B$7,IF(A164=$A$8,$B$8,IF(A164=$A$9,$B$9,0))))))</f>
        <v/>
      </c>
      <c r="P164" s="819">
        <f>N164*O164</f>
        <v/>
      </c>
      <c r="Q164" s="820">
        <f>E164</f>
        <v/>
      </c>
    </row>
    <row r="165">
      <c r="A165" s="445" t="n"/>
      <c r="B165" s="445" t="n"/>
      <c r="C165" s="445" t="n"/>
      <c r="D165" s="445" t="n"/>
      <c r="E165" s="817" t="n"/>
      <c r="F165" s="447" t="n"/>
      <c r="G165" s="817" t="n"/>
      <c r="H165" s="817" t="n"/>
      <c r="I165" s="817" t="n"/>
      <c r="J165" s="817" t="n"/>
      <c r="K165" s="818">
        <f>B165&amp;"-"&amp;C165</f>
        <v/>
      </c>
      <c r="L165" s="818">
        <f>E165+G165</f>
        <v/>
      </c>
      <c r="M165" s="130">
        <f>IF(H165=0,"No Value",L165/H165)</f>
        <v/>
      </c>
      <c r="N165" s="819">
        <f>IF(I165&lt;&gt;"",I165,IF(L165-H165&lt;=0,0,IF(L165-H165&gt;=E165,E165,L165-H165)))</f>
        <v/>
      </c>
      <c r="O165" s="132">
        <f>IF(I165&lt;&gt;"",100%,IF(A165=$A$5,$B$5,IF(A165=$A$6,$B$6,IF(A165=$A$7,$B$7,IF(A165=$A$8,$B$8,IF(A165=$A$9,$B$9,0))))))</f>
        <v/>
      </c>
      <c r="P165" s="819">
        <f>N165*O165</f>
        <v/>
      </c>
      <c r="Q165" s="820">
        <f>E165</f>
        <v/>
      </c>
    </row>
    <row r="166">
      <c r="A166" s="445" t="n"/>
      <c r="B166" s="445" t="n"/>
      <c r="C166" s="445" t="n"/>
      <c r="D166" s="445" t="n"/>
      <c r="E166" s="817" t="n"/>
      <c r="F166" s="447" t="n"/>
      <c r="G166" s="817" t="n"/>
      <c r="H166" s="817" t="n"/>
      <c r="I166" s="817" t="n"/>
      <c r="J166" s="817" t="n"/>
      <c r="K166" s="818">
        <f>B166&amp;"-"&amp;C166</f>
        <v/>
      </c>
      <c r="L166" s="818">
        <f>E166+G166</f>
        <v/>
      </c>
      <c r="M166" s="130">
        <f>IF(H166=0,"No Value",L166/H166)</f>
        <v/>
      </c>
      <c r="N166" s="819">
        <f>IF(I166&lt;&gt;"",I166,IF(L166-H166&lt;=0,0,IF(L166-H166&gt;=E166,E166,L166-H166)))</f>
        <v/>
      </c>
      <c r="O166" s="132">
        <f>IF(I166&lt;&gt;"",100%,IF(A166=$A$5,$B$5,IF(A166=$A$6,$B$6,IF(A166=$A$7,$B$7,IF(A166=$A$8,$B$8,IF(A166=$A$9,$B$9,0))))))</f>
        <v/>
      </c>
      <c r="P166" s="819">
        <f>N166*O166</f>
        <v/>
      </c>
      <c r="Q166" s="820">
        <f>E166</f>
        <v/>
      </c>
    </row>
    <row r="167">
      <c r="A167" s="445" t="n"/>
      <c r="B167" s="445" t="n"/>
      <c r="C167" s="445" t="n"/>
      <c r="D167" s="445" t="n"/>
      <c r="E167" s="817" t="n"/>
      <c r="F167" s="447" t="n"/>
      <c r="G167" s="817" t="n"/>
      <c r="H167" s="817" t="n"/>
      <c r="I167" s="817" t="n"/>
      <c r="J167" s="817" t="n"/>
      <c r="K167" s="818">
        <f>B167&amp;"-"&amp;C167</f>
        <v/>
      </c>
      <c r="L167" s="818">
        <f>E167+G167</f>
        <v/>
      </c>
      <c r="M167" s="130">
        <f>IF(H167=0,"No Value",L167/H167)</f>
        <v/>
      </c>
      <c r="N167" s="819">
        <f>IF(I167&lt;&gt;"",I167,IF(L167-H167&lt;=0,0,IF(L167-H167&gt;=E167,E167,L167-H167)))</f>
        <v/>
      </c>
      <c r="O167" s="132">
        <f>IF(I167&lt;&gt;"",100%,IF(A167=$A$5,$B$5,IF(A167=$A$6,$B$6,IF(A167=$A$7,$B$7,IF(A167=$A$8,$B$8,IF(A167=$A$9,$B$9,0))))))</f>
        <v/>
      </c>
      <c r="P167" s="819">
        <f>N167*O167</f>
        <v/>
      </c>
      <c r="Q167" s="820">
        <f>E167</f>
        <v/>
      </c>
    </row>
    <row r="168">
      <c r="A168" s="445" t="n"/>
      <c r="B168" s="445" t="n"/>
      <c r="C168" s="445" t="n"/>
      <c r="D168" s="445" t="n"/>
      <c r="E168" s="817" t="n"/>
      <c r="F168" s="447" t="n"/>
      <c r="G168" s="817" t="n"/>
      <c r="H168" s="817" t="n"/>
      <c r="I168" s="817" t="n"/>
      <c r="J168" s="817" t="n"/>
      <c r="K168" s="818">
        <f>B168&amp;"-"&amp;C168</f>
        <v/>
      </c>
      <c r="L168" s="818">
        <f>E168+G168</f>
        <v/>
      </c>
      <c r="M168" s="130">
        <f>IF(H168=0,"No Value",L168/H168)</f>
        <v/>
      </c>
      <c r="N168" s="819">
        <f>IF(I168&lt;&gt;"",I168,IF(L168-H168&lt;=0,0,IF(L168-H168&gt;=E168,E168,L168-H168)))</f>
        <v/>
      </c>
      <c r="O168" s="132">
        <f>IF(I168&lt;&gt;"",100%,IF(A168=$A$5,$B$5,IF(A168=$A$6,$B$6,IF(A168=$A$7,$B$7,IF(A168=$A$8,$B$8,IF(A168=$A$9,$B$9,0))))))</f>
        <v/>
      </c>
      <c r="P168" s="819">
        <f>N168*O168</f>
        <v/>
      </c>
      <c r="Q168" s="820">
        <f>E168</f>
        <v/>
      </c>
    </row>
    <row r="169">
      <c r="A169" s="445" t="n"/>
      <c r="B169" s="445" t="n"/>
      <c r="C169" s="445" t="n"/>
      <c r="D169" s="445" t="n"/>
      <c r="E169" s="817" t="n"/>
      <c r="F169" s="447" t="n"/>
      <c r="G169" s="817" t="n"/>
      <c r="H169" s="817" t="n"/>
      <c r="I169" s="817" t="n"/>
      <c r="J169" s="817" t="n"/>
      <c r="K169" s="818">
        <f>B169&amp;"-"&amp;C169</f>
        <v/>
      </c>
      <c r="L169" s="818">
        <f>E169+G169</f>
        <v/>
      </c>
      <c r="M169" s="130">
        <f>IF(H169=0,"No Value",L169/H169)</f>
        <v/>
      </c>
      <c r="N169" s="819">
        <f>IF(I169&lt;&gt;"",I169,IF(L169-H169&lt;=0,0,IF(L169-H169&gt;=E169,E169,L169-H169)))</f>
        <v/>
      </c>
      <c r="O169" s="132">
        <f>IF(I169&lt;&gt;"",100%,IF(A169=$A$5,$B$5,IF(A169=$A$6,$B$6,IF(A169=$A$7,$B$7,IF(A169=$A$8,$B$8,IF(A169=$A$9,$B$9,0))))))</f>
        <v/>
      </c>
      <c r="P169" s="819">
        <f>N169*O169</f>
        <v/>
      </c>
      <c r="Q169" s="820">
        <f>E169</f>
        <v/>
      </c>
    </row>
    <row r="170">
      <c r="A170" s="445" t="n"/>
      <c r="B170" s="445" t="n"/>
      <c r="C170" s="445" t="n"/>
      <c r="D170" s="445" t="n"/>
      <c r="E170" s="817" t="n"/>
      <c r="F170" s="447" t="n"/>
      <c r="G170" s="817" t="n"/>
      <c r="H170" s="817" t="n"/>
      <c r="I170" s="817" t="n"/>
      <c r="J170" s="817" t="n"/>
      <c r="K170" s="818">
        <f>B170&amp;"-"&amp;C170</f>
        <v/>
      </c>
      <c r="L170" s="818">
        <f>E170+G170</f>
        <v/>
      </c>
      <c r="M170" s="130">
        <f>IF(H170=0,"No Value",L170/H170)</f>
        <v/>
      </c>
      <c r="N170" s="819">
        <f>IF(I170&lt;&gt;"",I170,IF(L170-H170&lt;=0,0,IF(L170-H170&gt;=E170,E170,L170-H170)))</f>
        <v/>
      </c>
      <c r="O170" s="132">
        <f>IF(I170&lt;&gt;"",100%,IF(A170=$A$5,$B$5,IF(A170=$A$6,$B$6,IF(A170=$A$7,$B$7,IF(A170=$A$8,$B$8,IF(A170=$A$9,$B$9,0))))))</f>
        <v/>
      </c>
      <c r="P170" s="819">
        <f>N170*O170</f>
        <v/>
      </c>
      <c r="Q170" s="820">
        <f>E170</f>
        <v/>
      </c>
    </row>
    <row r="171">
      <c r="A171" s="445" t="n"/>
      <c r="B171" s="445" t="n"/>
      <c r="C171" s="445" t="n"/>
      <c r="D171" s="445" t="n"/>
      <c r="E171" s="817" t="n"/>
      <c r="F171" s="447" t="n"/>
      <c r="G171" s="817" t="n"/>
      <c r="H171" s="817" t="n"/>
      <c r="I171" s="817" t="n"/>
      <c r="J171" s="817" t="n"/>
      <c r="K171" s="818">
        <f>B171&amp;"-"&amp;C171</f>
        <v/>
      </c>
      <c r="L171" s="818">
        <f>E171+G171</f>
        <v/>
      </c>
      <c r="M171" s="130">
        <f>IF(H171=0,"No Value",L171/H171)</f>
        <v/>
      </c>
      <c r="N171" s="819">
        <f>IF(I171&lt;&gt;"",I171,IF(L171-H171&lt;=0,0,IF(L171-H171&gt;=E171,E171,L171-H171)))</f>
        <v/>
      </c>
      <c r="O171" s="132">
        <f>IF(I171&lt;&gt;"",100%,IF(A171=$A$5,$B$5,IF(A171=$A$6,$B$6,IF(A171=$A$7,$B$7,IF(A171=$A$8,$B$8,IF(A171=$A$9,$B$9,0))))))</f>
        <v/>
      </c>
      <c r="P171" s="819">
        <f>N171*O171</f>
        <v/>
      </c>
      <c r="Q171" s="820">
        <f>E171</f>
        <v/>
      </c>
    </row>
    <row r="172">
      <c r="A172" s="445" t="n"/>
      <c r="B172" s="445" t="n"/>
      <c r="C172" s="445" t="n"/>
      <c r="D172" s="445" t="n"/>
      <c r="E172" s="817" t="n"/>
      <c r="F172" s="447" t="n"/>
      <c r="G172" s="817" t="n"/>
      <c r="H172" s="817" t="n"/>
      <c r="I172" s="817" t="n"/>
      <c r="J172" s="817" t="n"/>
      <c r="K172" s="818">
        <f>B172&amp;"-"&amp;C172</f>
        <v/>
      </c>
      <c r="L172" s="818">
        <f>E172+G172</f>
        <v/>
      </c>
      <c r="M172" s="130">
        <f>IF(H172=0,"No Value",L172/H172)</f>
        <v/>
      </c>
      <c r="N172" s="819">
        <f>IF(I172&lt;&gt;"",I172,IF(L172-H172&lt;=0,0,IF(L172-H172&gt;=E172,E172,L172-H172)))</f>
        <v/>
      </c>
      <c r="O172" s="132">
        <f>IF(I172&lt;&gt;"",100%,IF(A172=$A$5,$B$5,IF(A172=$A$6,$B$6,IF(A172=$A$7,$B$7,IF(A172=$A$8,$B$8,IF(A172=$A$9,$B$9,0))))))</f>
        <v/>
      </c>
      <c r="P172" s="819">
        <f>N172*O172</f>
        <v/>
      </c>
      <c r="Q172" s="820">
        <f>E172</f>
        <v/>
      </c>
    </row>
    <row r="173">
      <c r="A173" s="445" t="n"/>
      <c r="B173" s="445" t="n"/>
      <c r="C173" s="445" t="n"/>
      <c r="D173" s="445" t="n"/>
      <c r="E173" s="817" t="n"/>
      <c r="F173" s="447" t="n"/>
      <c r="G173" s="817" t="n"/>
      <c r="H173" s="817" t="n"/>
      <c r="I173" s="817" t="n"/>
      <c r="J173" s="817" t="n"/>
      <c r="K173" s="818">
        <f>B173&amp;"-"&amp;C173</f>
        <v/>
      </c>
      <c r="L173" s="818">
        <f>E173+G173</f>
        <v/>
      </c>
      <c r="M173" s="130">
        <f>IF(H173=0,"No Value",L173/H173)</f>
        <v/>
      </c>
      <c r="N173" s="819">
        <f>IF(I173&lt;&gt;"",I173,IF(L173-H173&lt;=0,0,IF(L173-H173&gt;=E173,E173,L173-H173)))</f>
        <v/>
      </c>
      <c r="O173" s="132">
        <f>IF(I173&lt;&gt;"",100%,IF(A173=$A$5,$B$5,IF(A173=$A$6,$B$6,IF(A173=$A$7,$B$7,IF(A173=$A$8,$B$8,IF(A173=$A$9,$B$9,0))))))</f>
        <v/>
      </c>
      <c r="P173" s="819">
        <f>N173*O173</f>
        <v/>
      </c>
      <c r="Q173" s="820">
        <f>E173</f>
        <v/>
      </c>
    </row>
    <row r="174">
      <c r="A174" s="445" t="n"/>
      <c r="B174" s="445" t="n"/>
      <c r="C174" s="445" t="n"/>
      <c r="D174" s="445" t="n"/>
      <c r="E174" s="817" t="n"/>
      <c r="F174" s="447" t="n"/>
      <c r="G174" s="817" t="n"/>
      <c r="H174" s="817" t="n"/>
      <c r="I174" s="817" t="n"/>
      <c r="J174" s="817" t="n"/>
      <c r="K174" s="818">
        <f>B174&amp;"-"&amp;C174</f>
        <v/>
      </c>
      <c r="L174" s="818">
        <f>E174+G174</f>
        <v/>
      </c>
      <c r="M174" s="130">
        <f>IF(H174=0,"No Value",L174/H174)</f>
        <v/>
      </c>
      <c r="N174" s="819">
        <f>IF(I174&lt;&gt;"",I174,IF(L174-H174&lt;=0,0,IF(L174-H174&gt;=E174,E174,L174-H174)))</f>
        <v/>
      </c>
      <c r="O174" s="132">
        <f>IF(I174&lt;&gt;"",100%,IF(A174=$A$5,$B$5,IF(A174=$A$6,$B$6,IF(A174=$A$7,$B$7,IF(A174=$A$8,$B$8,IF(A174=$A$9,$B$9,0))))))</f>
        <v/>
      </c>
      <c r="P174" s="819">
        <f>N174*O174</f>
        <v/>
      </c>
      <c r="Q174" s="820">
        <f>E174</f>
        <v/>
      </c>
    </row>
    <row r="175">
      <c r="A175" s="445" t="n"/>
      <c r="B175" s="445" t="n"/>
      <c r="C175" s="445" t="n"/>
      <c r="D175" s="445" t="n"/>
      <c r="E175" s="817" t="n"/>
      <c r="F175" s="447" t="n"/>
      <c r="G175" s="817" t="n"/>
      <c r="H175" s="817" t="n"/>
      <c r="I175" s="817" t="n"/>
      <c r="J175" s="817" t="n"/>
      <c r="K175" s="818">
        <f>B175&amp;"-"&amp;C175</f>
        <v/>
      </c>
      <c r="L175" s="818">
        <f>E175+G175</f>
        <v/>
      </c>
      <c r="M175" s="130">
        <f>IF(H175=0,"No Value",L175/H175)</f>
        <v/>
      </c>
      <c r="N175" s="819">
        <f>IF(I175&lt;&gt;"",I175,IF(L175-H175&lt;=0,0,IF(L175-H175&gt;=E175,E175,L175-H175)))</f>
        <v/>
      </c>
      <c r="O175" s="132">
        <f>IF(I175&lt;&gt;"",100%,IF(A175=$A$5,$B$5,IF(A175=$A$6,$B$6,IF(A175=$A$7,$B$7,IF(A175=$A$8,$B$8,IF(A175=$A$9,$B$9,0))))))</f>
        <v/>
      </c>
      <c r="P175" s="819">
        <f>N175*O175</f>
        <v/>
      </c>
      <c r="Q175" s="820">
        <f>E175</f>
        <v/>
      </c>
    </row>
    <row r="176">
      <c r="A176" s="445" t="n"/>
      <c r="B176" s="445" t="n"/>
      <c r="C176" s="445" t="n"/>
      <c r="D176" s="445" t="n"/>
      <c r="E176" s="817" t="n"/>
      <c r="F176" s="447" t="n"/>
      <c r="G176" s="817" t="n"/>
      <c r="H176" s="817" t="n"/>
      <c r="I176" s="817" t="n"/>
      <c r="J176" s="817" t="n"/>
      <c r="K176" s="818">
        <f>B176&amp;"-"&amp;C176</f>
        <v/>
      </c>
      <c r="L176" s="818">
        <f>E176+G176</f>
        <v/>
      </c>
      <c r="M176" s="130">
        <f>IF(H176=0,"No Value",L176/H176)</f>
        <v/>
      </c>
      <c r="N176" s="819">
        <f>IF(I176&lt;&gt;"",I176,IF(L176-H176&lt;=0,0,IF(L176-H176&gt;=E176,E176,L176-H176)))</f>
        <v/>
      </c>
      <c r="O176" s="132">
        <f>IF(I176&lt;&gt;"",100%,IF(A176=$A$5,$B$5,IF(A176=$A$6,$B$6,IF(A176=$A$7,$B$7,IF(A176=$A$8,$B$8,IF(A176=$A$9,$B$9,0))))))</f>
        <v/>
      </c>
      <c r="P176" s="819">
        <f>N176*O176</f>
        <v/>
      </c>
      <c r="Q176" s="820">
        <f>E176</f>
        <v/>
      </c>
    </row>
    <row r="177">
      <c r="A177" s="445" t="n"/>
      <c r="B177" s="445" t="n"/>
      <c r="C177" s="445" t="n"/>
      <c r="D177" s="445" t="n"/>
      <c r="E177" s="817" t="n"/>
      <c r="F177" s="447" t="n"/>
      <c r="G177" s="817" t="n"/>
      <c r="H177" s="817" t="n"/>
      <c r="I177" s="817" t="n"/>
      <c r="J177" s="817" t="n"/>
      <c r="K177" s="818">
        <f>B177&amp;"-"&amp;C177</f>
        <v/>
      </c>
      <c r="L177" s="818">
        <f>E177+G177</f>
        <v/>
      </c>
      <c r="M177" s="130">
        <f>IF(H177=0,"No Value",L177/H177)</f>
        <v/>
      </c>
      <c r="N177" s="819">
        <f>IF(I177&lt;&gt;"",I177,IF(L177-H177&lt;=0,0,IF(L177-H177&gt;=E177,E177,L177-H177)))</f>
        <v/>
      </c>
      <c r="O177" s="132">
        <f>IF(I177&lt;&gt;"",100%,IF(A177=$A$5,$B$5,IF(A177=$A$6,$B$6,IF(A177=$A$7,$B$7,IF(A177=$A$8,$B$8,IF(A177=$A$9,$B$9,0))))))</f>
        <v/>
      </c>
      <c r="P177" s="819">
        <f>N177*O177</f>
        <v/>
      </c>
      <c r="Q177" s="820">
        <f>E177</f>
        <v/>
      </c>
    </row>
    <row r="178">
      <c r="A178" s="445" t="n"/>
      <c r="B178" s="445" t="n"/>
      <c r="C178" s="445" t="n"/>
      <c r="D178" s="445" t="n"/>
      <c r="E178" s="817" t="n"/>
      <c r="F178" s="447" t="n"/>
      <c r="G178" s="817" t="n"/>
      <c r="H178" s="817" t="n"/>
      <c r="I178" s="817" t="n"/>
      <c r="J178" s="817" t="n"/>
      <c r="K178" s="818">
        <f>B178&amp;"-"&amp;C178</f>
        <v/>
      </c>
      <c r="L178" s="818">
        <f>E178+G178</f>
        <v/>
      </c>
      <c r="M178" s="130">
        <f>IF(H178=0,"No Value",L178/H178)</f>
        <v/>
      </c>
      <c r="N178" s="819">
        <f>IF(I178&lt;&gt;"",I178,IF(L178-H178&lt;=0,0,IF(L178-H178&gt;=E178,E178,L178-H178)))</f>
        <v/>
      </c>
      <c r="O178" s="132">
        <f>IF(I178&lt;&gt;"",100%,IF(A178=$A$5,$B$5,IF(A178=$A$6,$B$6,IF(A178=$A$7,$B$7,IF(A178=$A$8,$B$8,IF(A178=$A$9,$B$9,0))))))</f>
        <v/>
      </c>
      <c r="P178" s="819">
        <f>N178*O178</f>
        <v/>
      </c>
      <c r="Q178" s="820">
        <f>E178</f>
        <v/>
      </c>
    </row>
    <row r="179">
      <c r="A179" s="445" t="n"/>
      <c r="B179" s="445" t="n"/>
      <c r="C179" s="445" t="n"/>
      <c r="D179" s="445" t="n"/>
      <c r="E179" s="817" t="n"/>
      <c r="F179" s="447" t="n"/>
      <c r="G179" s="817" t="n"/>
      <c r="H179" s="817" t="n"/>
      <c r="I179" s="817" t="n"/>
      <c r="J179" s="817" t="n"/>
      <c r="K179" s="818">
        <f>B179&amp;"-"&amp;C179</f>
        <v/>
      </c>
      <c r="L179" s="818">
        <f>E179+G179</f>
        <v/>
      </c>
      <c r="M179" s="130">
        <f>IF(H179=0,"No Value",L179/H179)</f>
        <v/>
      </c>
      <c r="N179" s="819">
        <f>IF(I179&lt;&gt;"",I179,IF(L179-H179&lt;=0,0,IF(L179-H179&gt;=E179,E179,L179-H179)))</f>
        <v/>
      </c>
      <c r="O179" s="132">
        <f>IF(I179&lt;&gt;"",100%,IF(A179=$A$5,$B$5,IF(A179=$A$6,$B$6,IF(A179=$A$7,$B$7,IF(A179=$A$8,$B$8,IF(A179=$A$9,$B$9,0))))))</f>
        <v/>
      </c>
      <c r="P179" s="819">
        <f>N179*O179</f>
        <v/>
      </c>
      <c r="Q179" s="820">
        <f>E179</f>
        <v/>
      </c>
    </row>
    <row r="180">
      <c r="A180" s="445" t="n"/>
      <c r="B180" s="445" t="n"/>
      <c r="C180" s="445" t="n"/>
      <c r="D180" s="445" t="n"/>
      <c r="E180" s="817" t="n"/>
      <c r="F180" s="447" t="n"/>
      <c r="G180" s="817" t="n"/>
      <c r="H180" s="817" t="n"/>
      <c r="I180" s="817" t="n"/>
      <c r="J180" s="817" t="n"/>
      <c r="K180" s="818">
        <f>B180&amp;"-"&amp;C180</f>
        <v/>
      </c>
      <c r="L180" s="818">
        <f>E180+G180</f>
        <v/>
      </c>
      <c r="M180" s="130">
        <f>IF(H180=0,"No Value",L180/H180)</f>
        <v/>
      </c>
      <c r="N180" s="819">
        <f>IF(I180&lt;&gt;"",I180,IF(L180-H180&lt;=0,0,IF(L180-H180&gt;=E180,E180,L180-H180)))</f>
        <v/>
      </c>
      <c r="O180" s="132">
        <f>IF(I180&lt;&gt;"",100%,IF(A180=$A$5,$B$5,IF(A180=$A$6,$B$6,IF(A180=$A$7,$B$7,IF(A180=$A$8,$B$8,IF(A180=$A$9,$B$9,0))))))</f>
        <v/>
      </c>
      <c r="P180" s="819">
        <f>N180*O180</f>
        <v/>
      </c>
      <c r="Q180" s="820">
        <f>E180</f>
        <v/>
      </c>
    </row>
    <row r="181">
      <c r="A181" s="445" t="n"/>
      <c r="B181" s="445" t="n"/>
      <c r="C181" s="445" t="n"/>
      <c r="D181" s="445" t="n"/>
      <c r="E181" s="817" t="n"/>
      <c r="F181" s="447" t="n"/>
      <c r="G181" s="817" t="n"/>
      <c r="H181" s="817" t="n"/>
      <c r="I181" s="817" t="n"/>
      <c r="J181" s="817" t="n"/>
      <c r="K181" s="818">
        <f>B181&amp;"-"&amp;C181</f>
        <v/>
      </c>
      <c r="L181" s="818">
        <f>E181+G181</f>
        <v/>
      </c>
      <c r="M181" s="130">
        <f>IF(H181=0,"No Value",L181/H181)</f>
        <v/>
      </c>
      <c r="N181" s="819">
        <f>IF(I181&lt;&gt;"",I181,IF(L181-H181&lt;=0,0,IF(L181-H181&gt;=E181,E181,L181-H181)))</f>
        <v/>
      </c>
      <c r="O181" s="132">
        <f>IF(I181&lt;&gt;"",100%,IF(A181=$A$5,$B$5,IF(A181=$A$6,$B$6,IF(A181=$A$7,$B$7,IF(A181=$A$8,$B$8,IF(A181=$A$9,$B$9,0))))))</f>
        <v/>
      </c>
      <c r="P181" s="819">
        <f>N181*O181</f>
        <v/>
      </c>
      <c r="Q181" s="820">
        <f>E181</f>
        <v/>
      </c>
    </row>
    <row r="182">
      <c r="A182" s="445" t="n"/>
      <c r="B182" s="445" t="n"/>
      <c r="C182" s="445" t="n"/>
      <c r="D182" s="445" t="n"/>
      <c r="E182" s="817" t="n"/>
      <c r="F182" s="447" t="n"/>
      <c r="G182" s="817" t="n"/>
      <c r="H182" s="817" t="n"/>
      <c r="I182" s="817" t="n"/>
      <c r="J182" s="817" t="n"/>
      <c r="K182" s="818">
        <f>B182&amp;"-"&amp;C182</f>
        <v/>
      </c>
      <c r="L182" s="818">
        <f>E182+G182</f>
        <v/>
      </c>
      <c r="M182" s="130">
        <f>IF(H182=0,"No Value",L182/H182)</f>
        <v/>
      </c>
      <c r="N182" s="819">
        <f>IF(I182&lt;&gt;"",I182,IF(L182-H182&lt;=0,0,IF(L182-H182&gt;=E182,E182,L182-H182)))</f>
        <v/>
      </c>
      <c r="O182" s="132">
        <f>IF(I182&lt;&gt;"",100%,IF(A182=$A$5,$B$5,IF(A182=$A$6,$B$6,IF(A182=$A$7,$B$7,IF(A182=$A$8,$B$8,IF(A182=$A$9,$B$9,0))))))</f>
        <v/>
      </c>
      <c r="P182" s="819">
        <f>N182*O182</f>
        <v/>
      </c>
      <c r="Q182" s="820">
        <f>E182</f>
        <v/>
      </c>
    </row>
    <row r="183">
      <c r="A183" s="445" t="n"/>
      <c r="B183" s="445" t="n"/>
      <c r="C183" s="445" t="n"/>
      <c r="D183" s="445" t="n"/>
      <c r="E183" s="817" t="n"/>
      <c r="F183" s="447" t="n"/>
      <c r="G183" s="817" t="n"/>
      <c r="H183" s="817" t="n"/>
      <c r="I183" s="817" t="n"/>
      <c r="J183" s="817" t="n"/>
      <c r="K183" s="818">
        <f>B183&amp;"-"&amp;C183</f>
        <v/>
      </c>
      <c r="L183" s="818">
        <f>E183+G183</f>
        <v/>
      </c>
      <c r="M183" s="130">
        <f>IF(H183=0,"No Value",L183/H183)</f>
        <v/>
      </c>
      <c r="N183" s="819">
        <f>IF(I183&lt;&gt;"",I183,IF(L183-H183&lt;=0,0,IF(L183-H183&gt;=E183,E183,L183-H183)))</f>
        <v/>
      </c>
      <c r="O183" s="132">
        <f>IF(I183&lt;&gt;"",100%,IF(A183=$A$5,$B$5,IF(A183=$A$6,$B$6,IF(A183=$A$7,$B$7,IF(A183=$A$8,$B$8,IF(A183=$A$9,$B$9,0))))))</f>
        <v/>
      </c>
      <c r="P183" s="819">
        <f>N183*O183</f>
        <v/>
      </c>
      <c r="Q183" s="820">
        <f>E183</f>
        <v/>
      </c>
    </row>
    <row r="184">
      <c r="A184" s="445" t="n"/>
      <c r="B184" s="445" t="n"/>
      <c r="C184" s="445" t="n"/>
      <c r="D184" s="445" t="n"/>
      <c r="E184" s="817" t="n"/>
      <c r="F184" s="447" t="n"/>
      <c r="G184" s="817" t="n"/>
      <c r="H184" s="817" t="n"/>
      <c r="I184" s="817" t="n"/>
      <c r="J184" s="817" t="n"/>
      <c r="K184" s="818">
        <f>B184&amp;"-"&amp;C184</f>
        <v/>
      </c>
      <c r="L184" s="818">
        <f>E184+G184</f>
        <v/>
      </c>
      <c r="M184" s="130">
        <f>IF(H184=0,"No Value",L184/H184)</f>
        <v/>
      </c>
      <c r="N184" s="819">
        <f>IF(I184&lt;&gt;"",I184,IF(L184-H184&lt;=0,0,IF(L184-H184&gt;=E184,E184,L184-H184)))</f>
        <v/>
      </c>
      <c r="O184" s="132">
        <f>IF(I184&lt;&gt;"",100%,IF(A184=$A$5,$B$5,IF(A184=$A$6,$B$6,IF(A184=$A$7,$B$7,IF(A184=$A$8,$B$8,IF(A184=$A$9,$B$9,0))))))</f>
        <v/>
      </c>
      <c r="P184" s="819">
        <f>N184*O184</f>
        <v/>
      </c>
      <c r="Q184" s="820">
        <f>E184</f>
        <v/>
      </c>
    </row>
    <row r="185">
      <c r="A185" s="445" t="n"/>
      <c r="B185" s="445" t="n"/>
      <c r="C185" s="445" t="n"/>
      <c r="D185" s="445" t="n"/>
      <c r="E185" s="817" t="n"/>
      <c r="F185" s="447" t="n"/>
      <c r="G185" s="817" t="n"/>
      <c r="H185" s="817" t="n"/>
      <c r="I185" s="817" t="n"/>
      <c r="J185" s="817" t="n"/>
      <c r="K185" s="818">
        <f>B185&amp;"-"&amp;C185</f>
        <v/>
      </c>
      <c r="L185" s="818">
        <f>E185+G185</f>
        <v/>
      </c>
      <c r="M185" s="130">
        <f>IF(H185=0,"No Value",L185/H185)</f>
        <v/>
      </c>
      <c r="N185" s="819">
        <f>IF(I185&lt;&gt;"",I185,IF(L185-H185&lt;=0,0,IF(L185-H185&gt;=E185,E185,L185-H185)))</f>
        <v/>
      </c>
      <c r="O185" s="132">
        <f>IF(I185&lt;&gt;"",100%,IF(A185=$A$5,$B$5,IF(A185=$A$6,$B$6,IF(A185=$A$7,$B$7,IF(A185=$A$8,$B$8,IF(A185=$A$9,$B$9,0))))))</f>
        <v/>
      </c>
      <c r="P185" s="819">
        <f>N185*O185</f>
        <v/>
      </c>
      <c r="Q185" s="820">
        <f>E185</f>
        <v/>
      </c>
    </row>
    <row r="186">
      <c r="A186" s="445" t="n"/>
      <c r="B186" s="445" t="n"/>
      <c r="C186" s="445" t="n"/>
      <c r="D186" s="445" t="n"/>
      <c r="E186" s="817" t="n"/>
      <c r="F186" s="447" t="n"/>
      <c r="G186" s="817" t="n"/>
      <c r="H186" s="817" t="n"/>
      <c r="I186" s="817" t="n"/>
      <c r="J186" s="817" t="n"/>
      <c r="K186" s="818">
        <f>B186&amp;"-"&amp;C186</f>
        <v/>
      </c>
      <c r="L186" s="818">
        <f>E186+G186</f>
        <v/>
      </c>
      <c r="M186" s="130">
        <f>IF(H186=0,"No Value",L186/H186)</f>
        <v/>
      </c>
      <c r="N186" s="819">
        <f>IF(I186&lt;&gt;"",I186,IF(L186-H186&lt;=0,0,IF(L186-H186&gt;=E186,E186,L186-H186)))</f>
        <v/>
      </c>
      <c r="O186" s="132">
        <f>IF(I186&lt;&gt;"",100%,IF(A186=$A$5,$B$5,IF(A186=$A$6,$B$6,IF(A186=$A$7,$B$7,IF(A186=$A$8,$B$8,IF(A186=$A$9,$B$9,0))))))</f>
        <v/>
      </c>
      <c r="P186" s="819">
        <f>N186*O186</f>
        <v/>
      </c>
      <c r="Q186" s="820">
        <f>E186</f>
        <v/>
      </c>
    </row>
    <row r="187">
      <c r="A187" s="445" t="n"/>
      <c r="B187" s="445" t="n"/>
      <c r="C187" s="445" t="n"/>
      <c r="D187" s="445" t="n"/>
      <c r="E187" s="817" t="n"/>
      <c r="F187" s="447" t="n"/>
      <c r="G187" s="817" t="n"/>
      <c r="H187" s="817" t="n"/>
      <c r="I187" s="817" t="n"/>
      <c r="J187" s="817" t="n"/>
      <c r="K187" s="818">
        <f>B187&amp;"-"&amp;C187</f>
        <v/>
      </c>
      <c r="L187" s="818">
        <f>E187+G187</f>
        <v/>
      </c>
      <c r="M187" s="130">
        <f>IF(H187=0,"No Value",L187/H187)</f>
        <v/>
      </c>
      <c r="N187" s="819">
        <f>IF(I187&lt;&gt;"",I187,IF(L187-H187&lt;=0,0,IF(L187-H187&gt;=E187,E187,L187-H187)))</f>
        <v/>
      </c>
      <c r="O187" s="132">
        <f>IF(I187&lt;&gt;"",100%,IF(A187=$A$5,$B$5,IF(A187=$A$6,$B$6,IF(A187=$A$7,$B$7,IF(A187=$A$8,$B$8,IF(A187=$A$9,$B$9,0))))))</f>
        <v/>
      </c>
      <c r="P187" s="819">
        <f>N187*O187</f>
        <v/>
      </c>
      <c r="Q187" s="820">
        <f>E187</f>
        <v/>
      </c>
    </row>
    <row r="188">
      <c r="A188" s="445" t="n"/>
      <c r="B188" s="445" t="n"/>
      <c r="C188" s="445" t="n"/>
      <c r="D188" s="445" t="n"/>
      <c r="E188" s="817" t="n"/>
      <c r="F188" s="447" t="n"/>
      <c r="G188" s="817" t="n"/>
      <c r="H188" s="817" t="n"/>
      <c r="I188" s="817" t="n"/>
      <c r="J188" s="817" t="n"/>
      <c r="K188" s="818">
        <f>B188&amp;"-"&amp;C188</f>
        <v/>
      </c>
      <c r="L188" s="818">
        <f>E188+G188</f>
        <v/>
      </c>
      <c r="M188" s="130">
        <f>IF(H188=0,"No Value",L188/H188)</f>
        <v/>
      </c>
      <c r="N188" s="819">
        <f>IF(I188&lt;&gt;"",I188,IF(L188-H188&lt;=0,0,IF(L188-H188&gt;=E188,E188,L188-H188)))</f>
        <v/>
      </c>
      <c r="O188" s="132">
        <f>IF(I188&lt;&gt;"",100%,IF(A188=$A$5,$B$5,IF(A188=$A$6,$B$6,IF(A188=$A$7,$B$7,IF(A188=$A$8,$B$8,IF(A188=$A$9,$B$9,0))))))</f>
        <v/>
      </c>
      <c r="P188" s="819">
        <f>N188*O188</f>
        <v/>
      </c>
      <c r="Q188" s="820">
        <f>E188</f>
        <v/>
      </c>
    </row>
    <row r="189">
      <c r="A189" s="445" t="n"/>
      <c r="B189" s="445" t="n"/>
      <c r="C189" s="445" t="n"/>
      <c r="D189" s="445" t="n"/>
      <c r="E189" s="817" t="n"/>
      <c r="F189" s="447" t="n"/>
      <c r="G189" s="817" t="n"/>
      <c r="H189" s="817" t="n"/>
      <c r="I189" s="817" t="n"/>
      <c r="J189" s="817" t="n"/>
      <c r="K189" s="818">
        <f>B189&amp;"-"&amp;C189</f>
        <v/>
      </c>
      <c r="L189" s="818">
        <f>E189+G189</f>
        <v/>
      </c>
      <c r="M189" s="130">
        <f>IF(H189=0,"No Value",L189/H189)</f>
        <v/>
      </c>
      <c r="N189" s="819">
        <f>IF(I189&lt;&gt;"",I189,IF(L189-H189&lt;=0,0,IF(L189-H189&gt;=E189,E189,L189-H189)))</f>
        <v/>
      </c>
      <c r="O189" s="132">
        <f>IF(I189&lt;&gt;"",100%,IF(A189=$A$5,$B$5,IF(A189=$A$6,$B$6,IF(A189=$A$7,$B$7,IF(A189=$A$8,$B$8,IF(A189=$A$9,$B$9,0))))))</f>
        <v/>
      </c>
      <c r="P189" s="819">
        <f>N189*O189</f>
        <v/>
      </c>
      <c r="Q189" s="820">
        <f>E189</f>
        <v/>
      </c>
    </row>
    <row r="190">
      <c r="A190" s="445" t="n"/>
      <c r="B190" s="445" t="n"/>
      <c r="C190" s="445" t="n"/>
      <c r="D190" s="445" t="n"/>
      <c r="E190" s="817" t="n"/>
      <c r="F190" s="447" t="n"/>
      <c r="G190" s="817" t="n"/>
      <c r="H190" s="817" t="n"/>
      <c r="I190" s="817" t="n"/>
      <c r="J190" s="817" t="n"/>
      <c r="K190" s="818">
        <f>B190&amp;"-"&amp;C190</f>
        <v/>
      </c>
      <c r="L190" s="818">
        <f>E190+G190</f>
        <v/>
      </c>
      <c r="M190" s="130">
        <f>IF(H190=0,"No Value",L190/H190)</f>
        <v/>
      </c>
      <c r="N190" s="819">
        <f>IF(I190&lt;&gt;"",I190,IF(L190-H190&lt;=0,0,IF(L190-H190&gt;=E190,E190,L190-H190)))</f>
        <v/>
      </c>
      <c r="O190" s="132">
        <f>IF(I190&lt;&gt;"",100%,IF(A190=$A$5,$B$5,IF(A190=$A$6,$B$6,IF(A190=$A$7,$B$7,IF(A190=$A$8,$B$8,IF(A190=$A$9,$B$9,0))))))</f>
        <v/>
      </c>
      <c r="P190" s="819">
        <f>N190*O190</f>
        <v/>
      </c>
      <c r="Q190" s="820">
        <f>E190</f>
        <v/>
      </c>
    </row>
    <row r="191">
      <c r="A191" s="445" t="n"/>
      <c r="B191" s="445" t="n"/>
      <c r="C191" s="445" t="n"/>
      <c r="D191" s="445" t="n"/>
      <c r="E191" s="817" t="n"/>
      <c r="F191" s="447" t="n"/>
      <c r="G191" s="817" t="n"/>
      <c r="H191" s="817" t="n"/>
      <c r="I191" s="817" t="n"/>
      <c r="J191" s="817" t="n"/>
      <c r="K191" s="818">
        <f>B191&amp;"-"&amp;C191</f>
        <v/>
      </c>
      <c r="L191" s="818">
        <f>E191+G191</f>
        <v/>
      </c>
      <c r="M191" s="130">
        <f>IF(H191=0,"No Value",L191/H191)</f>
        <v/>
      </c>
      <c r="N191" s="819">
        <f>IF(I191&lt;&gt;"",I191,IF(L191-H191&lt;=0,0,IF(L191-H191&gt;=E191,E191,L191-H191)))</f>
        <v/>
      </c>
      <c r="O191" s="132">
        <f>IF(I191&lt;&gt;"",100%,IF(A191=$A$5,$B$5,IF(A191=$A$6,$B$6,IF(A191=$A$7,$B$7,IF(A191=$A$8,$B$8,IF(A191=$A$9,$B$9,0))))))</f>
        <v/>
      </c>
      <c r="P191" s="819">
        <f>N191*O191</f>
        <v/>
      </c>
      <c r="Q191" s="820">
        <f>E191</f>
        <v/>
      </c>
    </row>
    <row r="192">
      <c r="A192" s="445" t="n"/>
      <c r="B192" s="445" t="n"/>
      <c r="C192" s="445" t="n"/>
      <c r="D192" s="445" t="n"/>
      <c r="E192" s="817" t="n"/>
      <c r="F192" s="447" t="n"/>
      <c r="G192" s="817" t="n"/>
      <c r="H192" s="817" t="n"/>
      <c r="I192" s="817" t="n"/>
      <c r="J192" s="817" t="n"/>
      <c r="K192" s="818">
        <f>B192&amp;"-"&amp;C192</f>
        <v/>
      </c>
      <c r="L192" s="818">
        <f>E192+G192</f>
        <v/>
      </c>
      <c r="M192" s="130">
        <f>IF(H192=0,"No Value",L192/H192)</f>
        <v/>
      </c>
      <c r="N192" s="819">
        <f>IF(I192&lt;&gt;"",I192,IF(L192-H192&lt;=0,0,IF(L192-H192&gt;=E192,E192,L192-H192)))</f>
        <v/>
      </c>
      <c r="O192" s="132">
        <f>IF(I192&lt;&gt;"",100%,IF(A192=$A$5,$B$5,IF(A192=$A$6,$B$6,IF(A192=$A$7,$B$7,IF(A192=$A$8,$B$8,IF(A192=$A$9,$B$9,0))))))</f>
        <v/>
      </c>
      <c r="P192" s="819">
        <f>N192*O192</f>
        <v/>
      </c>
      <c r="Q192" s="820">
        <f>E192</f>
        <v/>
      </c>
    </row>
    <row r="193">
      <c r="A193" s="445" t="n"/>
      <c r="B193" s="445" t="n"/>
      <c r="C193" s="445" t="n"/>
      <c r="D193" s="445" t="n"/>
      <c r="E193" s="817" t="n"/>
      <c r="F193" s="447" t="n"/>
      <c r="G193" s="817" t="n"/>
      <c r="H193" s="817" t="n"/>
      <c r="I193" s="817" t="n"/>
      <c r="J193" s="817" t="n"/>
      <c r="K193" s="818">
        <f>B193&amp;"-"&amp;C193</f>
        <v/>
      </c>
      <c r="L193" s="818">
        <f>E193+G193</f>
        <v/>
      </c>
      <c r="M193" s="130">
        <f>IF(H193=0,"No Value",L193/H193)</f>
        <v/>
      </c>
      <c r="N193" s="819">
        <f>IF(I193&lt;&gt;"",I193,IF(L193-H193&lt;=0,0,IF(L193-H193&gt;=E193,E193,L193-H193)))</f>
        <v/>
      </c>
      <c r="O193" s="132">
        <f>IF(I193&lt;&gt;"",100%,IF(A193=$A$5,$B$5,IF(A193=$A$6,$B$6,IF(A193=$A$7,$B$7,IF(A193=$A$8,$B$8,IF(A193=$A$9,$B$9,0))))))</f>
        <v/>
      </c>
      <c r="P193" s="819">
        <f>N193*O193</f>
        <v/>
      </c>
      <c r="Q193" s="820">
        <f>E193</f>
        <v/>
      </c>
    </row>
    <row r="194">
      <c r="A194" s="445" t="n"/>
      <c r="B194" s="445" t="n"/>
      <c r="C194" s="445" t="n"/>
      <c r="D194" s="445" t="n"/>
      <c r="E194" s="817" t="n"/>
      <c r="F194" s="447" t="n"/>
      <c r="G194" s="817" t="n"/>
      <c r="H194" s="817" t="n"/>
      <c r="I194" s="817" t="n"/>
      <c r="J194" s="817" t="n"/>
      <c r="K194" s="818">
        <f>B194&amp;"-"&amp;C194</f>
        <v/>
      </c>
      <c r="L194" s="818">
        <f>E194+G194</f>
        <v/>
      </c>
      <c r="M194" s="130">
        <f>IF(H194=0,"No Value",L194/H194)</f>
        <v/>
      </c>
      <c r="N194" s="819">
        <f>IF(I194&lt;&gt;"",I194,IF(L194-H194&lt;=0,0,IF(L194-H194&gt;=E194,E194,L194-H194)))</f>
        <v/>
      </c>
      <c r="O194" s="132">
        <f>IF(I194&lt;&gt;"",100%,IF(A194=$A$5,$B$5,IF(A194=$A$6,$B$6,IF(A194=$A$7,$B$7,IF(A194=$A$8,$B$8,IF(A194=$A$9,$B$9,0))))))</f>
        <v/>
      </c>
      <c r="P194" s="819">
        <f>N194*O194</f>
        <v/>
      </c>
      <c r="Q194" s="820">
        <f>E194</f>
        <v/>
      </c>
    </row>
    <row r="195">
      <c r="A195" s="445" t="n"/>
      <c r="B195" s="445" t="n"/>
      <c r="C195" s="445" t="n"/>
      <c r="D195" s="445" t="n"/>
      <c r="E195" s="817" t="n"/>
      <c r="F195" s="447" t="n"/>
      <c r="G195" s="817" t="n"/>
      <c r="H195" s="817" t="n"/>
      <c r="I195" s="817" t="n"/>
      <c r="J195" s="817" t="n"/>
      <c r="K195" s="818">
        <f>B195&amp;"-"&amp;C195</f>
        <v/>
      </c>
      <c r="L195" s="818">
        <f>E195+G195</f>
        <v/>
      </c>
      <c r="M195" s="130">
        <f>IF(H195=0,"No Value",L195/H195)</f>
        <v/>
      </c>
      <c r="N195" s="819">
        <f>IF(I195&lt;&gt;"",I195,IF(L195-H195&lt;=0,0,IF(L195-H195&gt;=E195,E195,L195-H195)))</f>
        <v/>
      </c>
      <c r="O195" s="132">
        <f>IF(I195&lt;&gt;"",100%,IF(A195=$A$5,$B$5,IF(A195=$A$6,$B$6,IF(A195=$A$7,$B$7,IF(A195=$A$8,$B$8,IF(A195=$A$9,$B$9,0))))))</f>
        <v/>
      </c>
      <c r="P195" s="819">
        <f>N195*O195</f>
        <v/>
      </c>
      <c r="Q195" s="820">
        <f>E195</f>
        <v/>
      </c>
    </row>
    <row r="196">
      <c r="A196" s="445" t="n"/>
      <c r="B196" s="445" t="n"/>
      <c r="C196" s="445" t="n"/>
      <c r="D196" s="445" t="n"/>
      <c r="E196" s="817" t="n"/>
      <c r="F196" s="447" t="n"/>
      <c r="G196" s="817" t="n"/>
      <c r="H196" s="817" t="n"/>
      <c r="I196" s="817" t="n"/>
      <c r="J196" s="817" t="n"/>
      <c r="K196" s="818">
        <f>B196&amp;"-"&amp;C196</f>
        <v/>
      </c>
      <c r="L196" s="818">
        <f>E196+G196</f>
        <v/>
      </c>
      <c r="M196" s="130">
        <f>IF(H196=0,"No Value",L196/H196)</f>
        <v/>
      </c>
      <c r="N196" s="819">
        <f>IF(I196&lt;&gt;"",I196,IF(L196-H196&lt;=0,0,IF(L196-H196&gt;=E196,E196,L196-H196)))</f>
        <v/>
      </c>
      <c r="O196" s="132">
        <f>IF(I196&lt;&gt;"",100%,IF(A196=$A$5,$B$5,IF(A196=$A$6,$B$6,IF(A196=$A$7,$B$7,IF(A196=$A$8,$B$8,IF(A196=$A$9,$B$9,0))))))</f>
        <v/>
      </c>
      <c r="P196" s="819">
        <f>N196*O196</f>
        <v/>
      </c>
      <c r="Q196" s="820">
        <f>E196</f>
        <v/>
      </c>
    </row>
    <row r="197">
      <c r="A197" s="445" t="n"/>
      <c r="B197" s="445" t="n"/>
      <c r="C197" s="445" t="n"/>
      <c r="D197" s="445" t="n"/>
      <c r="E197" s="817" t="n"/>
      <c r="F197" s="447" t="n"/>
      <c r="G197" s="817" t="n"/>
      <c r="H197" s="817" t="n"/>
      <c r="I197" s="817" t="n"/>
      <c r="J197" s="817" t="n"/>
      <c r="K197" s="818">
        <f>B197&amp;"-"&amp;C197</f>
        <v/>
      </c>
      <c r="L197" s="818">
        <f>E197+G197</f>
        <v/>
      </c>
      <c r="M197" s="130">
        <f>IF(H197=0,"No Value",L197/H197)</f>
        <v/>
      </c>
      <c r="N197" s="819">
        <f>IF(I197&lt;&gt;"",I197,IF(L197-H197&lt;=0,0,IF(L197-H197&gt;=E197,E197,L197-H197)))</f>
        <v/>
      </c>
      <c r="O197" s="132">
        <f>IF(I197&lt;&gt;"",100%,IF(A197=$A$5,$B$5,IF(A197=$A$6,$B$6,IF(A197=$A$7,$B$7,IF(A197=$A$8,$B$8,IF(A197=$A$9,$B$9,0))))))</f>
        <v/>
      </c>
      <c r="P197" s="819">
        <f>N197*O197</f>
        <v/>
      </c>
      <c r="Q197" s="820">
        <f>E197</f>
        <v/>
      </c>
    </row>
    <row r="198">
      <c r="A198" s="445" t="n"/>
      <c r="B198" s="445" t="n"/>
      <c r="C198" s="445" t="n"/>
      <c r="D198" s="445" t="n"/>
      <c r="E198" s="817" t="n"/>
      <c r="F198" s="447" t="n"/>
      <c r="G198" s="817" t="n"/>
      <c r="H198" s="817" t="n"/>
      <c r="I198" s="817" t="n"/>
      <c r="J198" s="817" t="n"/>
      <c r="K198" s="818">
        <f>B198&amp;"-"&amp;C198</f>
        <v/>
      </c>
      <c r="L198" s="818">
        <f>E198+G198</f>
        <v/>
      </c>
      <c r="M198" s="130">
        <f>IF(H198=0,"No Value",L198/H198)</f>
        <v/>
      </c>
      <c r="N198" s="819">
        <f>IF(I198&lt;&gt;"",I198,IF(L198-H198&lt;=0,0,IF(L198-H198&gt;=E198,E198,L198-H198)))</f>
        <v/>
      </c>
      <c r="O198" s="132">
        <f>IF(I198&lt;&gt;"",100%,IF(A198=$A$5,$B$5,IF(A198=$A$6,$B$6,IF(A198=$A$7,$B$7,IF(A198=$A$8,$B$8,IF(A198=$A$9,$B$9,0))))))</f>
        <v/>
      </c>
      <c r="P198" s="819">
        <f>N198*O198</f>
        <v/>
      </c>
      <c r="Q198" s="820">
        <f>E198</f>
        <v/>
      </c>
    </row>
    <row r="199">
      <c r="A199" s="445" t="n"/>
      <c r="B199" s="445" t="n"/>
      <c r="C199" s="445" t="n"/>
      <c r="D199" s="445" t="n"/>
      <c r="E199" s="817" t="n"/>
      <c r="F199" s="447" t="n"/>
      <c r="G199" s="817" t="n"/>
      <c r="H199" s="817" t="n"/>
      <c r="I199" s="817" t="n"/>
      <c r="J199" s="817" t="n"/>
      <c r="K199" s="818">
        <f>B199&amp;"-"&amp;C199</f>
        <v/>
      </c>
      <c r="L199" s="818">
        <f>E199+G199</f>
        <v/>
      </c>
      <c r="M199" s="130">
        <f>IF(H199=0,"No Value",L199/H199)</f>
        <v/>
      </c>
      <c r="N199" s="819">
        <f>IF(I199&lt;&gt;"",I199,IF(L199-H199&lt;=0,0,IF(L199-H199&gt;=E199,E199,L199-H199)))</f>
        <v/>
      </c>
      <c r="O199" s="132">
        <f>IF(I199&lt;&gt;"",100%,IF(A199=$A$5,$B$5,IF(A199=$A$6,$B$6,IF(A199=$A$7,$B$7,IF(A199=$A$8,$B$8,IF(A199=$A$9,$B$9,0))))))</f>
        <v/>
      </c>
      <c r="P199" s="819">
        <f>N199*O199</f>
        <v/>
      </c>
      <c r="Q199" s="820">
        <f>E199</f>
        <v/>
      </c>
    </row>
    <row r="200">
      <c r="A200" s="445" t="n"/>
      <c r="B200" s="445" t="n"/>
      <c r="C200" s="445" t="n"/>
      <c r="D200" s="445" t="n"/>
      <c r="E200" s="817" t="n"/>
      <c r="F200" s="447" t="n"/>
      <c r="G200" s="817" t="n"/>
      <c r="H200" s="817" t="n"/>
      <c r="I200" s="817" t="n"/>
      <c r="J200" s="817" t="n"/>
      <c r="K200" s="818">
        <f>B200&amp;"-"&amp;C200</f>
        <v/>
      </c>
      <c r="L200" s="818">
        <f>E200+G200</f>
        <v/>
      </c>
      <c r="M200" s="130">
        <f>IF(H200=0,"No Value",L200/H200)</f>
        <v/>
      </c>
      <c r="N200" s="819">
        <f>IF(I200&lt;&gt;"",I200,IF(L200-H200&lt;=0,0,IF(L200-H200&gt;=E200,E200,L200-H200)))</f>
        <v/>
      </c>
      <c r="O200" s="132">
        <f>IF(I200&lt;&gt;"",100%,IF(A200=$A$5,$B$5,IF(A200=$A$6,$B$6,IF(A200=$A$7,$B$7,IF(A200=$A$8,$B$8,IF(A200=$A$9,$B$9,0))))))</f>
        <v/>
      </c>
      <c r="P200" s="819">
        <f>N200*O200</f>
        <v/>
      </c>
      <c r="Q200" s="820">
        <f>E200</f>
        <v/>
      </c>
    </row>
    <row r="201">
      <c r="A201" s="445" t="n"/>
      <c r="B201" s="445" t="n"/>
      <c r="C201" s="445" t="n"/>
      <c r="D201" s="445" t="n"/>
      <c r="E201" s="817" t="n"/>
      <c r="F201" s="447" t="n"/>
      <c r="G201" s="817" t="n"/>
      <c r="H201" s="817" t="n"/>
      <c r="I201" s="817" t="n"/>
      <c r="J201" s="817" t="n"/>
      <c r="K201" s="818">
        <f>B201&amp;"-"&amp;C201</f>
        <v/>
      </c>
      <c r="L201" s="818">
        <f>E201+G201</f>
        <v/>
      </c>
      <c r="M201" s="130">
        <f>IF(H201=0,"No Value",L201/H201)</f>
        <v/>
      </c>
      <c r="N201" s="819">
        <f>IF(I201&lt;&gt;"",I201,IF(L201-H201&lt;=0,0,IF(L201-H201&gt;=E201,E201,L201-H201)))</f>
        <v/>
      </c>
      <c r="O201" s="132">
        <f>IF(I201&lt;&gt;"",100%,IF(A201=$A$5,$B$5,IF(A201=$A$6,$B$6,IF(A201=$A$7,$B$7,IF(A201=$A$8,$B$8,IF(A201=$A$9,$B$9,0))))))</f>
        <v/>
      </c>
      <c r="P201" s="819">
        <f>N201*O201</f>
        <v/>
      </c>
      <c r="Q201" s="820">
        <f>E201</f>
        <v/>
      </c>
    </row>
    <row r="202">
      <c r="A202" s="445" t="n"/>
      <c r="B202" s="445" t="n"/>
      <c r="C202" s="445" t="n"/>
      <c r="D202" s="445" t="n"/>
      <c r="E202" s="817" t="n"/>
      <c r="F202" s="447" t="n"/>
      <c r="G202" s="817" t="n"/>
      <c r="H202" s="817" t="n"/>
      <c r="I202" s="817" t="n"/>
      <c r="J202" s="817" t="n"/>
      <c r="K202" s="818">
        <f>B202&amp;"-"&amp;C202</f>
        <v/>
      </c>
      <c r="L202" s="818">
        <f>E202+G202</f>
        <v/>
      </c>
      <c r="M202" s="130">
        <f>IF(H202=0,"No Value",L202/H202)</f>
        <v/>
      </c>
      <c r="N202" s="819">
        <f>IF(I202&lt;&gt;"",I202,IF(L202-H202&lt;=0,0,IF(L202-H202&gt;=E202,E202,L202-H202)))</f>
        <v/>
      </c>
      <c r="O202" s="132">
        <f>IF(I202&lt;&gt;"",100%,IF(A202=$A$5,$B$5,IF(A202=$A$6,$B$6,IF(A202=$A$7,$B$7,IF(A202=$A$8,$B$8,IF(A202=$A$9,$B$9,0))))))</f>
        <v/>
      </c>
      <c r="P202" s="819">
        <f>N202*O202</f>
        <v/>
      </c>
      <c r="Q202" s="820">
        <f>E202</f>
        <v/>
      </c>
    </row>
    <row r="203">
      <c r="A203" s="445" t="n"/>
      <c r="B203" s="445" t="n"/>
      <c r="C203" s="445" t="n"/>
      <c r="D203" s="445" t="n"/>
      <c r="E203" s="817" t="n"/>
      <c r="F203" s="447" t="n"/>
      <c r="G203" s="817" t="n"/>
      <c r="H203" s="817" t="n"/>
      <c r="I203" s="817" t="n"/>
      <c r="J203" s="817" t="n"/>
      <c r="K203" s="818">
        <f>B203&amp;"-"&amp;C203</f>
        <v/>
      </c>
      <c r="L203" s="818">
        <f>E203+G203</f>
        <v/>
      </c>
      <c r="M203" s="130">
        <f>IF(H203=0,"No Value",L203/H203)</f>
        <v/>
      </c>
      <c r="N203" s="819">
        <f>IF(I203&lt;&gt;"",I203,IF(L203-H203&lt;=0,0,IF(L203-H203&gt;=E203,E203,L203-H203)))</f>
        <v/>
      </c>
      <c r="O203" s="132">
        <f>IF(I203&lt;&gt;"",100%,IF(A203=$A$5,$B$5,IF(A203=$A$6,$B$6,IF(A203=$A$7,$B$7,IF(A203=$A$8,$B$8,IF(A203=$A$9,$B$9,0))))))</f>
        <v/>
      </c>
      <c r="P203" s="819">
        <f>N203*O203</f>
        <v/>
      </c>
      <c r="Q203" s="820">
        <f>E203</f>
        <v/>
      </c>
    </row>
    <row r="204">
      <c r="A204" s="445" t="n"/>
      <c r="B204" s="445" t="n"/>
      <c r="C204" s="445" t="n"/>
      <c r="D204" s="445" t="n"/>
      <c r="E204" s="817" t="n"/>
      <c r="F204" s="447" t="n"/>
      <c r="G204" s="817" t="n"/>
      <c r="H204" s="817" t="n"/>
      <c r="I204" s="817" t="n"/>
      <c r="J204" s="817" t="n"/>
      <c r="K204" s="818">
        <f>B204&amp;"-"&amp;C204</f>
        <v/>
      </c>
      <c r="L204" s="818">
        <f>E204+G204</f>
        <v/>
      </c>
      <c r="M204" s="130">
        <f>IF(H204=0,"No Value",L204/H204)</f>
        <v/>
      </c>
      <c r="N204" s="819">
        <f>IF(I204&lt;&gt;"",I204,IF(L204-H204&lt;=0,0,IF(L204-H204&gt;=E204,E204,L204-H204)))</f>
        <v/>
      </c>
      <c r="O204" s="132">
        <f>IF(I204&lt;&gt;"",100%,IF(A204=$A$5,$B$5,IF(A204=$A$6,$B$6,IF(A204=$A$7,$B$7,IF(A204=$A$8,$B$8,IF(A204=$A$9,$B$9,0))))))</f>
        <v/>
      </c>
      <c r="P204" s="819">
        <f>N204*O204</f>
        <v/>
      </c>
      <c r="Q204" s="820">
        <f>E204</f>
        <v/>
      </c>
    </row>
    <row r="205">
      <c r="A205" s="445" t="n"/>
      <c r="B205" s="445" t="n"/>
      <c r="C205" s="445" t="n"/>
      <c r="D205" s="445" t="n"/>
      <c r="E205" s="817" t="n"/>
      <c r="F205" s="447" t="n"/>
      <c r="G205" s="817" t="n"/>
      <c r="H205" s="817" t="n"/>
      <c r="I205" s="817" t="n"/>
      <c r="J205" s="817" t="n"/>
      <c r="K205" s="818">
        <f>B205&amp;"-"&amp;C205</f>
        <v/>
      </c>
      <c r="L205" s="818">
        <f>E205+G205</f>
        <v/>
      </c>
      <c r="M205" s="130">
        <f>IF(H205=0,"No Value",L205/H205)</f>
        <v/>
      </c>
      <c r="N205" s="819">
        <f>IF(I205&lt;&gt;"",I205,IF(L205-H205&lt;=0,0,IF(L205-H205&gt;=E205,E205,L205-H205)))</f>
        <v/>
      </c>
      <c r="O205" s="132">
        <f>IF(I205&lt;&gt;"",100%,IF(A205=$A$5,$B$5,IF(A205=$A$6,$B$6,IF(A205=$A$7,$B$7,IF(A205=$A$8,$B$8,IF(A205=$A$9,$B$9,0))))))</f>
        <v/>
      </c>
      <c r="P205" s="819">
        <f>N205*O205</f>
        <v/>
      </c>
      <c r="Q205" s="820">
        <f>E205</f>
        <v/>
      </c>
    </row>
    <row r="206">
      <c r="A206" s="445" t="n"/>
      <c r="B206" s="445" t="n"/>
      <c r="C206" s="445" t="n"/>
      <c r="D206" s="445" t="n"/>
      <c r="E206" s="817" t="n"/>
      <c r="F206" s="447" t="n"/>
      <c r="G206" s="817" t="n"/>
      <c r="H206" s="817" t="n"/>
      <c r="I206" s="817" t="n"/>
      <c r="J206" s="817" t="n"/>
      <c r="K206" s="818">
        <f>B206&amp;"-"&amp;C206</f>
        <v/>
      </c>
      <c r="L206" s="818">
        <f>E206+G206</f>
        <v/>
      </c>
      <c r="M206" s="130">
        <f>IF(H206=0,"No Value",L206/H206)</f>
        <v/>
      </c>
      <c r="N206" s="819">
        <f>IF(I206&lt;&gt;"",I206,IF(L206-H206&lt;=0,0,IF(L206-H206&gt;=E206,E206,L206-H206)))</f>
        <v/>
      </c>
      <c r="O206" s="132">
        <f>IF(I206&lt;&gt;"",100%,IF(A206=$A$5,$B$5,IF(A206=$A$6,$B$6,IF(A206=$A$7,$B$7,IF(A206=$A$8,$B$8,IF(A206=$A$9,$B$9,0))))))</f>
        <v/>
      </c>
      <c r="P206" s="819">
        <f>N206*O206</f>
        <v/>
      </c>
      <c r="Q206" s="820">
        <f>E206</f>
        <v/>
      </c>
    </row>
    <row r="207">
      <c r="A207" s="445" t="n"/>
      <c r="B207" s="445" t="n"/>
      <c r="C207" s="445" t="n"/>
      <c r="D207" s="445" t="n"/>
      <c r="E207" s="817" t="n"/>
      <c r="F207" s="447" t="n"/>
      <c r="G207" s="817" t="n"/>
      <c r="H207" s="817" t="n"/>
      <c r="I207" s="817" t="n"/>
      <c r="J207" s="817" t="n"/>
      <c r="K207" s="818">
        <f>B207&amp;"-"&amp;C207</f>
        <v/>
      </c>
      <c r="L207" s="818">
        <f>E207+G207</f>
        <v/>
      </c>
      <c r="M207" s="130">
        <f>IF(H207=0,"No Value",L207/H207)</f>
        <v/>
      </c>
      <c r="N207" s="819">
        <f>IF(I207&lt;&gt;"",I207,IF(L207-H207&lt;=0,0,IF(L207-H207&gt;=E207,E207,L207-H207)))</f>
        <v/>
      </c>
      <c r="O207" s="132">
        <f>IF(I207&lt;&gt;"",100%,IF(A207=$A$5,$B$5,IF(A207=$A$6,$B$6,IF(A207=$A$7,$B$7,IF(A207=$A$8,$B$8,IF(A207=$A$9,$B$9,0))))))</f>
        <v/>
      </c>
      <c r="P207" s="819">
        <f>N207*O207</f>
        <v/>
      </c>
      <c r="Q207" s="820">
        <f>E207</f>
        <v/>
      </c>
    </row>
    <row r="208">
      <c r="A208" s="445" t="n"/>
      <c r="B208" s="445" t="n"/>
      <c r="C208" s="445" t="n"/>
      <c r="D208" s="445" t="n"/>
      <c r="E208" s="817" t="n"/>
      <c r="F208" s="447" t="n"/>
      <c r="G208" s="817" t="n"/>
      <c r="H208" s="817" t="n"/>
      <c r="I208" s="817" t="n"/>
      <c r="J208" s="817" t="n"/>
      <c r="K208" s="818">
        <f>B208&amp;"-"&amp;C208</f>
        <v/>
      </c>
      <c r="L208" s="818">
        <f>E208+G208</f>
        <v/>
      </c>
      <c r="M208" s="130">
        <f>IF(H208=0,"No Value",L208/H208)</f>
        <v/>
      </c>
      <c r="N208" s="819">
        <f>IF(I208&lt;&gt;"",I208,IF(L208-H208&lt;=0,0,IF(L208-H208&gt;=E208,E208,L208-H208)))</f>
        <v/>
      </c>
      <c r="O208" s="132">
        <f>IF(I208&lt;&gt;"",100%,IF(A208=$A$5,$B$5,IF(A208=$A$6,$B$6,IF(A208=$A$7,$B$7,IF(A208=$A$8,$B$8,IF(A208=$A$9,$B$9,0))))))</f>
        <v/>
      </c>
      <c r="P208" s="819">
        <f>N208*O208</f>
        <v/>
      </c>
      <c r="Q208" s="820">
        <f>E208</f>
        <v/>
      </c>
    </row>
    <row r="209">
      <c r="A209" s="445" t="n"/>
      <c r="B209" s="445" t="n"/>
      <c r="C209" s="445" t="n"/>
      <c r="D209" s="445" t="n"/>
      <c r="E209" s="817" t="n"/>
      <c r="F209" s="447" t="n"/>
      <c r="G209" s="817" t="n"/>
      <c r="H209" s="817" t="n"/>
      <c r="I209" s="817" t="n"/>
      <c r="J209" s="817" t="n"/>
      <c r="K209" s="818">
        <f>B209&amp;"-"&amp;C209</f>
        <v/>
      </c>
      <c r="L209" s="818">
        <f>E209+G209</f>
        <v/>
      </c>
      <c r="M209" s="130">
        <f>IF(H209=0,"No Value",L209/H209)</f>
        <v/>
      </c>
      <c r="N209" s="819">
        <f>IF(I209&lt;&gt;"",I209,IF(L209-H209&lt;=0,0,IF(L209-H209&gt;=E209,E209,L209-H209)))</f>
        <v/>
      </c>
      <c r="O209" s="132">
        <f>IF(I209&lt;&gt;"",100%,IF(A209=$A$5,$B$5,IF(A209=$A$6,$B$6,IF(A209=$A$7,$B$7,IF(A209=$A$8,$B$8,IF(A209=$A$9,$B$9,0))))))</f>
        <v/>
      </c>
      <c r="P209" s="819">
        <f>N209*O209</f>
        <v/>
      </c>
      <c r="Q209" s="820">
        <f>E209</f>
        <v/>
      </c>
    </row>
    <row r="210">
      <c r="A210" s="445" t="n"/>
      <c r="B210" s="445" t="n"/>
      <c r="C210" s="445" t="n"/>
      <c r="D210" s="445" t="n"/>
      <c r="E210" s="817" t="n"/>
      <c r="F210" s="447" t="n"/>
      <c r="G210" s="817" t="n"/>
      <c r="H210" s="817" t="n"/>
      <c r="I210" s="817" t="n"/>
      <c r="J210" s="817" t="n"/>
      <c r="K210" s="818">
        <f>B210&amp;"-"&amp;C210</f>
        <v/>
      </c>
      <c r="L210" s="818">
        <f>E210+G210</f>
        <v/>
      </c>
      <c r="M210" s="130">
        <f>IF(H210=0,"No Value",L210/H210)</f>
        <v/>
      </c>
      <c r="N210" s="819">
        <f>IF(I210&lt;&gt;"",I210,IF(L210-H210&lt;=0,0,IF(L210-H210&gt;=E210,E210,L210-H210)))</f>
        <v/>
      </c>
      <c r="O210" s="132">
        <f>IF(I210&lt;&gt;"",100%,IF(A210=$A$5,$B$5,IF(A210=$A$6,$B$6,IF(A210=$A$7,$B$7,IF(A210=$A$8,$B$8,IF(A210=$A$9,$B$9,0))))))</f>
        <v/>
      </c>
      <c r="P210" s="819">
        <f>N210*O210</f>
        <v/>
      </c>
      <c r="Q210" s="820">
        <f>E210</f>
        <v/>
      </c>
    </row>
    <row r="211">
      <c r="A211" s="445" t="n"/>
      <c r="B211" s="445" t="n"/>
      <c r="C211" s="445" t="n"/>
      <c r="D211" s="445" t="n"/>
      <c r="E211" s="817" t="n"/>
      <c r="F211" s="447" t="n"/>
      <c r="G211" s="817" t="n"/>
      <c r="H211" s="817" t="n"/>
      <c r="I211" s="817" t="n"/>
      <c r="J211" s="817" t="n"/>
      <c r="K211" s="818">
        <f>B211&amp;"-"&amp;C211</f>
        <v/>
      </c>
      <c r="L211" s="818">
        <f>E211+G211</f>
        <v/>
      </c>
      <c r="M211" s="130">
        <f>IF(H211=0,"No Value",L211/H211)</f>
        <v/>
      </c>
      <c r="N211" s="819">
        <f>IF(I211&lt;&gt;"",I211,IF(L211-H211&lt;=0,0,IF(L211-H211&gt;=E211,E211,L211-H211)))</f>
        <v/>
      </c>
      <c r="O211" s="132">
        <f>IF(I211&lt;&gt;"",100%,IF(A211=$A$5,$B$5,IF(A211=$A$6,$B$6,IF(A211=$A$7,$B$7,IF(A211=$A$8,$B$8,IF(A211=$A$9,$B$9,0))))))</f>
        <v/>
      </c>
      <c r="P211" s="819">
        <f>N211*O211</f>
        <v/>
      </c>
      <c r="Q211" s="820">
        <f>E211</f>
        <v/>
      </c>
    </row>
    <row r="212">
      <c r="A212" s="445" t="n"/>
      <c r="B212" s="445" t="n"/>
      <c r="C212" s="445" t="n"/>
      <c r="D212" s="445" t="n"/>
      <c r="E212" s="817" t="n"/>
      <c r="F212" s="447" t="n"/>
      <c r="G212" s="817" t="n"/>
      <c r="H212" s="817" t="n"/>
      <c r="I212" s="817" t="n"/>
      <c r="J212" s="817" t="n"/>
      <c r="K212" s="818">
        <f>B212&amp;"-"&amp;C212</f>
        <v/>
      </c>
      <c r="L212" s="818">
        <f>E212+G212</f>
        <v/>
      </c>
      <c r="M212" s="130">
        <f>IF(H212=0,"No Value",L212/H212)</f>
        <v/>
      </c>
      <c r="N212" s="819">
        <f>IF(I212&lt;&gt;"",I212,IF(L212-H212&lt;=0,0,IF(L212-H212&gt;=E212,E212,L212-H212)))</f>
        <v/>
      </c>
      <c r="O212" s="132">
        <f>IF(I212&lt;&gt;"",100%,IF(A212=$A$5,$B$5,IF(A212=$A$6,$B$6,IF(A212=$A$7,$B$7,IF(A212=$A$8,$B$8,IF(A212=$A$9,$B$9,0))))))</f>
        <v/>
      </c>
      <c r="P212" s="819">
        <f>N212*O212</f>
        <v/>
      </c>
      <c r="Q212" s="820">
        <f>E212</f>
        <v/>
      </c>
    </row>
    <row r="213">
      <c r="A213" s="445" t="n"/>
      <c r="B213" s="445" t="n"/>
      <c r="C213" s="445" t="n"/>
      <c r="D213" s="445" t="n"/>
      <c r="E213" s="817" t="n"/>
      <c r="F213" s="447" t="n"/>
      <c r="G213" s="817" t="n"/>
      <c r="H213" s="817" t="n"/>
      <c r="I213" s="817" t="n"/>
      <c r="J213" s="817" t="n"/>
      <c r="K213" s="818">
        <f>B213&amp;"-"&amp;C213</f>
        <v/>
      </c>
      <c r="L213" s="818">
        <f>E213+G213</f>
        <v/>
      </c>
      <c r="M213" s="130">
        <f>IF(H213=0,"No Value",L213/H213)</f>
        <v/>
      </c>
      <c r="N213" s="819">
        <f>IF(I213&lt;&gt;"",I213,IF(L213-H213&lt;=0,0,IF(L213-H213&gt;=E213,E213,L213-H213)))</f>
        <v/>
      </c>
      <c r="O213" s="132">
        <f>IF(I213&lt;&gt;"",100%,IF(A213=$A$5,$B$5,IF(A213=$A$6,$B$6,IF(A213=$A$7,$B$7,IF(A213=$A$8,$B$8,IF(A213=$A$9,$B$9,0))))))</f>
        <v/>
      </c>
      <c r="P213" s="819">
        <f>N213*O213</f>
        <v/>
      </c>
      <c r="Q213" s="820">
        <f>E213</f>
        <v/>
      </c>
    </row>
    <row r="214">
      <c r="A214" s="445" t="n"/>
      <c r="B214" s="445" t="n"/>
      <c r="C214" s="445" t="n"/>
      <c r="D214" s="445" t="n"/>
      <c r="E214" s="817" t="n"/>
      <c r="F214" s="447" t="n"/>
      <c r="G214" s="817" t="n"/>
      <c r="H214" s="817" t="n"/>
      <c r="I214" s="817" t="n"/>
      <c r="J214" s="817" t="n"/>
      <c r="K214" s="818">
        <f>B214&amp;"-"&amp;C214</f>
        <v/>
      </c>
      <c r="L214" s="818">
        <f>E214+G214</f>
        <v/>
      </c>
      <c r="M214" s="130">
        <f>IF(H214=0,"No Value",L214/H214)</f>
        <v/>
      </c>
      <c r="N214" s="819">
        <f>IF(I214&lt;&gt;"",I214,IF(L214-H214&lt;=0,0,IF(L214-H214&gt;=E214,E214,L214-H214)))</f>
        <v/>
      </c>
      <c r="O214" s="132">
        <f>IF(I214&lt;&gt;"",100%,IF(A214=$A$5,$B$5,IF(A214=$A$6,$B$6,IF(A214=$A$7,$B$7,IF(A214=$A$8,$B$8,IF(A214=$A$9,$B$9,0))))))</f>
        <v/>
      </c>
      <c r="P214" s="819">
        <f>N214*O214</f>
        <v/>
      </c>
      <c r="Q214" s="820">
        <f>E214</f>
        <v/>
      </c>
    </row>
    <row r="215">
      <c r="A215" s="445" t="n"/>
      <c r="B215" s="445" t="n"/>
      <c r="C215" s="445" t="n"/>
      <c r="D215" s="445" t="n"/>
      <c r="E215" s="817" t="n"/>
      <c r="F215" s="447" t="n"/>
      <c r="G215" s="817" t="n"/>
      <c r="H215" s="817" t="n"/>
      <c r="I215" s="817" t="n"/>
      <c r="J215" s="817" t="n"/>
      <c r="K215" s="818">
        <f>B215&amp;"-"&amp;C215</f>
        <v/>
      </c>
      <c r="L215" s="818">
        <f>E215+G215</f>
        <v/>
      </c>
      <c r="M215" s="130">
        <f>IF(H215=0,"No Value",L215/H215)</f>
        <v/>
      </c>
      <c r="N215" s="819">
        <f>IF(I215&lt;&gt;"",I215,IF(L215-H215&lt;=0,0,IF(L215-H215&gt;=E215,E215,L215-H215)))</f>
        <v/>
      </c>
      <c r="O215" s="132">
        <f>IF(I215&lt;&gt;"",100%,IF(A215=$A$5,$B$5,IF(A215=$A$6,$B$6,IF(A215=$A$7,$B$7,IF(A215=$A$8,$B$8,IF(A215=$A$9,$B$9,0))))))</f>
        <v/>
      </c>
      <c r="P215" s="819">
        <f>N215*O215</f>
        <v/>
      </c>
      <c r="Q215" s="820">
        <f>E215</f>
        <v/>
      </c>
    </row>
    <row r="216">
      <c r="A216" s="445" t="n"/>
      <c r="B216" s="445" t="n"/>
      <c r="C216" s="445" t="n"/>
      <c r="D216" s="445" t="n"/>
      <c r="E216" s="817" t="n"/>
      <c r="F216" s="447" t="n"/>
      <c r="G216" s="817" t="n"/>
      <c r="H216" s="817" t="n"/>
      <c r="I216" s="817" t="n"/>
      <c r="J216" s="817" t="n"/>
      <c r="K216" s="818">
        <f>B216&amp;"-"&amp;C216</f>
        <v/>
      </c>
      <c r="L216" s="818">
        <f>E216+G216</f>
        <v/>
      </c>
      <c r="M216" s="130">
        <f>IF(H216=0,"No Value",L216/H216)</f>
        <v/>
      </c>
      <c r="N216" s="819">
        <f>IF(I216&lt;&gt;"",I216,IF(L216-H216&lt;=0,0,IF(L216-H216&gt;=E216,E216,L216-H216)))</f>
        <v/>
      </c>
      <c r="O216" s="132">
        <f>IF(I216&lt;&gt;"",100%,IF(A216=$A$5,$B$5,IF(A216=$A$6,$B$6,IF(A216=$A$7,$B$7,IF(A216=$A$8,$B$8,IF(A216=$A$9,$B$9,0))))))</f>
        <v/>
      </c>
      <c r="P216" s="819">
        <f>N216*O216</f>
        <v/>
      </c>
      <c r="Q216" s="820">
        <f>E216</f>
        <v/>
      </c>
    </row>
    <row r="217">
      <c r="A217" s="445" t="n"/>
      <c r="B217" s="445" t="n"/>
      <c r="C217" s="445" t="n"/>
      <c r="D217" s="445" t="n"/>
      <c r="E217" s="817" t="n"/>
      <c r="F217" s="447" t="n"/>
      <c r="G217" s="817" t="n"/>
      <c r="H217" s="817" t="n"/>
      <c r="I217" s="817" t="n"/>
      <c r="J217" s="817" t="n"/>
      <c r="K217" s="818">
        <f>B217&amp;"-"&amp;C217</f>
        <v/>
      </c>
      <c r="L217" s="818">
        <f>E217+G217</f>
        <v/>
      </c>
      <c r="M217" s="130">
        <f>IF(H217=0,"No Value",L217/H217)</f>
        <v/>
      </c>
      <c r="N217" s="819">
        <f>IF(I217&lt;&gt;"",I217,IF(L217-H217&lt;=0,0,IF(L217-H217&gt;=E217,E217,L217-H217)))</f>
        <v/>
      </c>
      <c r="O217" s="132">
        <f>IF(I217&lt;&gt;"",100%,IF(A217=$A$5,$B$5,IF(A217=$A$6,$B$6,IF(A217=$A$7,$B$7,IF(A217=$A$8,$B$8,IF(A217=$A$9,$B$9,0))))))</f>
        <v/>
      </c>
      <c r="P217" s="819">
        <f>N217*O217</f>
        <v/>
      </c>
      <c r="Q217" s="820">
        <f>E217</f>
        <v/>
      </c>
    </row>
    <row r="218">
      <c r="A218" s="445" t="n"/>
      <c r="B218" s="445" t="n"/>
      <c r="C218" s="445" t="n"/>
      <c r="D218" s="445" t="n"/>
      <c r="E218" s="817" t="n"/>
      <c r="F218" s="447" t="n"/>
      <c r="G218" s="817" t="n"/>
      <c r="H218" s="817" t="n"/>
      <c r="I218" s="817" t="n"/>
      <c r="J218" s="817" t="n"/>
      <c r="K218" s="818">
        <f>B218&amp;"-"&amp;C218</f>
        <v/>
      </c>
      <c r="L218" s="818">
        <f>E218+G218</f>
        <v/>
      </c>
      <c r="M218" s="130">
        <f>IF(H218=0,"No Value",L218/H218)</f>
        <v/>
      </c>
      <c r="N218" s="819">
        <f>IF(I218&lt;&gt;"",I218,IF(L218-H218&lt;=0,0,IF(L218-H218&gt;=E218,E218,L218-H218)))</f>
        <v/>
      </c>
      <c r="O218" s="132">
        <f>IF(I218&lt;&gt;"",100%,IF(A218=$A$5,$B$5,IF(A218=$A$6,$B$6,IF(A218=$A$7,$B$7,IF(A218=$A$8,$B$8,IF(A218=$A$9,$B$9,0))))))</f>
        <v/>
      </c>
      <c r="P218" s="819">
        <f>N218*O218</f>
        <v/>
      </c>
      <c r="Q218" s="820">
        <f>E218</f>
        <v/>
      </c>
    </row>
    <row r="219">
      <c r="A219" s="445" t="n"/>
      <c r="B219" s="445" t="n"/>
      <c r="C219" s="445" t="n"/>
      <c r="D219" s="445" t="n"/>
      <c r="E219" s="817" t="n"/>
      <c r="F219" s="447" t="n"/>
      <c r="G219" s="817" t="n"/>
      <c r="H219" s="817" t="n"/>
      <c r="I219" s="817" t="n"/>
      <c r="J219" s="817" t="n"/>
      <c r="K219" s="818">
        <f>B219&amp;"-"&amp;C219</f>
        <v/>
      </c>
      <c r="L219" s="818">
        <f>E219+G219</f>
        <v/>
      </c>
      <c r="M219" s="130">
        <f>IF(H219=0,"No Value",L219/H219)</f>
        <v/>
      </c>
      <c r="N219" s="819">
        <f>IF(I219&lt;&gt;"",I219,IF(L219-H219&lt;=0,0,IF(L219-H219&gt;=E219,E219,L219-H219)))</f>
        <v/>
      </c>
      <c r="O219" s="132">
        <f>IF(I219&lt;&gt;"",100%,IF(A219=$A$5,$B$5,IF(A219=$A$6,$B$6,IF(A219=$A$7,$B$7,IF(A219=$A$8,$B$8,IF(A219=$A$9,$B$9,0))))))</f>
        <v/>
      </c>
      <c r="P219" s="819">
        <f>N219*O219</f>
        <v/>
      </c>
      <c r="Q219" s="820">
        <f>E219</f>
        <v/>
      </c>
    </row>
    <row r="220">
      <c r="A220" s="445" t="n"/>
      <c r="B220" s="445" t="n"/>
      <c r="C220" s="445" t="n"/>
      <c r="D220" s="445" t="n"/>
      <c r="E220" s="817" t="n"/>
      <c r="F220" s="447" t="n"/>
      <c r="G220" s="817" t="n"/>
      <c r="H220" s="817" t="n"/>
      <c r="I220" s="817" t="n"/>
      <c r="J220" s="817" t="n"/>
      <c r="K220" s="818">
        <f>B220&amp;"-"&amp;C220</f>
        <v/>
      </c>
      <c r="L220" s="818">
        <f>E220+G220</f>
        <v/>
      </c>
      <c r="M220" s="130">
        <f>IF(H220=0,"No Value",L220/H220)</f>
        <v/>
      </c>
      <c r="N220" s="819">
        <f>IF(I220&lt;&gt;"",I220,IF(L220-H220&lt;=0,0,IF(L220-H220&gt;=E220,E220,L220-H220)))</f>
        <v/>
      </c>
      <c r="O220" s="132">
        <f>IF(I220&lt;&gt;"",100%,IF(A220=$A$5,$B$5,IF(A220=$A$6,$B$6,IF(A220=$A$7,$B$7,IF(A220=$A$8,$B$8,IF(A220=$A$9,$B$9,0))))))</f>
        <v/>
      </c>
      <c r="P220" s="819">
        <f>N220*O220</f>
        <v/>
      </c>
      <c r="Q220" s="820">
        <f>E220</f>
        <v/>
      </c>
    </row>
    <row r="221">
      <c r="A221" s="445" t="n"/>
      <c r="B221" s="445" t="n"/>
      <c r="C221" s="445" t="n"/>
      <c r="D221" s="445" t="n"/>
      <c r="E221" s="817" t="n"/>
      <c r="F221" s="447" t="n"/>
      <c r="G221" s="817" t="n"/>
      <c r="H221" s="817" t="n"/>
      <c r="I221" s="817" t="n"/>
      <c r="J221" s="817" t="n"/>
      <c r="K221" s="818">
        <f>B221&amp;"-"&amp;C221</f>
        <v/>
      </c>
      <c r="L221" s="818">
        <f>E221+G221</f>
        <v/>
      </c>
      <c r="M221" s="130">
        <f>IF(H221=0,"No Value",L221/H221)</f>
        <v/>
      </c>
      <c r="N221" s="819">
        <f>IF(I221&lt;&gt;"",I221,IF(L221-H221&lt;=0,0,IF(L221-H221&gt;=E221,E221,L221-H221)))</f>
        <v/>
      </c>
      <c r="O221" s="132">
        <f>IF(I221&lt;&gt;"",100%,IF(A221=$A$5,$B$5,IF(A221=$A$6,$B$6,IF(A221=$A$7,$B$7,IF(A221=$A$8,$B$8,IF(A221=$A$9,$B$9,0))))))</f>
        <v/>
      </c>
      <c r="P221" s="819">
        <f>N221*O221</f>
        <v/>
      </c>
      <c r="Q221" s="820">
        <f>E221</f>
        <v/>
      </c>
    </row>
    <row r="222">
      <c r="A222" s="445" t="n"/>
      <c r="B222" s="445" t="n"/>
      <c r="C222" s="445" t="n"/>
      <c r="D222" s="445" t="n"/>
      <c r="E222" s="817" t="n"/>
      <c r="F222" s="447" t="n"/>
      <c r="G222" s="817" t="n"/>
      <c r="H222" s="817" t="n"/>
      <c r="I222" s="817" t="n"/>
      <c r="J222" s="817" t="n"/>
      <c r="K222" s="818">
        <f>B222&amp;"-"&amp;C222</f>
        <v/>
      </c>
      <c r="L222" s="818">
        <f>E222+G222</f>
        <v/>
      </c>
      <c r="M222" s="130">
        <f>IF(H222=0,"No Value",L222/H222)</f>
        <v/>
      </c>
      <c r="N222" s="819">
        <f>IF(I222&lt;&gt;"",I222,IF(L222-H222&lt;=0,0,IF(L222-H222&gt;=E222,E222,L222-H222)))</f>
        <v/>
      </c>
      <c r="O222" s="132">
        <f>IF(I222&lt;&gt;"",100%,IF(A222=$A$5,$B$5,IF(A222=$A$6,$B$6,IF(A222=$A$7,$B$7,IF(A222=$A$8,$B$8,IF(A222=$A$9,$B$9,0))))))</f>
        <v/>
      </c>
      <c r="P222" s="819">
        <f>N222*O222</f>
        <v/>
      </c>
      <c r="Q222" s="820">
        <f>E222</f>
        <v/>
      </c>
    </row>
    <row r="223">
      <c r="A223" s="445" t="n"/>
      <c r="B223" s="445" t="n"/>
      <c r="C223" s="445" t="n"/>
      <c r="D223" s="445" t="n"/>
      <c r="E223" s="817" t="n"/>
      <c r="F223" s="447" t="n"/>
      <c r="G223" s="817" t="n"/>
      <c r="H223" s="817" t="n"/>
      <c r="I223" s="817" t="n"/>
      <c r="J223" s="817" t="n"/>
      <c r="K223" s="818">
        <f>B223&amp;"-"&amp;C223</f>
        <v/>
      </c>
      <c r="L223" s="818">
        <f>E223+G223</f>
        <v/>
      </c>
      <c r="M223" s="130">
        <f>IF(H223=0,"No Value",L223/H223)</f>
        <v/>
      </c>
      <c r="N223" s="819">
        <f>IF(I223&lt;&gt;"",I223,IF(L223-H223&lt;=0,0,IF(L223-H223&gt;=E223,E223,L223-H223)))</f>
        <v/>
      </c>
      <c r="O223" s="132">
        <f>IF(I223&lt;&gt;"",100%,IF(A223=$A$5,$B$5,IF(A223=$A$6,$B$6,IF(A223=$A$7,$B$7,IF(A223=$A$8,$B$8,IF(A223=$A$9,$B$9,0))))))</f>
        <v/>
      </c>
      <c r="P223" s="819">
        <f>N223*O223</f>
        <v/>
      </c>
      <c r="Q223" s="820">
        <f>E223</f>
        <v/>
      </c>
    </row>
    <row r="224">
      <c r="A224" s="445" t="n"/>
      <c r="B224" s="445" t="n"/>
      <c r="C224" s="445" t="n"/>
      <c r="D224" s="445" t="n"/>
      <c r="E224" s="817" t="n"/>
      <c r="F224" s="447" t="n"/>
      <c r="G224" s="817" t="n"/>
      <c r="H224" s="817" t="n"/>
      <c r="I224" s="817" t="n"/>
      <c r="J224" s="817" t="n"/>
      <c r="K224" s="818">
        <f>B224&amp;"-"&amp;C224</f>
        <v/>
      </c>
      <c r="L224" s="818">
        <f>E224+G224</f>
        <v/>
      </c>
      <c r="M224" s="130">
        <f>IF(H224=0,"No Value",L224/H224)</f>
        <v/>
      </c>
      <c r="N224" s="819">
        <f>IF(I224&lt;&gt;"",I224,IF(L224-H224&lt;=0,0,IF(L224-H224&gt;=E224,E224,L224-H224)))</f>
        <v/>
      </c>
      <c r="O224" s="132">
        <f>IF(I224&lt;&gt;"",100%,IF(A224=$A$5,$B$5,IF(A224=$A$6,$B$6,IF(A224=$A$7,$B$7,IF(A224=$A$8,$B$8,IF(A224=$A$9,$B$9,0))))))</f>
        <v/>
      </c>
      <c r="P224" s="819">
        <f>N224*O224</f>
        <v/>
      </c>
      <c r="Q224" s="820">
        <f>E224</f>
        <v/>
      </c>
    </row>
    <row r="225">
      <c r="A225" s="445" t="n"/>
      <c r="B225" s="445" t="n"/>
      <c r="C225" s="445" t="n"/>
      <c r="D225" s="445" t="n"/>
      <c r="E225" s="817" t="n"/>
      <c r="F225" s="447" t="n"/>
      <c r="G225" s="817" t="n"/>
      <c r="H225" s="817" t="n"/>
      <c r="I225" s="817" t="n"/>
      <c r="J225" s="817" t="n"/>
      <c r="K225" s="818">
        <f>B225&amp;"-"&amp;C225</f>
        <v/>
      </c>
      <c r="L225" s="818">
        <f>E225+G225</f>
        <v/>
      </c>
      <c r="M225" s="130">
        <f>IF(H225=0,"No Value",L225/H225)</f>
        <v/>
      </c>
      <c r="N225" s="819">
        <f>IF(I225&lt;&gt;"",I225,IF(L225-H225&lt;=0,0,IF(L225-H225&gt;=E225,E225,L225-H225)))</f>
        <v/>
      </c>
      <c r="O225" s="132">
        <f>IF(I225&lt;&gt;"",100%,IF(A225=$A$5,$B$5,IF(A225=$A$6,$B$6,IF(A225=$A$7,$B$7,IF(A225=$A$8,$B$8,IF(A225=$A$9,$B$9,0))))))</f>
        <v/>
      </c>
      <c r="P225" s="819">
        <f>N225*O225</f>
        <v/>
      </c>
      <c r="Q225" s="820">
        <f>E225</f>
        <v/>
      </c>
    </row>
    <row r="226">
      <c r="A226" s="445" t="n"/>
      <c r="B226" s="445" t="n"/>
      <c r="C226" s="445" t="n"/>
      <c r="D226" s="445" t="n"/>
      <c r="E226" s="817" t="n"/>
      <c r="F226" s="447" t="n"/>
      <c r="G226" s="817" t="n"/>
      <c r="H226" s="817" t="n"/>
      <c r="I226" s="817" t="n"/>
      <c r="J226" s="817" t="n"/>
      <c r="K226" s="818">
        <f>B226&amp;"-"&amp;C226</f>
        <v/>
      </c>
      <c r="L226" s="818">
        <f>E226+G226</f>
        <v/>
      </c>
      <c r="M226" s="130">
        <f>IF(H226=0,"No Value",L226/H226)</f>
        <v/>
      </c>
      <c r="N226" s="819">
        <f>IF(I226&lt;&gt;"",I226,IF(L226-H226&lt;=0,0,IF(L226-H226&gt;=E226,E226,L226-H226)))</f>
        <v/>
      </c>
      <c r="O226" s="132">
        <f>IF(I226&lt;&gt;"",100%,IF(A226=$A$5,$B$5,IF(A226=$A$6,$B$6,IF(A226=$A$7,$B$7,IF(A226=$A$8,$B$8,IF(A226=$A$9,$B$9,0))))))</f>
        <v/>
      </c>
      <c r="P226" s="819">
        <f>N226*O226</f>
        <v/>
      </c>
      <c r="Q226" s="820">
        <f>E226</f>
        <v/>
      </c>
    </row>
    <row r="227">
      <c r="A227" s="445" t="n"/>
      <c r="B227" s="445" t="n"/>
      <c r="C227" s="445" t="n"/>
      <c r="D227" s="445" t="n"/>
      <c r="E227" s="817" t="n"/>
      <c r="F227" s="447" t="n"/>
      <c r="G227" s="817" t="n"/>
      <c r="H227" s="817" t="n"/>
      <c r="I227" s="817" t="n"/>
      <c r="J227" s="817" t="n"/>
      <c r="K227" s="818">
        <f>B227&amp;"-"&amp;C227</f>
        <v/>
      </c>
      <c r="L227" s="818">
        <f>E227+G227</f>
        <v/>
      </c>
      <c r="M227" s="130">
        <f>IF(H227=0,"No Value",L227/H227)</f>
        <v/>
      </c>
      <c r="N227" s="819">
        <f>IF(I227&lt;&gt;"",I227,IF(L227-H227&lt;=0,0,IF(L227-H227&gt;=E227,E227,L227-H227)))</f>
        <v/>
      </c>
      <c r="O227" s="132">
        <f>IF(I227&lt;&gt;"",100%,IF(A227=$A$5,$B$5,IF(A227=$A$6,$B$6,IF(A227=$A$7,$B$7,IF(A227=$A$8,$B$8,IF(A227=$A$9,$B$9,0))))))</f>
        <v/>
      </c>
      <c r="P227" s="819">
        <f>N227*O227</f>
        <v/>
      </c>
      <c r="Q227" s="820">
        <f>E227</f>
        <v/>
      </c>
    </row>
    <row r="228">
      <c r="A228" s="445" t="n"/>
      <c r="B228" s="445" t="n"/>
      <c r="C228" s="445" t="n"/>
      <c r="D228" s="445" t="n"/>
      <c r="E228" s="817" t="n"/>
      <c r="F228" s="447" t="n"/>
      <c r="G228" s="817" t="n"/>
      <c r="H228" s="817" t="n"/>
      <c r="I228" s="817" t="n"/>
      <c r="J228" s="817" t="n"/>
      <c r="K228" s="818">
        <f>B228&amp;"-"&amp;C228</f>
        <v/>
      </c>
      <c r="L228" s="818">
        <f>E228+G228</f>
        <v/>
      </c>
      <c r="M228" s="130">
        <f>IF(H228=0,"No Value",L228/H228)</f>
        <v/>
      </c>
      <c r="N228" s="819">
        <f>IF(I228&lt;&gt;"",I228,IF(L228-H228&lt;=0,0,IF(L228-H228&gt;=E228,E228,L228-H228)))</f>
        <v/>
      </c>
      <c r="O228" s="132">
        <f>IF(I228&lt;&gt;"",100%,IF(A228=$A$5,$B$5,IF(A228=$A$6,$B$6,IF(A228=$A$7,$B$7,IF(A228=$A$8,$B$8,IF(A228=$A$9,$B$9,0))))))</f>
        <v/>
      </c>
      <c r="P228" s="819">
        <f>N228*O228</f>
        <v/>
      </c>
      <c r="Q228" s="820">
        <f>E228</f>
        <v/>
      </c>
    </row>
    <row r="229">
      <c r="A229" s="445" t="n"/>
      <c r="B229" s="445" t="n"/>
      <c r="C229" s="445" t="n"/>
      <c r="D229" s="445" t="n"/>
      <c r="E229" s="817" t="n"/>
      <c r="F229" s="447" t="n"/>
      <c r="G229" s="817" t="n"/>
      <c r="H229" s="817" t="n"/>
      <c r="I229" s="817" t="n"/>
      <c r="J229" s="817" t="n"/>
      <c r="K229" s="818">
        <f>B229&amp;"-"&amp;C229</f>
        <v/>
      </c>
      <c r="L229" s="818">
        <f>E229+G229</f>
        <v/>
      </c>
      <c r="M229" s="130">
        <f>IF(H229=0,"No Value",L229/H229)</f>
        <v/>
      </c>
      <c r="N229" s="819">
        <f>IF(I229&lt;&gt;"",I229,IF(L229-H229&lt;=0,0,IF(L229-H229&gt;=E229,E229,L229-H229)))</f>
        <v/>
      </c>
      <c r="O229" s="132">
        <f>IF(I229&lt;&gt;"",100%,IF(A229=$A$5,$B$5,IF(A229=$A$6,$B$6,IF(A229=$A$7,$B$7,IF(A229=$A$8,$B$8,IF(A229=$A$9,$B$9,0))))))</f>
        <v/>
      </c>
      <c r="P229" s="819">
        <f>N229*O229</f>
        <v/>
      </c>
      <c r="Q229" s="820">
        <f>E229</f>
        <v/>
      </c>
    </row>
    <row r="230">
      <c r="A230" s="445" t="n"/>
      <c r="B230" s="445" t="n"/>
      <c r="C230" s="445" t="n"/>
      <c r="D230" s="445" t="n"/>
      <c r="E230" s="817" t="n"/>
      <c r="F230" s="447" t="n"/>
      <c r="G230" s="817" t="n"/>
      <c r="H230" s="817" t="n"/>
      <c r="I230" s="817" t="n"/>
      <c r="J230" s="817" t="n"/>
      <c r="K230" s="818">
        <f>B230&amp;"-"&amp;C230</f>
        <v/>
      </c>
      <c r="L230" s="818">
        <f>E230+G230</f>
        <v/>
      </c>
      <c r="M230" s="130">
        <f>IF(H230=0,"No Value",L230/H230)</f>
        <v/>
      </c>
      <c r="N230" s="819">
        <f>IF(I230&lt;&gt;"",I230,IF(L230-H230&lt;=0,0,IF(L230-H230&gt;=E230,E230,L230-H230)))</f>
        <v/>
      </c>
      <c r="O230" s="132">
        <f>IF(I230&lt;&gt;"",100%,IF(A230=$A$5,$B$5,IF(A230=$A$6,$B$6,IF(A230=$A$7,$B$7,IF(A230=$A$8,$B$8,IF(A230=$A$9,$B$9,0))))))</f>
        <v/>
      </c>
      <c r="P230" s="819">
        <f>N230*O230</f>
        <v/>
      </c>
      <c r="Q230" s="820">
        <f>E230</f>
        <v/>
      </c>
    </row>
    <row r="231">
      <c r="A231" s="445" t="n"/>
      <c r="B231" s="445" t="n"/>
      <c r="C231" s="445" t="n"/>
      <c r="D231" s="445" t="n"/>
      <c r="E231" s="817" t="n"/>
      <c r="F231" s="447" t="n"/>
      <c r="G231" s="817" t="n"/>
      <c r="H231" s="817" t="n"/>
      <c r="I231" s="817" t="n"/>
      <c r="J231" s="817" t="n"/>
      <c r="K231" s="818">
        <f>B231&amp;"-"&amp;C231</f>
        <v/>
      </c>
      <c r="L231" s="818">
        <f>E231+G231</f>
        <v/>
      </c>
      <c r="M231" s="130">
        <f>IF(H231=0,"No Value",L231/H231)</f>
        <v/>
      </c>
      <c r="N231" s="819">
        <f>IF(I231&lt;&gt;"",I231,IF(L231-H231&lt;=0,0,IF(L231-H231&gt;=E231,E231,L231-H231)))</f>
        <v/>
      </c>
      <c r="O231" s="132">
        <f>IF(I231&lt;&gt;"",100%,IF(A231=$A$5,$B$5,IF(A231=$A$6,$B$6,IF(A231=$A$7,$B$7,IF(A231=$A$8,$B$8,IF(A231=$A$9,$B$9,0))))))</f>
        <v/>
      </c>
      <c r="P231" s="819">
        <f>N231*O231</f>
        <v/>
      </c>
      <c r="Q231" s="820">
        <f>E231</f>
        <v/>
      </c>
    </row>
    <row r="232">
      <c r="A232" s="445" t="n"/>
      <c r="B232" s="445" t="n"/>
      <c r="C232" s="445" t="n"/>
      <c r="D232" s="445" t="n"/>
      <c r="E232" s="817" t="n"/>
      <c r="F232" s="447" t="n"/>
      <c r="G232" s="817" t="n"/>
      <c r="H232" s="817" t="n"/>
      <c r="I232" s="817" t="n"/>
      <c r="J232" s="817" t="n"/>
      <c r="K232" s="818">
        <f>B232&amp;"-"&amp;C232</f>
        <v/>
      </c>
      <c r="L232" s="818">
        <f>E232+G232</f>
        <v/>
      </c>
      <c r="M232" s="130">
        <f>IF(H232=0,"No Value",L232/H232)</f>
        <v/>
      </c>
      <c r="N232" s="819">
        <f>IF(I232&lt;&gt;"",I232,IF(L232-H232&lt;=0,0,IF(L232-H232&gt;=E232,E232,L232-H232)))</f>
        <v/>
      </c>
      <c r="O232" s="132">
        <f>IF(I232&lt;&gt;"",100%,IF(A232=$A$5,$B$5,IF(A232=$A$6,$B$6,IF(A232=$A$7,$B$7,IF(A232=$A$8,$B$8,IF(A232=$A$9,$B$9,0))))))</f>
        <v/>
      </c>
      <c r="P232" s="819">
        <f>N232*O232</f>
        <v/>
      </c>
      <c r="Q232" s="820">
        <f>E232</f>
        <v/>
      </c>
    </row>
    <row r="233">
      <c r="A233" s="445" t="n"/>
      <c r="B233" s="445" t="n"/>
      <c r="C233" s="445" t="n"/>
      <c r="D233" s="445" t="n"/>
      <c r="E233" s="817" t="n"/>
      <c r="F233" s="447" t="n"/>
      <c r="G233" s="817" t="n"/>
      <c r="H233" s="817" t="n"/>
      <c r="I233" s="817" t="n"/>
      <c r="J233" s="817" t="n"/>
      <c r="K233" s="818">
        <f>B233&amp;"-"&amp;C233</f>
        <v/>
      </c>
      <c r="L233" s="818">
        <f>E233+G233</f>
        <v/>
      </c>
      <c r="M233" s="130">
        <f>IF(H233=0,"No Value",L233/H233)</f>
        <v/>
      </c>
      <c r="N233" s="819">
        <f>IF(I233&lt;&gt;"",I233,IF(L233-H233&lt;=0,0,IF(L233-H233&gt;=E233,E233,L233-H233)))</f>
        <v/>
      </c>
      <c r="O233" s="132">
        <f>IF(I233&lt;&gt;"",100%,IF(A233=$A$5,$B$5,IF(A233=$A$6,$B$6,IF(A233=$A$7,$B$7,IF(A233=$A$8,$B$8,IF(A233=$A$9,$B$9,0))))))</f>
        <v/>
      </c>
      <c r="P233" s="819">
        <f>N233*O233</f>
        <v/>
      </c>
      <c r="Q233" s="820">
        <f>E233</f>
        <v/>
      </c>
    </row>
    <row r="234">
      <c r="A234" s="445" t="n"/>
      <c r="B234" s="445" t="n"/>
      <c r="C234" s="445" t="n"/>
      <c r="D234" s="445" t="n"/>
      <c r="E234" s="817" t="n"/>
      <c r="F234" s="447" t="n"/>
      <c r="G234" s="817" t="n"/>
      <c r="H234" s="817" t="n"/>
      <c r="I234" s="817" t="n"/>
      <c r="J234" s="817" t="n"/>
      <c r="K234" s="818">
        <f>B234&amp;"-"&amp;C234</f>
        <v/>
      </c>
      <c r="L234" s="818">
        <f>E234+G234</f>
        <v/>
      </c>
      <c r="M234" s="130">
        <f>IF(H234=0,"No Value",L234/H234)</f>
        <v/>
      </c>
      <c r="N234" s="819">
        <f>IF(I234&lt;&gt;"",I234,IF(L234-H234&lt;=0,0,IF(L234-H234&gt;=E234,E234,L234-H234)))</f>
        <v/>
      </c>
      <c r="O234" s="132">
        <f>IF(I234&lt;&gt;"",100%,IF(A234=$A$5,$B$5,IF(A234=$A$6,$B$6,IF(A234=$A$7,$B$7,IF(A234=$A$8,$B$8,IF(A234=$A$9,$B$9,0))))))</f>
        <v/>
      </c>
      <c r="P234" s="819">
        <f>N234*O234</f>
        <v/>
      </c>
      <c r="Q234" s="820">
        <f>E234</f>
        <v/>
      </c>
    </row>
    <row r="235">
      <c r="A235" s="445" t="n"/>
      <c r="B235" s="445" t="n"/>
      <c r="C235" s="445" t="n"/>
      <c r="D235" s="445" t="n"/>
      <c r="E235" s="817" t="n"/>
      <c r="F235" s="447" t="n"/>
      <c r="G235" s="817" t="n"/>
      <c r="H235" s="817" t="n"/>
      <c r="I235" s="817" t="n"/>
      <c r="J235" s="817" t="n"/>
      <c r="K235" s="818">
        <f>B235&amp;"-"&amp;C235</f>
        <v/>
      </c>
      <c r="L235" s="818">
        <f>E235+G235</f>
        <v/>
      </c>
      <c r="M235" s="130">
        <f>IF(H235=0,"No Value",L235/H235)</f>
        <v/>
      </c>
      <c r="N235" s="819">
        <f>IF(I235&lt;&gt;"",I235,IF(L235-H235&lt;=0,0,IF(L235-H235&gt;=E235,E235,L235-H235)))</f>
        <v/>
      </c>
      <c r="O235" s="132">
        <f>IF(I235&lt;&gt;"",100%,IF(A235=$A$5,$B$5,IF(A235=$A$6,$B$6,IF(A235=$A$7,$B$7,IF(A235=$A$8,$B$8,IF(A235=$A$9,$B$9,0))))))</f>
        <v/>
      </c>
      <c r="P235" s="819">
        <f>N235*O235</f>
        <v/>
      </c>
      <c r="Q235" s="820">
        <f>E235</f>
        <v/>
      </c>
    </row>
    <row r="236">
      <c r="A236" s="445" t="n"/>
      <c r="B236" s="445" t="n"/>
      <c r="C236" s="445" t="n"/>
      <c r="D236" s="445" t="n"/>
      <c r="E236" s="817" t="n"/>
      <c r="F236" s="447" t="n"/>
      <c r="G236" s="817" t="n"/>
      <c r="H236" s="817" t="n"/>
      <c r="I236" s="817" t="n"/>
      <c r="J236" s="817" t="n"/>
      <c r="K236" s="818">
        <f>B236&amp;"-"&amp;C236</f>
        <v/>
      </c>
      <c r="L236" s="818">
        <f>E236+G236</f>
        <v/>
      </c>
      <c r="M236" s="130">
        <f>IF(H236=0,"No Value",L236/H236)</f>
        <v/>
      </c>
      <c r="N236" s="819">
        <f>IF(I236&lt;&gt;"",I236,IF(L236-H236&lt;=0,0,IF(L236-H236&gt;=E236,E236,L236-H236)))</f>
        <v/>
      </c>
      <c r="O236" s="132">
        <f>IF(I236&lt;&gt;"",100%,IF(A236=$A$5,$B$5,IF(A236=$A$6,$B$6,IF(A236=$A$7,$B$7,IF(A236=$A$8,$B$8,IF(A236=$A$9,$B$9,0))))))</f>
        <v/>
      </c>
      <c r="P236" s="819">
        <f>N236*O236</f>
        <v/>
      </c>
      <c r="Q236" s="820">
        <f>E236</f>
        <v/>
      </c>
    </row>
    <row r="237">
      <c r="A237" s="445" t="n"/>
      <c r="B237" s="445" t="n"/>
      <c r="C237" s="445" t="n"/>
      <c r="D237" s="445" t="n"/>
      <c r="E237" s="817" t="n"/>
      <c r="F237" s="447" t="n"/>
      <c r="G237" s="817" t="n"/>
      <c r="H237" s="817" t="n"/>
      <c r="I237" s="817" t="n"/>
      <c r="J237" s="817" t="n"/>
      <c r="K237" s="818">
        <f>B237&amp;"-"&amp;C237</f>
        <v/>
      </c>
      <c r="L237" s="818">
        <f>E237+G237</f>
        <v/>
      </c>
      <c r="M237" s="130">
        <f>IF(H237=0,"No Value",L237/H237)</f>
        <v/>
      </c>
      <c r="N237" s="819">
        <f>IF(I237&lt;&gt;"",I237,IF(L237-H237&lt;=0,0,IF(L237-H237&gt;=E237,E237,L237-H237)))</f>
        <v/>
      </c>
      <c r="O237" s="132">
        <f>IF(I237&lt;&gt;"",100%,IF(A237=$A$5,$B$5,IF(A237=$A$6,$B$6,IF(A237=$A$7,$B$7,IF(A237=$A$8,$B$8,IF(A237=$A$9,$B$9,0))))))</f>
        <v/>
      </c>
      <c r="P237" s="819">
        <f>N237*O237</f>
        <v/>
      </c>
      <c r="Q237" s="820">
        <f>E237</f>
        <v/>
      </c>
    </row>
    <row r="238">
      <c r="A238" s="445" t="n"/>
      <c r="B238" s="445" t="n"/>
      <c r="C238" s="445" t="n"/>
      <c r="D238" s="445" t="n"/>
      <c r="E238" s="817" t="n"/>
      <c r="F238" s="447" t="n"/>
      <c r="G238" s="817" t="n"/>
      <c r="H238" s="817" t="n"/>
      <c r="I238" s="817" t="n"/>
      <c r="J238" s="817" t="n"/>
      <c r="K238" s="818">
        <f>B238&amp;"-"&amp;C238</f>
        <v/>
      </c>
      <c r="L238" s="818">
        <f>E238+G238</f>
        <v/>
      </c>
      <c r="M238" s="130">
        <f>IF(H238=0,"No Value",L238/H238)</f>
        <v/>
      </c>
      <c r="N238" s="819">
        <f>IF(I238&lt;&gt;"",I238,IF(L238-H238&lt;=0,0,IF(L238-H238&gt;=E238,E238,L238-H238)))</f>
        <v/>
      </c>
      <c r="O238" s="132">
        <f>IF(I238&lt;&gt;"",100%,IF(A238=$A$5,$B$5,IF(A238=$A$6,$B$6,IF(A238=$A$7,$B$7,IF(A238=$A$8,$B$8,IF(A238=$A$9,$B$9,0))))))</f>
        <v/>
      </c>
      <c r="P238" s="819">
        <f>N238*O238</f>
        <v/>
      </c>
      <c r="Q238" s="820">
        <f>E238</f>
        <v/>
      </c>
    </row>
    <row r="239">
      <c r="A239" s="445" t="n"/>
      <c r="B239" s="445" t="n"/>
      <c r="C239" s="445" t="n"/>
      <c r="D239" s="445" t="n"/>
      <c r="E239" s="817" t="n"/>
      <c r="F239" s="447" t="n"/>
      <c r="G239" s="817" t="n"/>
      <c r="H239" s="817" t="n"/>
      <c r="I239" s="817" t="n"/>
      <c r="J239" s="817" t="n"/>
      <c r="K239" s="818">
        <f>B239&amp;"-"&amp;C239</f>
        <v/>
      </c>
      <c r="L239" s="818">
        <f>E239+G239</f>
        <v/>
      </c>
      <c r="M239" s="130">
        <f>IF(H239=0,"No Value",L239/H239)</f>
        <v/>
      </c>
      <c r="N239" s="819">
        <f>IF(I239&lt;&gt;"",I239,IF(L239-H239&lt;=0,0,IF(L239-H239&gt;=E239,E239,L239-H239)))</f>
        <v/>
      </c>
      <c r="O239" s="132">
        <f>IF(I239&lt;&gt;"",100%,IF(A239=$A$5,$B$5,IF(A239=$A$6,$B$6,IF(A239=$A$7,$B$7,IF(A239=$A$8,$B$8,IF(A239=$A$9,$B$9,0))))))</f>
        <v/>
      </c>
      <c r="P239" s="819">
        <f>N239*O239</f>
        <v/>
      </c>
      <c r="Q239" s="820">
        <f>E239</f>
        <v/>
      </c>
    </row>
    <row r="240">
      <c r="A240" s="445" t="n"/>
      <c r="B240" s="445" t="n"/>
      <c r="C240" s="445" t="n"/>
      <c r="D240" s="445" t="n"/>
      <c r="E240" s="817" t="n"/>
      <c r="F240" s="447" t="n"/>
      <c r="G240" s="817" t="n"/>
      <c r="H240" s="817" t="n"/>
      <c r="I240" s="817" t="n"/>
      <c r="J240" s="817" t="n"/>
      <c r="K240" s="818">
        <f>B240&amp;"-"&amp;C240</f>
        <v/>
      </c>
      <c r="L240" s="818">
        <f>E240+G240</f>
        <v/>
      </c>
      <c r="M240" s="130">
        <f>IF(H240=0,"No Value",L240/H240)</f>
        <v/>
      </c>
      <c r="N240" s="819">
        <f>IF(I240&lt;&gt;"",I240,IF(L240-H240&lt;=0,0,IF(L240-H240&gt;=E240,E240,L240-H240)))</f>
        <v/>
      </c>
      <c r="O240" s="132">
        <f>IF(I240&lt;&gt;"",100%,IF(A240=$A$5,$B$5,IF(A240=$A$6,$B$6,IF(A240=$A$7,$B$7,IF(A240=$A$8,$B$8,IF(A240=$A$9,$B$9,0))))))</f>
        <v/>
      </c>
      <c r="P240" s="819">
        <f>N240*O240</f>
        <v/>
      </c>
      <c r="Q240" s="820">
        <f>E240</f>
        <v/>
      </c>
    </row>
    <row r="241">
      <c r="A241" s="445" t="n"/>
      <c r="B241" s="445" t="n"/>
      <c r="C241" s="445" t="n"/>
      <c r="D241" s="445" t="n"/>
      <c r="E241" s="817" t="n"/>
      <c r="F241" s="447" t="n"/>
      <c r="G241" s="817" t="n"/>
      <c r="H241" s="817" t="n"/>
      <c r="I241" s="817" t="n"/>
      <c r="J241" s="817" t="n"/>
      <c r="K241" s="818">
        <f>B241&amp;"-"&amp;C241</f>
        <v/>
      </c>
      <c r="L241" s="818">
        <f>E241+G241</f>
        <v/>
      </c>
      <c r="M241" s="130">
        <f>IF(H241=0,"No Value",L241/H241)</f>
        <v/>
      </c>
      <c r="N241" s="819">
        <f>IF(I241&lt;&gt;"",I241,IF(L241-H241&lt;=0,0,IF(L241-H241&gt;=E241,E241,L241-H241)))</f>
        <v/>
      </c>
      <c r="O241" s="132">
        <f>IF(I241&lt;&gt;"",100%,IF(A241=$A$5,$B$5,IF(A241=$A$6,$B$6,IF(A241=$A$7,$B$7,IF(A241=$A$8,$B$8,IF(A241=$A$9,$B$9,0))))))</f>
        <v/>
      </c>
      <c r="P241" s="819">
        <f>N241*O241</f>
        <v/>
      </c>
      <c r="Q241" s="820">
        <f>E241</f>
        <v/>
      </c>
    </row>
    <row r="242">
      <c r="A242" s="445" t="n"/>
      <c r="B242" s="445" t="n"/>
      <c r="C242" s="445" t="n"/>
      <c r="D242" s="445" t="n"/>
      <c r="E242" s="817" t="n"/>
      <c r="F242" s="447" t="n"/>
      <c r="G242" s="817" t="n"/>
      <c r="H242" s="817" t="n"/>
      <c r="I242" s="817" t="n"/>
      <c r="J242" s="817" t="n"/>
      <c r="K242" s="818">
        <f>B242&amp;"-"&amp;C242</f>
        <v/>
      </c>
      <c r="L242" s="818">
        <f>E242+G242</f>
        <v/>
      </c>
      <c r="M242" s="130">
        <f>IF(H242=0,"No Value",L242/H242)</f>
        <v/>
      </c>
      <c r="N242" s="819">
        <f>IF(I242&lt;&gt;"",I242,IF(L242-H242&lt;=0,0,IF(L242-H242&gt;=E242,E242,L242-H242)))</f>
        <v/>
      </c>
      <c r="O242" s="132">
        <f>IF(I242&lt;&gt;"",100%,IF(A242=$A$5,$B$5,IF(A242=$A$6,$B$6,IF(A242=$A$7,$B$7,IF(A242=$A$8,$B$8,IF(A242=$A$9,$B$9,0))))))</f>
        <v/>
      </c>
      <c r="P242" s="819">
        <f>N242*O242</f>
        <v/>
      </c>
      <c r="Q242" s="820">
        <f>E242</f>
        <v/>
      </c>
    </row>
    <row r="243">
      <c r="A243" s="445" t="n"/>
      <c r="B243" s="445" t="n"/>
      <c r="C243" s="445" t="n"/>
      <c r="D243" s="445" t="n"/>
      <c r="E243" s="817" t="n"/>
      <c r="F243" s="447" t="n"/>
      <c r="G243" s="817" t="n"/>
      <c r="H243" s="817" t="n"/>
      <c r="I243" s="817" t="n"/>
      <c r="J243" s="817" t="n"/>
      <c r="K243" s="818">
        <f>B243&amp;"-"&amp;C243</f>
        <v/>
      </c>
      <c r="L243" s="818">
        <f>E243+G243</f>
        <v/>
      </c>
      <c r="M243" s="130">
        <f>IF(H243=0,"No Value",L243/H243)</f>
        <v/>
      </c>
      <c r="N243" s="819">
        <f>IF(I243&lt;&gt;"",I243,IF(L243-H243&lt;=0,0,IF(L243-H243&gt;=E243,E243,L243-H243)))</f>
        <v/>
      </c>
      <c r="O243" s="132">
        <f>IF(I243&lt;&gt;"",100%,IF(A243=$A$5,$B$5,IF(A243=$A$6,$B$6,IF(A243=$A$7,$B$7,IF(A243=$A$8,$B$8,IF(A243=$A$9,$B$9,0))))))</f>
        <v/>
      </c>
      <c r="P243" s="819">
        <f>N243*O243</f>
        <v/>
      </c>
      <c r="Q243" s="820">
        <f>E243</f>
        <v/>
      </c>
    </row>
    <row r="244">
      <c r="A244" s="445" t="n"/>
      <c r="B244" s="445" t="n"/>
      <c r="C244" s="445" t="n"/>
      <c r="D244" s="445" t="n"/>
      <c r="E244" s="817" t="n"/>
      <c r="F244" s="447" t="n"/>
      <c r="G244" s="817" t="n"/>
      <c r="H244" s="817" t="n"/>
      <c r="I244" s="817" t="n"/>
      <c r="J244" s="817" t="n"/>
      <c r="K244" s="818">
        <f>B244&amp;"-"&amp;C244</f>
        <v/>
      </c>
      <c r="L244" s="818">
        <f>E244+G244</f>
        <v/>
      </c>
      <c r="M244" s="130">
        <f>IF(H244=0,"No Value",L244/H244)</f>
        <v/>
      </c>
      <c r="N244" s="819">
        <f>IF(I244&lt;&gt;"",I244,IF(L244-H244&lt;=0,0,IF(L244-H244&gt;=E244,E244,L244-H244)))</f>
        <v/>
      </c>
      <c r="O244" s="132">
        <f>IF(I244&lt;&gt;"",100%,IF(A244=$A$5,$B$5,IF(A244=$A$6,$B$6,IF(A244=$A$7,$B$7,IF(A244=$A$8,$B$8,IF(A244=$A$9,$B$9,0))))))</f>
        <v/>
      </c>
      <c r="P244" s="819">
        <f>N244*O244</f>
        <v/>
      </c>
      <c r="Q244" s="820">
        <f>E244</f>
        <v/>
      </c>
    </row>
    <row r="245">
      <c r="A245" s="445" t="n"/>
      <c r="B245" s="445" t="n"/>
      <c r="C245" s="445" t="n"/>
      <c r="D245" s="445" t="n"/>
      <c r="E245" s="817" t="n"/>
      <c r="F245" s="447" t="n"/>
      <c r="G245" s="817" t="n"/>
      <c r="H245" s="817" t="n"/>
      <c r="I245" s="817" t="n"/>
      <c r="J245" s="817" t="n"/>
      <c r="K245" s="818">
        <f>B245&amp;"-"&amp;C245</f>
        <v/>
      </c>
      <c r="L245" s="818">
        <f>E245+G245</f>
        <v/>
      </c>
      <c r="M245" s="130">
        <f>IF(H245=0,"No Value",L245/H245)</f>
        <v/>
      </c>
      <c r="N245" s="819">
        <f>IF(I245&lt;&gt;"",I245,IF(L245-H245&lt;=0,0,IF(L245-H245&gt;=E245,E245,L245-H245)))</f>
        <v/>
      </c>
      <c r="O245" s="132">
        <f>IF(I245&lt;&gt;"",100%,IF(A245=$A$5,$B$5,IF(A245=$A$6,$B$6,IF(A245=$A$7,$B$7,IF(A245=$A$8,$B$8,IF(A245=$A$9,$B$9,0))))))</f>
        <v/>
      </c>
      <c r="P245" s="819">
        <f>N245*O245</f>
        <v/>
      </c>
      <c r="Q245" s="820">
        <f>E245</f>
        <v/>
      </c>
    </row>
    <row r="246">
      <c r="A246" s="445" t="n"/>
      <c r="B246" s="445" t="n"/>
      <c r="C246" s="445" t="n"/>
      <c r="D246" s="445" t="n"/>
      <c r="E246" s="817" t="n"/>
      <c r="F246" s="447" t="n"/>
      <c r="G246" s="817" t="n"/>
      <c r="H246" s="817" t="n"/>
      <c r="I246" s="817" t="n"/>
      <c r="J246" s="817" t="n"/>
      <c r="K246" s="818">
        <f>B246&amp;"-"&amp;C246</f>
        <v/>
      </c>
      <c r="L246" s="818">
        <f>E246+G246</f>
        <v/>
      </c>
      <c r="M246" s="130">
        <f>IF(H246=0,"No Value",L246/H246)</f>
        <v/>
      </c>
      <c r="N246" s="819">
        <f>IF(I246&lt;&gt;"",I246,IF(L246-H246&lt;=0,0,IF(L246-H246&gt;=E246,E246,L246-H246)))</f>
        <v/>
      </c>
      <c r="O246" s="132">
        <f>IF(I246&lt;&gt;"",100%,IF(A246=$A$5,$B$5,IF(A246=$A$6,$B$6,IF(A246=$A$7,$B$7,IF(A246=$A$8,$B$8,IF(A246=$A$9,$B$9,0))))))</f>
        <v/>
      </c>
      <c r="P246" s="819">
        <f>N246*O246</f>
        <v/>
      </c>
      <c r="Q246" s="820">
        <f>E246</f>
        <v/>
      </c>
    </row>
    <row r="247">
      <c r="A247" s="445" t="n"/>
      <c r="B247" s="445" t="n"/>
      <c r="C247" s="445" t="n"/>
      <c r="D247" s="445" t="n"/>
      <c r="E247" s="817" t="n"/>
      <c r="F247" s="447" t="n"/>
      <c r="G247" s="817" t="n"/>
      <c r="H247" s="817" t="n"/>
      <c r="I247" s="817" t="n"/>
      <c r="J247" s="817" t="n"/>
      <c r="K247" s="818">
        <f>B247&amp;"-"&amp;C247</f>
        <v/>
      </c>
      <c r="L247" s="818">
        <f>E247+G247</f>
        <v/>
      </c>
      <c r="M247" s="130">
        <f>IF(H247=0,"No Value",L247/H247)</f>
        <v/>
      </c>
      <c r="N247" s="819">
        <f>IF(I247&lt;&gt;"",I247,IF(L247-H247&lt;=0,0,IF(L247-H247&gt;=E247,E247,L247-H247)))</f>
        <v/>
      </c>
      <c r="O247" s="132">
        <f>IF(I247&lt;&gt;"",100%,IF(A247=$A$5,$B$5,IF(A247=$A$6,$B$6,IF(A247=$A$7,$B$7,IF(A247=$A$8,$B$8,IF(A247=$A$9,$B$9,0))))))</f>
        <v/>
      </c>
      <c r="P247" s="819">
        <f>N247*O247</f>
        <v/>
      </c>
      <c r="Q247" s="820">
        <f>E247</f>
        <v/>
      </c>
    </row>
    <row r="248">
      <c r="A248" s="445" t="n"/>
      <c r="B248" s="445" t="n"/>
      <c r="C248" s="445" t="n"/>
      <c r="D248" s="445" t="n"/>
      <c r="E248" s="817" t="n"/>
      <c r="F248" s="447" t="n"/>
      <c r="G248" s="817" t="n"/>
      <c r="H248" s="817" t="n"/>
      <c r="I248" s="817" t="n"/>
      <c r="J248" s="817" t="n"/>
      <c r="K248" s="818">
        <f>B248&amp;"-"&amp;C248</f>
        <v/>
      </c>
      <c r="L248" s="818">
        <f>E248+G248</f>
        <v/>
      </c>
      <c r="M248" s="130">
        <f>IF(H248=0,"No Value",L248/H248)</f>
        <v/>
      </c>
      <c r="N248" s="819">
        <f>IF(I248&lt;&gt;"",I248,IF(L248-H248&lt;=0,0,IF(L248-H248&gt;=E248,E248,L248-H248)))</f>
        <v/>
      </c>
      <c r="O248" s="132">
        <f>IF(I248&lt;&gt;"",100%,IF(A248=$A$5,$B$5,IF(A248=$A$6,$B$6,IF(A248=$A$7,$B$7,IF(A248=$A$8,$B$8,IF(A248=$A$9,$B$9,0))))))</f>
        <v/>
      </c>
      <c r="P248" s="819">
        <f>N248*O248</f>
        <v/>
      </c>
      <c r="Q248" s="820">
        <f>E248</f>
        <v/>
      </c>
    </row>
    <row r="249">
      <c r="A249" s="445" t="n"/>
      <c r="B249" s="445" t="n"/>
      <c r="C249" s="445" t="n"/>
      <c r="D249" s="445" t="n"/>
      <c r="E249" s="817" t="n"/>
      <c r="F249" s="447" t="n"/>
      <c r="G249" s="817" t="n"/>
      <c r="H249" s="817" t="n"/>
      <c r="I249" s="817" t="n"/>
      <c r="J249" s="817" t="n"/>
      <c r="K249" s="818">
        <f>B249&amp;"-"&amp;C249</f>
        <v/>
      </c>
      <c r="L249" s="818">
        <f>E249+G249</f>
        <v/>
      </c>
      <c r="M249" s="130">
        <f>IF(H249=0,"No Value",L249/H249)</f>
        <v/>
      </c>
      <c r="N249" s="819">
        <f>IF(I249&lt;&gt;"",I249,IF(L249-H249&lt;=0,0,IF(L249-H249&gt;=E249,E249,L249-H249)))</f>
        <v/>
      </c>
      <c r="O249" s="132">
        <f>IF(I249&lt;&gt;"",100%,IF(A249=$A$5,$B$5,IF(A249=$A$6,$B$6,IF(A249=$A$7,$B$7,IF(A249=$A$8,$B$8,IF(A249=$A$9,$B$9,0))))))</f>
        <v/>
      </c>
      <c r="P249" s="819">
        <f>N249*O249</f>
        <v/>
      </c>
      <c r="Q249" s="820">
        <f>E249</f>
        <v/>
      </c>
    </row>
    <row r="250">
      <c r="A250" s="445" t="n"/>
      <c r="B250" s="445" t="n"/>
      <c r="C250" s="445" t="n"/>
      <c r="D250" s="445" t="n"/>
      <c r="E250" s="817" t="n"/>
      <c r="F250" s="447" t="n"/>
      <c r="G250" s="817" t="n"/>
      <c r="H250" s="817" t="n"/>
      <c r="I250" s="817" t="n"/>
      <c r="J250" s="817" t="n"/>
      <c r="K250" s="818">
        <f>B250&amp;"-"&amp;C250</f>
        <v/>
      </c>
      <c r="L250" s="818">
        <f>E250+G250</f>
        <v/>
      </c>
      <c r="M250" s="130">
        <f>IF(H250=0,"No Value",L250/H250)</f>
        <v/>
      </c>
      <c r="N250" s="819">
        <f>IF(I250&lt;&gt;"",I250,IF(L250-H250&lt;=0,0,IF(L250-H250&gt;=E250,E250,L250-H250)))</f>
        <v/>
      </c>
      <c r="O250" s="132">
        <f>IF(I250&lt;&gt;"",100%,IF(A250=$A$5,$B$5,IF(A250=$A$6,$B$6,IF(A250=$A$7,$B$7,IF(A250=$A$8,$B$8,IF(A250=$A$9,$B$9,0))))))</f>
        <v/>
      </c>
      <c r="P250" s="819">
        <f>N250*O250</f>
        <v/>
      </c>
      <c r="Q250" s="820">
        <f>E250</f>
        <v/>
      </c>
    </row>
    <row r="251">
      <c r="A251" s="445" t="n"/>
      <c r="B251" s="445" t="n"/>
      <c r="C251" s="445" t="n"/>
      <c r="D251" s="445" t="n"/>
      <c r="E251" s="817" t="n"/>
      <c r="F251" s="447" t="n"/>
      <c r="G251" s="817" t="n"/>
      <c r="H251" s="817" t="n"/>
      <c r="I251" s="817" t="n"/>
      <c r="J251" s="817" t="n"/>
      <c r="K251" s="818">
        <f>B251&amp;"-"&amp;C251</f>
        <v/>
      </c>
      <c r="L251" s="818">
        <f>E251+G251</f>
        <v/>
      </c>
      <c r="M251" s="130">
        <f>IF(H251=0,"No Value",L251/H251)</f>
        <v/>
      </c>
      <c r="N251" s="819">
        <f>IF(I251&lt;&gt;"",I251,IF(L251-H251&lt;=0,0,IF(L251-H251&gt;=E251,E251,L251-H251)))</f>
        <v/>
      </c>
      <c r="O251" s="132">
        <f>IF(I251&lt;&gt;"",100%,IF(A251=$A$5,$B$5,IF(A251=$A$6,$B$6,IF(A251=$A$7,$B$7,IF(A251=$A$8,$B$8,IF(A251=$A$9,$B$9,0))))))</f>
        <v/>
      </c>
      <c r="P251" s="819">
        <f>N251*O251</f>
        <v/>
      </c>
      <c r="Q251" s="820">
        <f>E251</f>
        <v/>
      </c>
    </row>
    <row r="252">
      <c r="A252" s="445" t="n"/>
      <c r="B252" s="445" t="n"/>
      <c r="C252" s="445" t="n"/>
      <c r="D252" s="445" t="n"/>
      <c r="E252" s="817" t="n"/>
      <c r="F252" s="447" t="n"/>
      <c r="G252" s="817" t="n"/>
      <c r="H252" s="817" t="n"/>
      <c r="I252" s="817" t="n"/>
      <c r="J252" s="817" t="n"/>
      <c r="K252" s="818">
        <f>B252&amp;"-"&amp;C252</f>
        <v/>
      </c>
      <c r="L252" s="818">
        <f>E252+G252</f>
        <v/>
      </c>
      <c r="M252" s="130">
        <f>IF(H252=0,"No Value",L252/H252)</f>
        <v/>
      </c>
      <c r="N252" s="819">
        <f>IF(I252&lt;&gt;"",I252,IF(L252-H252&lt;=0,0,IF(L252-H252&gt;=E252,E252,L252-H252)))</f>
        <v/>
      </c>
      <c r="O252" s="132">
        <f>IF(I252&lt;&gt;"",100%,IF(A252=$A$5,$B$5,IF(A252=$A$6,$B$6,IF(A252=$A$7,$B$7,IF(A252=$A$8,$B$8,IF(A252=$A$9,$B$9,0))))))</f>
        <v/>
      </c>
      <c r="P252" s="819">
        <f>N252*O252</f>
        <v/>
      </c>
      <c r="Q252" s="820">
        <f>E252</f>
        <v/>
      </c>
    </row>
    <row r="253">
      <c r="A253" s="445" t="n"/>
      <c r="B253" s="445" t="n"/>
      <c r="C253" s="445" t="n"/>
      <c r="D253" s="445" t="n"/>
      <c r="E253" s="817" t="n"/>
      <c r="F253" s="447" t="n"/>
      <c r="G253" s="817" t="n"/>
      <c r="H253" s="817" t="n"/>
      <c r="I253" s="817" t="n"/>
      <c r="J253" s="817" t="n"/>
      <c r="K253" s="818">
        <f>B253&amp;"-"&amp;C253</f>
        <v/>
      </c>
      <c r="L253" s="818">
        <f>E253+G253</f>
        <v/>
      </c>
      <c r="M253" s="130">
        <f>IF(H253=0,"No Value",L253/H253)</f>
        <v/>
      </c>
      <c r="N253" s="819">
        <f>IF(I253&lt;&gt;"",I253,IF(L253-H253&lt;=0,0,IF(L253-H253&gt;=E253,E253,L253-H253)))</f>
        <v/>
      </c>
      <c r="O253" s="132">
        <f>IF(I253&lt;&gt;"",100%,IF(A253=$A$5,$B$5,IF(A253=$A$6,$B$6,IF(A253=$A$7,$B$7,IF(A253=$A$8,$B$8,IF(A253=$A$9,$B$9,0))))))</f>
        <v/>
      </c>
      <c r="P253" s="819">
        <f>N253*O253</f>
        <v/>
      </c>
      <c r="Q253" s="820">
        <f>E253</f>
        <v/>
      </c>
    </row>
    <row r="254">
      <c r="A254" s="445" t="n"/>
      <c r="B254" s="445" t="n"/>
      <c r="C254" s="445" t="n"/>
      <c r="D254" s="445" t="n"/>
      <c r="E254" s="817" t="n"/>
      <c r="F254" s="447" t="n"/>
      <c r="G254" s="817" t="n"/>
      <c r="H254" s="817" t="n"/>
      <c r="I254" s="817" t="n"/>
      <c r="J254" s="817" t="n"/>
      <c r="K254" s="818">
        <f>B254&amp;"-"&amp;C254</f>
        <v/>
      </c>
      <c r="L254" s="818">
        <f>E254+G254</f>
        <v/>
      </c>
      <c r="M254" s="130">
        <f>IF(H254=0,"No Value",L254/H254)</f>
        <v/>
      </c>
      <c r="N254" s="819">
        <f>IF(I254&lt;&gt;"",I254,IF(L254-H254&lt;=0,0,IF(L254-H254&gt;=E254,E254,L254-H254)))</f>
        <v/>
      </c>
      <c r="O254" s="132">
        <f>IF(I254&lt;&gt;"",100%,IF(A254=$A$5,$B$5,IF(A254=$A$6,$B$6,IF(A254=$A$7,$B$7,IF(A254=$A$8,$B$8,IF(A254=$A$9,$B$9,0))))))</f>
        <v/>
      </c>
      <c r="P254" s="819">
        <f>N254*O254</f>
        <v/>
      </c>
      <c r="Q254" s="820">
        <f>E254</f>
        <v/>
      </c>
    </row>
    <row r="255">
      <c r="A255" s="445" t="n"/>
      <c r="B255" s="445" t="n"/>
      <c r="C255" s="445" t="n"/>
      <c r="D255" s="445" t="n"/>
      <c r="E255" s="817" t="n"/>
      <c r="F255" s="447" t="n"/>
      <c r="G255" s="817" t="n"/>
      <c r="H255" s="817" t="n"/>
      <c r="I255" s="817" t="n"/>
      <c r="J255" s="817" t="n"/>
      <c r="K255" s="818">
        <f>B255&amp;"-"&amp;C255</f>
        <v/>
      </c>
      <c r="L255" s="818">
        <f>E255+G255</f>
        <v/>
      </c>
      <c r="M255" s="130">
        <f>IF(H255=0,"No Value",L255/H255)</f>
        <v/>
      </c>
      <c r="N255" s="819">
        <f>IF(I255&lt;&gt;"",I255,IF(L255-H255&lt;=0,0,IF(L255-H255&gt;=E255,E255,L255-H255)))</f>
        <v/>
      </c>
      <c r="O255" s="132">
        <f>IF(I255&lt;&gt;"",100%,IF(A255=$A$5,$B$5,IF(A255=$A$6,$B$6,IF(A255=$A$7,$B$7,IF(A255=$A$8,$B$8,IF(A255=$A$9,$B$9,0))))))</f>
        <v/>
      </c>
      <c r="P255" s="819">
        <f>N255*O255</f>
        <v/>
      </c>
      <c r="Q255" s="820">
        <f>E255</f>
        <v/>
      </c>
    </row>
    <row r="256">
      <c r="A256" s="445" t="n"/>
      <c r="B256" s="445" t="n"/>
      <c r="C256" s="445" t="n"/>
      <c r="D256" s="445" t="n"/>
      <c r="E256" s="817" t="n"/>
      <c r="F256" s="447" t="n"/>
      <c r="G256" s="817" t="n"/>
      <c r="H256" s="817" t="n"/>
      <c r="I256" s="817" t="n"/>
      <c r="J256" s="817" t="n"/>
      <c r="K256" s="818">
        <f>B256&amp;"-"&amp;C256</f>
        <v/>
      </c>
      <c r="L256" s="818">
        <f>E256+G256</f>
        <v/>
      </c>
      <c r="M256" s="130">
        <f>IF(H256=0,"No Value",L256/H256)</f>
        <v/>
      </c>
      <c r="N256" s="819">
        <f>IF(I256&lt;&gt;"",I256,IF(L256-H256&lt;=0,0,IF(L256-H256&gt;=E256,E256,L256-H256)))</f>
        <v/>
      </c>
      <c r="O256" s="132">
        <f>IF(I256&lt;&gt;"",100%,IF(A256=$A$5,$B$5,IF(A256=$A$6,$B$6,IF(A256=$A$7,$B$7,IF(A256=$A$8,$B$8,IF(A256=$A$9,$B$9,0))))))</f>
        <v/>
      </c>
      <c r="P256" s="819">
        <f>N256*O256</f>
        <v/>
      </c>
      <c r="Q256" s="820">
        <f>E256</f>
        <v/>
      </c>
    </row>
    <row r="257">
      <c r="A257" s="445" t="n"/>
      <c r="B257" s="445" t="n"/>
      <c r="C257" s="445" t="n"/>
      <c r="D257" s="445" t="n"/>
      <c r="E257" s="817" t="n"/>
      <c r="F257" s="447" t="n"/>
      <c r="G257" s="817" t="n"/>
      <c r="H257" s="817" t="n"/>
      <c r="I257" s="817" t="n"/>
      <c r="J257" s="817" t="n"/>
      <c r="K257" s="818">
        <f>B257&amp;"-"&amp;C257</f>
        <v/>
      </c>
      <c r="L257" s="818">
        <f>E257+G257</f>
        <v/>
      </c>
      <c r="M257" s="130">
        <f>IF(H257=0,"No Value",L257/H257)</f>
        <v/>
      </c>
      <c r="N257" s="819">
        <f>IF(I257&lt;&gt;"",I257,IF(L257-H257&lt;=0,0,IF(L257-H257&gt;=E257,E257,L257-H257)))</f>
        <v/>
      </c>
      <c r="O257" s="132">
        <f>IF(I257&lt;&gt;"",100%,IF(A257=$A$5,$B$5,IF(A257=$A$6,$B$6,IF(A257=$A$7,$B$7,IF(A257=$A$8,$B$8,IF(A257=$A$9,$B$9,0))))))</f>
        <v/>
      </c>
      <c r="P257" s="819">
        <f>N257*O257</f>
        <v/>
      </c>
      <c r="Q257" s="820">
        <f>E257</f>
        <v/>
      </c>
    </row>
    <row r="258">
      <c r="A258" s="445" t="n"/>
      <c r="B258" s="445" t="n"/>
      <c r="C258" s="445" t="n"/>
      <c r="D258" s="445" t="n"/>
      <c r="E258" s="817" t="n"/>
      <c r="F258" s="447" t="n"/>
      <c r="G258" s="817" t="n"/>
      <c r="H258" s="817" t="n"/>
      <c r="I258" s="817" t="n"/>
      <c r="J258" s="817" t="n"/>
      <c r="K258" s="818">
        <f>B258&amp;"-"&amp;C258</f>
        <v/>
      </c>
      <c r="L258" s="818">
        <f>E258+G258</f>
        <v/>
      </c>
      <c r="M258" s="130">
        <f>IF(H258=0,"No Value",L258/H258)</f>
        <v/>
      </c>
      <c r="N258" s="819">
        <f>IF(I258&lt;&gt;"",I258,IF(L258-H258&lt;=0,0,IF(L258-H258&gt;=E258,E258,L258-H258)))</f>
        <v/>
      </c>
      <c r="O258" s="132">
        <f>IF(I258&lt;&gt;"",100%,IF(A258=$A$5,$B$5,IF(A258=$A$6,$B$6,IF(A258=$A$7,$B$7,IF(A258=$A$8,$B$8,IF(A258=$A$9,$B$9,0))))))</f>
        <v/>
      </c>
      <c r="P258" s="819">
        <f>N258*O258</f>
        <v/>
      </c>
      <c r="Q258" s="820">
        <f>E258</f>
        <v/>
      </c>
    </row>
    <row r="259">
      <c r="A259" s="445" t="n"/>
      <c r="B259" s="445" t="n"/>
      <c r="C259" s="445" t="n"/>
      <c r="D259" s="445" t="n"/>
      <c r="E259" s="817" t="n"/>
      <c r="F259" s="447" t="n"/>
      <c r="G259" s="817" t="n"/>
      <c r="H259" s="817" t="n"/>
      <c r="I259" s="817" t="n"/>
      <c r="J259" s="817" t="n"/>
      <c r="K259" s="818">
        <f>B259&amp;"-"&amp;C259</f>
        <v/>
      </c>
      <c r="L259" s="818">
        <f>E259+G259</f>
        <v/>
      </c>
      <c r="M259" s="130">
        <f>IF(H259=0,"No Value",L259/H259)</f>
        <v/>
      </c>
      <c r="N259" s="819">
        <f>IF(I259&lt;&gt;"",I259,IF(L259-H259&lt;=0,0,IF(L259-H259&gt;=E259,E259,L259-H259)))</f>
        <v/>
      </c>
      <c r="O259" s="132">
        <f>IF(I259&lt;&gt;"",100%,IF(A259=$A$5,$B$5,IF(A259=$A$6,$B$6,IF(A259=$A$7,$B$7,IF(A259=$A$8,$B$8,IF(A259=$A$9,$B$9,0))))))</f>
        <v/>
      </c>
      <c r="P259" s="819">
        <f>N259*O259</f>
        <v/>
      </c>
      <c r="Q259" s="820">
        <f>E259</f>
        <v/>
      </c>
    </row>
    <row r="260">
      <c r="A260" s="445" t="n"/>
      <c r="B260" s="445" t="n"/>
      <c r="C260" s="445" t="n"/>
      <c r="D260" s="445" t="n"/>
      <c r="E260" s="817" t="n"/>
      <c r="F260" s="447" t="n"/>
      <c r="G260" s="817" t="n"/>
      <c r="H260" s="817" t="n"/>
      <c r="I260" s="817" t="n"/>
      <c r="J260" s="817" t="n"/>
      <c r="K260" s="818">
        <f>B260&amp;"-"&amp;C260</f>
        <v/>
      </c>
      <c r="L260" s="818">
        <f>E260+G260</f>
        <v/>
      </c>
      <c r="M260" s="130">
        <f>IF(H260=0,"No Value",L260/H260)</f>
        <v/>
      </c>
      <c r="N260" s="819">
        <f>IF(I260&lt;&gt;"",I260,IF(L260-H260&lt;=0,0,IF(L260-H260&gt;=E260,E260,L260-H260)))</f>
        <v/>
      </c>
      <c r="O260" s="132">
        <f>IF(I260&lt;&gt;"",100%,IF(A260=$A$5,$B$5,IF(A260=$A$6,$B$6,IF(A260=$A$7,$B$7,IF(A260=$A$8,$B$8,IF(A260=$A$9,$B$9,0))))))</f>
        <v/>
      </c>
      <c r="P260" s="819">
        <f>N260*O260</f>
        <v/>
      </c>
      <c r="Q260" s="820">
        <f>E260</f>
        <v/>
      </c>
    </row>
    <row r="261">
      <c r="A261" s="445" t="n"/>
      <c r="B261" s="445" t="n"/>
      <c r="C261" s="445" t="n"/>
      <c r="D261" s="445" t="n"/>
      <c r="E261" s="817" t="n"/>
      <c r="F261" s="447" t="n"/>
      <c r="G261" s="817" t="n"/>
      <c r="H261" s="817" t="n"/>
      <c r="I261" s="817" t="n"/>
      <c r="J261" s="817" t="n"/>
      <c r="K261" s="818">
        <f>B261&amp;"-"&amp;C261</f>
        <v/>
      </c>
      <c r="L261" s="818">
        <f>E261+G261</f>
        <v/>
      </c>
      <c r="M261" s="130">
        <f>IF(H261=0,"No Value",L261/H261)</f>
        <v/>
      </c>
      <c r="N261" s="819">
        <f>IF(I261&lt;&gt;"",I261,IF(L261-H261&lt;=0,0,IF(L261-H261&gt;=E261,E261,L261-H261)))</f>
        <v/>
      </c>
      <c r="O261" s="132">
        <f>IF(I261&lt;&gt;"",100%,IF(A261=$A$5,$B$5,IF(A261=$A$6,$B$6,IF(A261=$A$7,$B$7,IF(A261=$A$8,$B$8,IF(A261=$A$9,$B$9,0))))))</f>
        <v/>
      </c>
      <c r="P261" s="819">
        <f>N261*O261</f>
        <v/>
      </c>
      <c r="Q261" s="820">
        <f>E261</f>
        <v/>
      </c>
    </row>
    <row r="262">
      <c r="A262" s="445" t="n"/>
      <c r="B262" s="445" t="n"/>
      <c r="C262" s="445" t="n"/>
      <c r="D262" s="445" t="n"/>
      <c r="E262" s="817" t="n"/>
      <c r="F262" s="447" t="n"/>
      <c r="G262" s="817" t="n"/>
      <c r="H262" s="817" t="n"/>
      <c r="I262" s="817" t="n"/>
      <c r="J262" s="817" t="n"/>
      <c r="K262" s="818">
        <f>B262&amp;"-"&amp;C262</f>
        <v/>
      </c>
      <c r="L262" s="818">
        <f>E262+G262</f>
        <v/>
      </c>
      <c r="M262" s="130">
        <f>IF(H262=0,"No Value",L262/H262)</f>
        <v/>
      </c>
      <c r="N262" s="819">
        <f>IF(I262&lt;&gt;"",I262,IF(L262-H262&lt;=0,0,IF(L262-H262&gt;=E262,E262,L262-H262)))</f>
        <v/>
      </c>
      <c r="O262" s="132">
        <f>IF(I262&lt;&gt;"",100%,IF(A262=$A$5,$B$5,IF(A262=$A$6,$B$6,IF(A262=$A$7,$B$7,IF(A262=$A$8,$B$8,IF(A262=$A$9,$B$9,0))))))</f>
        <v/>
      </c>
      <c r="P262" s="819">
        <f>N262*O262</f>
        <v/>
      </c>
      <c r="Q262" s="820">
        <f>E262</f>
        <v/>
      </c>
    </row>
    <row r="263">
      <c r="A263" s="445" t="n"/>
      <c r="B263" s="445" t="n"/>
      <c r="C263" s="445" t="n"/>
      <c r="D263" s="445" t="n"/>
      <c r="E263" s="817" t="n"/>
      <c r="F263" s="447" t="n"/>
      <c r="G263" s="817" t="n"/>
      <c r="H263" s="817" t="n"/>
      <c r="I263" s="817" t="n"/>
      <c r="J263" s="817" t="n"/>
      <c r="K263" s="818">
        <f>B263&amp;"-"&amp;C263</f>
        <v/>
      </c>
      <c r="L263" s="818">
        <f>E263+G263</f>
        <v/>
      </c>
      <c r="M263" s="130">
        <f>IF(H263=0,"No Value",L263/H263)</f>
        <v/>
      </c>
      <c r="N263" s="819">
        <f>IF(I263&lt;&gt;"",I263,IF(L263-H263&lt;=0,0,IF(L263-H263&gt;=E263,E263,L263-H263)))</f>
        <v/>
      </c>
      <c r="O263" s="132">
        <f>IF(I263&lt;&gt;"",100%,IF(A263=$A$5,$B$5,IF(A263=$A$6,$B$6,IF(A263=$A$7,$B$7,IF(A263=$A$8,$B$8,IF(A263=$A$9,$B$9,0))))))</f>
        <v/>
      </c>
      <c r="P263" s="819">
        <f>N263*O263</f>
        <v/>
      </c>
      <c r="Q263" s="820">
        <f>E263</f>
        <v/>
      </c>
    </row>
    <row r="264">
      <c r="A264" s="445" t="n"/>
      <c r="B264" s="445" t="n"/>
      <c r="C264" s="445" t="n"/>
      <c r="D264" s="445" t="n"/>
      <c r="E264" s="817" t="n"/>
      <c r="F264" s="447" t="n"/>
      <c r="G264" s="817" t="n"/>
      <c r="H264" s="817" t="n"/>
      <c r="I264" s="817" t="n"/>
      <c r="J264" s="817" t="n"/>
      <c r="K264" s="818">
        <f>B264&amp;"-"&amp;C264</f>
        <v/>
      </c>
      <c r="L264" s="818">
        <f>E264+G264</f>
        <v/>
      </c>
      <c r="M264" s="130">
        <f>IF(H264=0,"No Value",L264/H264)</f>
        <v/>
      </c>
      <c r="N264" s="819">
        <f>IF(I264&lt;&gt;"",I264,IF(L264-H264&lt;=0,0,IF(L264-H264&gt;=E264,E264,L264-H264)))</f>
        <v/>
      </c>
      <c r="O264" s="132">
        <f>IF(I264&lt;&gt;"",100%,IF(A264=$A$5,$B$5,IF(A264=$A$6,$B$6,IF(A264=$A$7,$B$7,IF(A264=$A$8,$B$8,IF(A264=$A$9,$B$9,0))))))</f>
        <v/>
      </c>
      <c r="P264" s="819">
        <f>N264*O264</f>
        <v/>
      </c>
      <c r="Q264" s="820">
        <f>E264</f>
        <v/>
      </c>
    </row>
    <row r="265">
      <c r="A265" s="445" t="n"/>
      <c r="B265" s="445" t="n"/>
      <c r="C265" s="445" t="n"/>
      <c r="D265" s="445" t="n"/>
      <c r="E265" s="817" t="n"/>
      <c r="F265" s="447" t="n"/>
      <c r="G265" s="817" t="n"/>
      <c r="H265" s="817" t="n"/>
      <c r="I265" s="817" t="n"/>
      <c r="J265" s="817" t="n"/>
      <c r="K265" s="818">
        <f>B265&amp;"-"&amp;C265</f>
        <v/>
      </c>
      <c r="L265" s="818">
        <f>E265+G265</f>
        <v/>
      </c>
      <c r="M265" s="130">
        <f>IF(H265=0,"No Value",L265/H265)</f>
        <v/>
      </c>
      <c r="N265" s="819">
        <f>IF(I265&lt;&gt;"",I265,IF(L265-H265&lt;=0,0,IF(L265-H265&gt;=E265,E265,L265-H265)))</f>
        <v/>
      </c>
      <c r="O265" s="132">
        <f>IF(I265&lt;&gt;"",100%,IF(A265=$A$5,$B$5,IF(A265=$A$6,$B$6,IF(A265=$A$7,$B$7,IF(A265=$A$8,$B$8,IF(A265=$A$9,$B$9,0))))))</f>
        <v/>
      </c>
      <c r="P265" s="819">
        <f>N265*O265</f>
        <v/>
      </c>
      <c r="Q265" s="820">
        <f>E265</f>
        <v/>
      </c>
    </row>
    <row r="266">
      <c r="A266" s="445" t="n"/>
      <c r="B266" s="445" t="n"/>
      <c r="C266" s="445" t="n"/>
      <c r="D266" s="445" t="n"/>
      <c r="E266" s="817" t="n"/>
      <c r="F266" s="447" t="n"/>
      <c r="G266" s="817" t="n"/>
      <c r="H266" s="817" t="n"/>
      <c r="I266" s="817" t="n"/>
      <c r="J266" s="817" t="n"/>
      <c r="K266" s="818">
        <f>B266&amp;"-"&amp;C266</f>
        <v/>
      </c>
      <c r="L266" s="818">
        <f>E266+G266</f>
        <v/>
      </c>
      <c r="M266" s="130">
        <f>IF(H266=0,"No Value",L266/H266)</f>
        <v/>
      </c>
      <c r="N266" s="819">
        <f>IF(I266&lt;&gt;"",I266,IF(L266-H266&lt;=0,0,IF(L266-H266&gt;=E266,E266,L266-H266)))</f>
        <v/>
      </c>
      <c r="O266" s="132">
        <f>IF(I266&lt;&gt;"",100%,IF(A266=$A$5,$B$5,IF(A266=$A$6,$B$6,IF(A266=$A$7,$B$7,IF(A266=$A$8,$B$8,IF(A266=$A$9,$B$9,0))))))</f>
        <v/>
      </c>
      <c r="P266" s="819">
        <f>N266*O266</f>
        <v/>
      </c>
      <c r="Q266" s="820">
        <f>E266</f>
        <v/>
      </c>
    </row>
    <row r="267">
      <c r="A267" s="445" t="n"/>
      <c r="B267" s="445" t="n"/>
      <c r="C267" s="445" t="n"/>
      <c r="D267" s="445" t="n"/>
      <c r="E267" s="817" t="n"/>
      <c r="F267" s="447" t="n"/>
      <c r="G267" s="817" t="n"/>
      <c r="H267" s="817" t="n"/>
      <c r="I267" s="817" t="n"/>
      <c r="J267" s="817" t="n"/>
      <c r="K267" s="818">
        <f>B267&amp;"-"&amp;C267</f>
        <v/>
      </c>
      <c r="L267" s="818">
        <f>E267+G267</f>
        <v/>
      </c>
      <c r="M267" s="130">
        <f>IF(H267=0,"No Value",L267/H267)</f>
        <v/>
      </c>
      <c r="N267" s="819">
        <f>IF(I267&lt;&gt;"",I267,IF(L267-H267&lt;=0,0,IF(L267-H267&gt;=E267,E267,L267-H267)))</f>
        <v/>
      </c>
      <c r="O267" s="132">
        <f>IF(I267&lt;&gt;"",100%,IF(A267=$A$5,$B$5,IF(A267=$A$6,$B$6,IF(A267=$A$7,$B$7,IF(A267=$A$8,$B$8,IF(A267=$A$9,$B$9,0))))))</f>
        <v/>
      </c>
      <c r="P267" s="819">
        <f>N267*O267</f>
        <v/>
      </c>
      <c r="Q267" s="820">
        <f>E267</f>
        <v/>
      </c>
    </row>
    <row r="268">
      <c r="A268" s="445" t="n"/>
      <c r="B268" s="445" t="n"/>
      <c r="C268" s="445" t="n"/>
      <c r="D268" s="445" t="n"/>
      <c r="E268" s="817" t="n"/>
      <c r="F268" s="447" t="n"/>
      <c r="G268" s="817" t="n"/>
      <c r="H268" s="817" t="n"/>
      <c r="I268" s="817" t="n"/>
      <c r="J268" s="817" t="n"/>
      <c r="K268" s="818">
        <f>B268&amp;"-"&amp;C268</f>
        <v/>
      </c>
      <c r="L268" s="818">
        <f>E268+G268</f>
        <v/>
      </c>
      <c r="M268" s="130">
        <f>IF(H268=0,"No Value",L268/H268)</f>
        <v/>
      </c>
      <c r="N268" s="819">
        <f>IF(I268&lt;&gt;"",I268,IF(L268-H268&lt;=0,0,IF(L268-H268&gt;=E268,E268,L268-H268)))</f>
        <v/>
      </c>
      <c r="O268" s="132">
        <f>IF(I268&lt;&gt;"",100%,IF(A268=$A$5,$B$5,IF(A268=$A$6,$B$6,IF(A268=$A$7,$B$7,IF(A268=$A$8,$B$8,IF(A268=$A$9,$B$9,0))))))</f>
        <v/>
      </c>
      <c r="P268" s="819">
        <f>N268*O268</f>
        <v/>
      </c>
      <c r="Q268" s="820">
        <f>E268</f>
        <v/>
      </c>
    </row>
    <row r="269">
      <c r="A269" s="445" t="n"/>
      <c r="B269" s="445" t="n"/>
      <c r="C269" s="445" t="n"/>
      <c r="D269" s="445" t="n"/>
      <c r="E269" s="817" t="n"/>
      <c r="F269" s="447" t="n"/>
      <c r="G269" s="817" t="n"/>
      <c r="H269" s="817" t="n"/>
      <c r="I269" s="817" t="n"/>
      <c r="J269" s="817" t="n"/>
      <c r="K269" s="818">
        <f>B269&amp;"-"&amp;C269</f>
        <v/>
      </c>
      <c r="L269" s="818">
        <f>E269+G269</f>
        <v/>
      </c>
      <c r="M269" s="130">
        <f>IF(H269=0,"No Value",L269/H269)</f>
        <v/>
      </c>
      <c r="N269" s="819">
        <f>IF(I269&lt;&gt;"",I269,IF(L269-H269&lt;=0,0,IF(L269-H269&gt;=E269,E269,L269-H269)))</f>
        <v/>
      </c>
      <c r="O269" s="132">
        <f>IF(I269&lt;&gt;"",100%,IF(A269=$A$5,$B$5,IF(A269=$A$6,$B$6,IF(A269=$A$7,$B$7,IF(A269=$A$8,$B$8,IF(A269=$A$9,$B$9,0))))))</f>
        <v/>
      </c>
      <c r="P269" s="819">
        <f>N269*O269</f>
        <v/>
      </c>
      <c r="Q269" s="820">
        <f>E269</f>
        <v/>
      </c>
    </row>
    <row r="270">
      <c r="A270" s="445" t="n"/>
      <c r="B270" s="445" t="n"/>
      <c r="C270" s="445" t="n"/>
      <c r="D270" s="445" t="n"/>
      <c r="E270" s="817" t="n"/>
      <c r="F270" s="447" t="n"/>
      <c r="G270" s="817" t="n"/>
      <c r="H270" s="817" t="n"/>
      <c r="I270" s="817" t="n"/>
      <c r="J270" s="817" t="n"/>
      <c r="K270" s="818">
        <f>B270&amp;"-"&amp;C270</f>
        <v/>
      </c>
      <c r="L270" s="818">
        <f>E270+G270</f>
        <v/>
      </c>
      <c r="M270" s="130">
        <f>IF(H270=0,"No Value",L270/H270)</f>
        <v/>
      </c>
      <c r="N270" s="819">
        <f>IF(I270&lt;&gt;"",I270,IF(L270-H270&lt;=0,0,IF(L270-H270&gt;=E270,E270,L270-H270)))</f>
        <v/>
      </c>
      <c r="O270" s="132">
        <f>IF(I270&lt;&gt;"",100%,IF(A270=$A$5,$B$5,IF(A270=$A$6,$B$6,IF(A270=$A$7,$B$7,IF(A270=$A$8,$B$8,IF(A270=$A$9,$B$9,0))))))</f>
        <v/>
      </c>
      <c r="P270" s="819">
        <f>N270*O270</f>
        <v/>
      </c>
      <c r="Q270" s="820">
        <f>E270</f>
        <v/>
      </c>
    </row>
    <row r="271">
      <c r="A271" s="445" t="n"/>
      <c r="B271" s="445" t="n"/>
      <c r="C271" s="445" t="n"/>
      <c r="D271" s="445" t="n"/>
      <c r="E271" s="817" t="n"/>
      <c r="F271" s="447" t="n"/>
      <c r="G271" s="817" t="n"/>
      <c r="H271" s="817" t="n"/>
      <c r="I271" s="817" t="n"/>
      <c r="J271" s="817" t="n"/>
      <c r="K271" s="818">
        <f>B271&amp;"-"&amp;C271</f>
        <v/>
      </c>
      <c r="L271" s="818">
        <f>E271+G271</f>
        <v/>
      </c>
      <c r="M271" s="130">
        <f>IF(H271=0,"No Value",L271/H271)</f>
        <v/>
      </c>
      <c r="N271" s="819">
        <f>IF(I271&lt;&gt;"",I271,IF(L271-H271&lt;=0,0,IF(L271-H271&gt;=E271,E271,L271-H271)))</f>
        <v/>
      </c>
      <c r="O271" s="132">
        <f>IF(I271&lt;&gt;"",100%,IF(A271=$A$5,$B$5,IF(A271=$A$6,$B$6,IF(A271=$A$7,$B$7,IF(A271=$A$8,$B$8,IF(A271=$A$9,$B$9,0))))))</f>
        <v/>
      </c>
      <c r="P271" s="819">
        <f>N271*O271</f>
        <v/>
      </c>
      <c r="Q271" s="820">
        <f>E271</f>
        <v/>
      </c>
    </row>
    <row r="272">
      <c r="A272" s="445" t="n"/>
      <c r="B272" s="445" t="n"/>
      <c r="C272" s="445" t="n"/>
      <c r="D272" s="445" t="n"/>
      <c r="E272" s="817" t="n"/>
      <c r="F272" s="447" t="n"/>
      <c r="G272" s="817" t="n"/>
      <c r="H272" s="817" t="n"/>
      <c r="I272" s="817" t="n"/>
      <c r="J272" s="817" t="n"/>
      <c r="K272" s="818">
        <f>B272&amp;"-"&amp;C272</f>
        <v/>
      </c>
      <c r="L272" s="818">
        <f>E272+G272</f>
        <v/>
      </c>
      <c r="M272" s="130">
        <f>IF(H272=0,"No Value",L272/H272)</f>
        <v/>
      </c>
      <c r="N272" s="819">
        <f>IF(I272&lt;&gt;"",I272,IF(L272-H272&lt;=0,0,IF(L272-H272&gt;=E272,E272,L272-H272)))</f>
        <v/>
      </c>
      <c r="O272" s="132">
        <f>IF(I272&lt;&gt;"",100%,IF(A272=$A$5,$B$5,IF(A272=$A$6,$B$6,IF(A272=$A$7,$B$7,IF(A272=$A$8,$B$8,IF(A272=$A$9,$B$9,0))))))</f>
        <v/>
      </c>
      <c r="P272" s="819">
        <f>N272*O272</f>
        <v/>
      </c>
      <c r="Q272" s="820">
        <f>E272</f>
        <v/>
      </c>
    </row>
    <row r="273">
      <c r="A273" s="445" t="n"/>
      <c r="B273" s="445" t="n"/>
      <c r="C273" s="445" t="n"/>
      <c r="D273" s="445" t="n"/>
      <c r="E273" s="817" t="n"/>
      <c r="F273" s="447" t="n"/>
      <c r="G273" s="817" t="n"/>
      <c r="H273" s="817" t="n"/>
      <c r="I273" s="817" t="n"/>
      <c r="J273" s="817" t="n"/>
      <c r="K273" s="818">
        <f>B273&amp;"-"&amp;C273</f>
        <v/>
      </c>
      <c r="L273" s="818">
        <f>E273+G273</f>
        <v/>
      </c>
      <c r="M273" s="130">
        <f>IF(H273=0,"No Value",L273/H273)</f>
        <v/>
      </c>
      <c r="N273" s="819">
        <f>IF(I273&lt;&gt;"",I273,IF(L273-H273&lt;=0,0,IF(L273-H273&gt;=E273,E273,L273-H273)))</f>
        <v/>
      </c>
      <c r="O273" s="132">
        <f>IF(I273&lt;&gt;"",100%,IF(A273=$A$5,$B$5,IF(A273=$A$6,$B$6,IF(A273=$A$7,$B$7,IF(A273=$A$8,$B$8,IF(A273=$A$9,$B$9,0))))))</f>
        <v/>
      </c>
      <c r="P273" s="819">
        <f>N273*O273</f>
        <v/>
      </c>
      <c r="Q273" s="820">
        <f>E273</f>
        <v/>
      </c>
    </row>
    <row r="274">
      <c r="A274" s="445" t="n"/>
      <c r="B274" s="445" t="n"/>
      <c r="C274" s="445" t="n"/>
      <c r="D274" s="445" t="n"/>
      <c r="E274" s="817" t="n"/>
      <c r="F274" s="447" t="n"/>
      <c r="G274" s="817" t="n"/>
      <c r="H274" s="817" t="n"/>
      <c r="I274" s="817" t="n"/>
      <c r="J274" s="817" t="n"/>
      <c r="K274" s="818">
        <f>B274&amp;"-"&amp;C274</f>
        <v/>
      </c>
      <c r="L274" s="818">
        <f>E274+G274</f>
        <v/>
      </c>
      <c r="M274" s="130">
        <f>IF(H274=0,"No Value",L274/H274)</f>
        <v/>
      </c>
      <c r="N274" s="819">
        <f>IF(I274&lt;&gt;"",I274,IF(L274-H274&lt;=0,0,IF(L274-H274&gt;=E274,E274,L274-H274)))</f>
        <v/>
      </c>
      <c r="O274" s="132">
        <f>IF(I274&lt;&gt;"",100%,IF(A274=$A$5,$B$5,IF(A274=$A$6,$B$6,IF(A274=$A$7,$B$7,IF(A274=$A$8,$B$8,IF(A274=$A$9,$B$9,0))))))</f>
        <v/>
      </c>
      <c r="P274" s="819">
        <f>N274*O274</f>
        <v/>
      </c>
      <c r="Q274" s="820">
        <f>E274</f>
        <v/>
      </c>
    </row>
    <row r="275">
      <c r="A275" s="445" t="n"/>
      <c r="B275" s="445" t="n"/>
      <c r="C275" s="445" t="n"/>
      <c r="D275" s="445" t="n"/>
      <c r="E275" s="817" t="n"/>
      <c r="F275" s="447" t="n"/>
      <c r="G275" s="817" t="n"/>
      <c r="H275" s="817" t="n"/>
      <c r="I275" s="817" t="n"/>
      <c r="J275" s="817" t="n"/>
      <c r="K275" s="818">
        <f>B275&amp;"-"&amp;C275</f>
        <v/>
      </c>
      <c r="L275" s="818">
        <f>E275+G275</f>
        <v/>
      </c>
      <c r="M275" s="130">
        <f>IF(H275=0,"No Value",L275/H275)</f>
        <v/>
      </c>
      <c r="N275" s="819">
        <f>IF(I275&lt;&gt;"",I275,IF(L275-H275&lt;=0,0,IF(L275-H275&gt;=E275,E275,L275-H275)))</f>
        <v/>
      </c>
      <c r="O275" s="132">
        <f>IF(I275&lt;&gt;"",100%,IF(A275=$A$5,$B$5,IF(A275=$A$6,$B$6,IF(A275=$A$7,$B$7,IF(A275=$A$8,$B$8,IF(A275=$A$9,$B$9,0))))))</f>
        <v/>
      </c>
      <c r="P275" s="819">
        <f>N275*O275</f>
        <v/>
      </c>
      <c r="Q275" s="820">
        <f>E275</f>
        <v/>
      </c>
    </row>
    <row r="276">
      <c r="A276" s="445" t="n"/>
      <c r="B276" s="445" t="n"/>
      <c r="C276" s="445" t="n"/>
      <c r="D276" s="445" t="n"/>
      <c r="E276" s="817" t="n"/>
      <c r="F276" s="447" t="n"/>
      <c r="G276" s="817" t="n"/>
      <c r="H276" s="817" t="n"/>
      <c r="I276" s="817" t="n"/>
      <c r="J276" s="817" t="n"/>
      <c r="K276" s="818">
        <f>B276&amp;"-"&amp;C276</f>
        <v/>
      </c>
      <c r="L276" s="818">
        <f>E276+G276</f>
        <v/>
      </c>
      <c r="M276" s="130">
        <f>IF(H276=0,"No Value",L276/H276)</f>
        <v/>
      </c>
      <c r="N276" s="819">
        <f>IF(I276&lt;&gt;"",I276,IF(L276-H276&lt;=0,0,IF(L276-H276&gt;=E276,E276,L276-H276)))</f>
        <v/>
      </c>
      <c r="O276" s="132">
        <f>IF(I276&lt;&gt;"",100%,IF(A276=$A$5,$B$5,IF(A276=$A$6,$B$6,IF(A276=$A$7,$B$7,IF(A276=$A$8,$B$8,IF(A276=$A$9,$B$9,0))))))</f>
        <v/>
      </c>
      <c r="P276" s="819">
        <f>N276*O276</f>
        <v/>
      </c>
      <c r="Q276" s="820">
        <f>E276</f>
        <v/>
      </c>
    </row>
    <row r="277">
      <c r="A277" s="445" t="n"/>
      <c r="B277" s="445" t="n"/>
      <c r="C277" s="445" t="n"/>
      <c r="D277" s="445" t="n"/>
      <c r="E277" s="817" t="n"/>
      <c r="F277" s="447" t="n"/>
      <c r="G277" s="817" t="n"/>
      <c r="H277" s="817" t="n"/>
      <c r="I277" s="817" t="n"/>
      <c r="J277" s="817" t="n"/>
      <c r="K277" s="818">
        <f>B277&amp;"-"&amp;C277</f>
        <v/>
      </c>
      <c r="L277" s="818">
        <f>E277+G277</f>
        <v/>
      </c>
      <c r="M277" s="130">
        <f>IF(H277=0,"No Value",L277/H277)</f>
        <v/>
      </c>
      <c r="N277" s="819">
        <f>IF(I277&lt;&gt;"",I277,IF(L277-H277&lt;=0,0,IF(L277-H277&gt;=E277,E277,L277-H277)))</f>
        <v/>
      </c>
      <c r="O277" s="132">
        <f>IF(I277&lt;&gt;"",100%,IF(A277=$A$5,$B$5,IF(A277=$A$6,$B$6,IF(A277=$A$7,$B$7,IF(A277=$A$8,$B$8,IF(A277=$A$9,$B$9,0))))))</f>
        <v/>
      </c>
      <c r="P277" s="819">
        <f>N277*O277</f>
        <v/>
      </c>
      <c r="Q277" s="820">
        <f>E277</f>
        <v/>
      </c>
    </row>
    <row r="278">
      <c r="A278" s="445" t="n"/>
      <c r="B278" s="445" t="n"/>
      <c r="C278" s="445" t="n"/>
      <c r="D278" s="445" t="n"/>
      <c r="E278" s="817" t="n"/>
      <c r="F278" s="447" t="n"/>
      <c r="G278" s="817" t="n"/>
      <c r="H278" s="817" t="n"/>
      <c r="I278" s="817" t="n"/>
      <c r="J278" s="817" t="n"/>
      <c r="K278" s="818">
        <f>B278&amp;"-"&amp;C278</f>
        <v/>
      </c>
      <c r="L278" s="818">
        <f>E278+G278</f>
        <v/>
      </c>
      <c r="M278" s="130">
        <f>IF(H278=0,"No Value",L278/H278)</f>
        <v/>
      </c>
      <c r="N278" s="819">
        <f>IF(I278&lt;&gt;"",I278,IF(L278-H278&lt;=0,0,IF(L278-H278&gt;=E278,E278,L278-H278)))</f>
        <v/>
      </c>
      <c r="O278" s="132">
        <f>IF(I278&lt;&gt;"",100%,IF(A278=$A$5,$B$5,IF(A278=$A$6,$B$6,IF(A278=$A$7,$B$7,IF(A278=$A$8,$B$8,IF(A278=$A$9,$B$9,0))))))</f>
        <v/>
      </c>
      <c r="P278" s="819">
        <f>N278*O278</f>
        <v/>
      </c>
      <c r="Q278" s="820">
        <f>E278</f>
        <v/>
      </c>
    </row>
    <row r="279">
      <c r="A279" s="445" t="n"/>
      <c r="B279" s="445" t="n"/>
      <c r="C279" s="445" t="n"/>
      <c r="D279" s="445" t="n"/>
      <c r="E279" s="817" t="n"/>
      <c r="F279" s="447" t="n"/>
      <c r="G279" s="817" t="n"/>
      <c r="H279" s="817" t="n"/>
      <c r="I279" s="817" t="n"/>
      <c r="J279" s="817" t="n"/>
      <c r="K279" s="818">
        <f>B279&amp;"-"&amp;C279</f>
        <v/>
      </c>
      <c r="L279" s="818">
        <f>E279+G279</f>
        <v/>
      </c>
      <c r="M279" s="130">
        <f>IF(H279=0,"No Value",L279/H279)</f>
        <v/>
      </c>
      <c r="N279" s="819">
        <f>IF(I279&lt;&gt;"",I279,IF(L279-H279&lt;=0,0,IF(L279-H279&gt;=E279,E279,L279-H279)))</f>
        <v/>
      </c>
      <c r="O279" s="132">
        <f>IF(I279&lt;&gt;"",100%,IF(A279=$A$5,$B$5,IF(A279=$A$6,$B$6,IF(A279=$A$7,$B$7,IF(A279=$A$8,$B$8,IF(A279=$A$9,$B$9,0))))))</f>
        <v/>
      </c>
      <c r="P279" s="819">
        <f>N279*O279</f>
        <v/>
      </c>
      <c r="Q279" s="820">
        <f>E279</f>
        <v/>
      </c>
    </row>
    <row r="280">
      <c r="A280" s="445" t="n"/>
      <c r="B280" s="445" t="n"/>
      <c r="C280" s="445" t="n"/>
      <c r="D280" s="445" t="n"/>
      <c r="E280" s="817" t="n"/>
      <c r="F280" s="447" t="n"/>
      <c r="G280" s="817" t="n"/>
      <c r="H280" s="817" t="n"/>
      <c r="I280" s="817" t="n"/>
      <c r="J280" s="817" t="n"/>
      <c r="K280" s="818">
        <f>B280&amp;"-"&amp;C280</f>
        <v/>
      </c>
      <c r="L280" s="818">
        <f>E280+G280</f>
        <v/>
      </c>
      <c r="M280" s="130">
        <f>IF(H280=0,"No Value",L280/H280)</f>
        <v/>
      </c>
      <c r="N280" s="819">
        <f>IF(I280&lt;&gt;"",I280,IF(L280-H280&lt;=0,0,IF(L280-H280&gt;=E280,E280,L280-H280)))</f>
        <v/>
      </c>
      <c r="O280" s="132">
        <f>IF(I280&lt;&gt;"",100%,IF(A280=$A$5,$B$5,IF(A280=$A$6,$B$6,IF(A280=$A$7,$B$7,IF(A280=$A$8,$B$8,IF(A280=$A$9,$B$9,0))))))</f>
        <v/>
      </c>
      <c r="P280" s="819">
        <f>N280*O280</f>
        <v/>
      </c>
      <c r="Q280" s="820">
        <f>E280</f>
        <v/>
      </c>
    </row>
    <row r="281">
      <c r="A281" s="445" t="n"/>
      <c r="B281" s="445" t="n"/>
      <c r="C281" s="445" t="n"/>
      <c r="D281" s="445" t="n"/>
      <c r="E281" s="817" t="n"/>
      <c r="F281" s="447" t="n"/>
      <c r="G281" s="817" t="n"/>
      <c r="H281" s="817" t="n"/>
      <c r="I281" s="817" t="n"/>
      <c r="J281" s="817" t="n"/>
      <c r="K281" s="818">
        <f>B281&amp;"-"&amp;C281</f>
        <v/>
      </c>
      <c r="L281" s="818">
        <f>E281+G281</f>
        <v/>
      </c>
      <c r="M281" s="130">
        <f>IF(H281=0,"No Value",L281/H281)</f>
        <v/>
      </c>
      <c r="N281" s="819">
        <f>IF(I281&lt;&gt;"",I281,IF(L281-H281&lt;=0,0,IF(L281-H281&gt;=E281,E281,L281-H281)))</f>
        <v/>
      </c>
      <c r="O281" s="132">
        <f>IF(I281&lt;&gt;"",100%,IF(A281=$A$5,$B$5,IF(A281=$A$6,$B$6,IF(A281=$A$7,$B$7,IF(A281=$A$8,$B$8,IF(A281=$A$9,$B$9,0))))))</f>
        <v/>
      </c>
      <c r="P281" s="819">
        <f>N281*O281</f>
        <v/>
      </c>
      <c r="Q281" s="820">
        <f>E281</f>
        <v/>
      </c>
    </row>
    <row r="282">
      <c r="A282" s="445" t="n"/>
      <c r="B282" s="445" t="n"/>
      <c r="C282" s="445" t="n"/>
      <c r="D282" s="445" t="n"/>
      <c r="E282" s="817" t="n"/>
      <c r="F282" s="447" t="n"/>
      <c r="G282" s="817" t="n"/>
      <c r="H282" s="817" t="n"/>
      <c r="I282" s="817" t="n"/>
      <c r="J282" s="817" t="n"/>
      <c r="K282" s="818">
        <f>B282&amp;"-"&amp;C282</f>
        <v/>
      </c>
      <c r="L282" s="818">
        <f>E282+G282</f>
        <v/>
      </c>
      <c r="M282" s="130">
        <f>IF(H282=0,"No Value",L282/H282)</f>
        <v/>
      </c>
      <c r="N282" s="819">
        <f>IF(I282&lt;&gt;"",I282,IF(L282-H282&lt;=0,0,IF(L282-H282&gt;=E282,E282,L282-H282)))</f>
        <v/>
      </c>
      <c r="O282" s="132">
        <f>IF(I282&lt;&gt;"",100%,IF(A282=$A$5,$B$5,IF(A282=$A$6,$B$6,IF(A282=$A$7,$B$7,IF(A282=$A$8,$B$8,IF(A282=$A$9,$B$9,0))))))</f>
        <v/>
      </c>
      <c r="P282" s="819">
        <f>N282*O282</f>
        <v/>
      </c>
      <c r="Q282" s="820">
        <f>E282</f>
        <v/>
      </c>
    </row>
    <row r="283">
      <c r="A283" s="445" t="n"/>
      <c r="B283" s="445" t="n"/>
      <c r="C283" s="445" t="n"/>
      <c r="D283" s="445" t="n"/>
      <c r="E283" s="817" t="n"/>
      <c r="F283" s="447" t="n"/>
      <c r="G283" s="817" t="n"/>
      <c r="H283" s="817" t="n"/>
      <c r="I283" s="817" t="n"/>
      <c r="J283" s="817" t="n"/>
      <c r="K283" s="818">
        <f>B283&amp;"-"&amp;C283</f>
        <v/>
      </c>
      <c r="L283" s="818">
        <f>E283+G283</f>
        <v/>
      </c>
      <c r="M283" s="130">
        <f>IF(H283=0,"No Value",L283/H283)</f>
        <v/>
      </c>
      <c r="N283" s="819">
        <f>IF(I283&lt;&gt;"",I283,IF(L283-H283&lt;=0,0,IF(L283-H283&gt;=E283,E283,L283-H283)))</f>
        <v/>
      </c>
      <c r="O283" s="132">
        <f>IF(I283&lt;&gt;"",100%,IF(A283=$A$5,$B$5,IF(A283=$A$6,$B$6,IF(A283=$A$7,$B$7,IF(A283=$A$8,$B$8,IF(A283=$A$9,$B$9,0))))))</f>
        <v/>
      </c>
      <c r="P283" s="819">
        <f>N283*O283</f>
        <v/>
      </c>
      <c r="Q283" s="820">
        <f>E283</f>
        <v/>
      </c>
    </row>
    <row r="284">
      <c r="A284" s="445" t="n"/>
      <c r="B284" s="445" t="n"/>
      <c r="C284" s="445" t="n"/>
      <c r="D284" s="445" t="n"/>
      <c r="E284" s="817" t="n"/>
      <c r="F284" s="447" t="n"/>
      <c r="G284" s="817" t="n"/>
      <c r="H284" s="817" t="n"/>
      <c r="I284" s="817" t="n"/>
      <c r="J284" s="817" t="n"/>
      <c r="K284" s="818">
        <f>B284&amp;"-"&amp;C284</f>
        <v/>
      </c>
      <c r="L284" s="818">
        <f>E284+G284</f>
        <v/>
      </c>
      <c r="M284" s="130">
        <f>IF(H284=0,"No Value",L284/H284)</f>
        <v/>
      </c>
      <c r="N284" s="819">
        <f>IF(I284&lt;&gt;"",I284,IF(L284-H284&lt;=0,0,IF(L284-H284&gt;=E284,E284,L284-H284)))</f>
        <v/>
      </c>
      <c r="O284" s="132">
        <f>IF(I284&lt;&gt;"",100%,IF(A284=$A$5,$B$5,IF(A284=$A$6,$B$6,IF(A284=$A$7,$B$7,IF(A284=$A$8,$B$8,IF(A284=$A$9,$B$9,0))))))</f>
        <v/>
      </c>
      <c r="P284" s="819">
        <f>N284*O284</f>
        <v/>
      </c>
      <c r="Q284" s="820">
        <f>E284</f>
        <v/>
      </c>
    </row>
    <row r="285">
      <c r="A285" s="445" t="n"/>
      <c r="B285" s="445" t="n"/>
      <c r="C285" s="445" t="n"/>
      <c r="D285" s="445" t="n"/>
      <c r="E285" s="817" t="n"/>
      <c r="F285" s="447" t="n"/>
      <c r="G285" s="817" t="n"/>
      <c r="H285" s="817" t="n"/>
      <c r="I285" s="817" t="n"/>
      <c r="J285" s="817" t="n"/>
      <c r="K285" s="818">
        <f>B285&amp;"-"&amp;C285</f>
        <v/>
      </c>
      <c r="L285" s="818">
        <f>E285+G285</f>
        <v/>
      </c>
      <c r="M285" s="130">
        <f>IF(H285=0,"No Value",L285/H285)</f>
        <v/>
      </c>
      <c r="N285" s="819">
        <f>IF(I285&lt;&gt;"",I285,IF(L285-H285&lt;=0,0,IF(L285-H285&gt;=E285,E285,L285-H285)))</f>
        <v/>
      </c>
      <c r="O285" s="132">
        <f>IF(I285&lt;&gt;"",100%,IF(A285=$A$5,$B$5,IF(A285=$A$6,$B$6,IF(A285=$A$7,$B$7,IF(A285=$A$8,$B$8,IF(A285=$A$9,$B$9,0))))))</f>
        <v/>
      </c>
      <c r="P285" s="819">
        <f>N285*O285</f>
        <v/>
      </c>
      <c r="Q285" s="820">
        <f>E285</f>
        <v/>
      </c>
    </row>
    <row r="286">
      <c r="A286" s="445" t="n"/>
      <c r="B286" s="445" t="n"/>
      <c r="C286" s="445" t="n"/>
      <c r="D286" s="445" t="n"/>
      <c r="E286" s="817" t="n"/>
      <c r="F286" s="447" t="n"/>
      <c r="G286" s="817" t="n"/>
      <c r="H286" s="817" t="n"/>
      <c r="I286" s="817" t="n"/>
      <c r="J286" s="817" t="n"/>
      <c r="K286" s="818">
        <f>B286&amp;"-"&amp;C286</f>
        <v/>
      </c>
      <c r="L286" s="818">
        <f>E286+G286</f>
        <v/>
      </c>
      <c r="M286" s="130">
        <f>IF(H286=0,"No Value",L286/H286)</f>
        <v/>
      </c>
      <c r="N286" s="819">
        <f>IF(I286&lt;&gt;"",I286,IF(L286-H286&lt;=0,0,IF(L286-H286&gt;=E286,E286,L286-H286)))</f>
        <v/>
      </c>
      <c r="O286" s="132">
        <f>IF(I286&lt;&gt;"",100%,IF(A286=$A$5,$B$5,IF(A286=$A$6,$B$6,IF(A286=$A$7,$B$7,IF(A286=$A$8,$B$8,IF(A286=$A$9,$B$9,0))))))</f>
        <v/>
      </c>
      <c r="P286" s="819">
        <f>N286*O286</f>
        <v/>
      </c>
      <c r="Q286" s="820">
        <f>E286</f>
        <v/>
      </c>
    </row>
    <row r="287">
      <c r="A287" s="445" t="n"/>
      <c r="B287" s="445" t="n"/>
      <c r="C287" s="445" t="n"/>
      <c r="D287" s="445" t="n"/>
      <c r="E287" s="817" t="n"/>
      <c r="F287" s="447" t="n"/>
      <c r="G287" s="817" t="n"/>
      <c r="H287" s="817" t="n"/>
      <c r="I287" s="817" t="n"/>
      <c r="J287" s="817" t="n"/>
      <c r="K287" s="818">
        <f>B287&amp;"-"&amp;C287</f>
        <v/>
      </c>
      <c r="L287" s="818">
        <f>E287+G287</f>
        <v/>
      </c>
      <c r="M287" s="130">
        <f>IF(H287=0,"No Value",L287/H287)</f>
        <v/>
      </c>
      <c r="N287" s="819">
        <f>IF(I287&lt;&gt;"",I287,IF(L287-H287&lt;=0,0,IF(L287-H287&gt;=E287,E287,L287-H287)))</f>
        <v/>
      </c>
      <c r="O287" s="132">
        <f>IF(I287&lt;&gt;"",100%,IF(A287=$A$5,$B$5,IF(A287=$A$6,$B$6,IF(A287=$A$7,$B$7,IF(A287=$A$8,$B$8,IF(A287=$A$9,$B$9,0))))))</f>
        <v/>
      </c>
      <c r="P287" s="819">
        <f>N287*O287</f>
        <v/>
      </c>
      <c r="Q287" s="820">
        <f>E287</f>
        <v/>
      </c>
    </row>
    <row r="288">
      <c r="A288" s="445" t="n"/>
      <c r="B288" s="445" t="n"/>
      <c r="C288" s="445" t="n"/>
      <c r="D288" s="445" t="n"/>
      <c r="E288" s="817" t="n"/>
      <c r="F288" s="447" t="n"/>
      <c r="G288" s="817" t="n"/>
      <c r="H288" s="817" t="n"/>
      <c r="I288" s="817" t="n"/>
      <c r="J288" s="817" t="n"/>
      <c r="K288" s="818">
        <f>B288&amp;"-"&amp;C288</f>
        <v/>
      </c>
      <c r="L288" s="818">
        <f>E288+G288</f>
        <v/>
      </c>
      <c r="M288" s="130">
        <f>IF(H288=0,"No Value",L288/H288)</f>
        <v/>
      </c>
      <c r="N288" s="819">
        <f>IF(I288&lt;&gt;"",I288,IF(L288-H288&lt;=0,0,IF(L288-H288&gt;=E288,E288,L288-H288)))</f>
        <v/>
      </c>
      <c r="O288" s="132">
        <f>IF(I288&lt;&gt;"",100%,IF(A288=$A$5,$B$5,IF(A288=$A$6,$B$6,IF(A288=$A$7,$B$7,IF(A288=$A$8,$B$8,IF(A288=$A$9,$B$9,0))))))</f>
        <v/>
      </c>
      <c r="P288" s="819">
        <f>N288*O288</f>
        <v/>
      </c>
      <c r="Q288" s="820">
        <f>E288</f>
        <v/>
      </c>
    </row>
    <row r="289">
      <c r="A289" s="445" t="n"/>
      <c r="B289" s="445" t="n"/>
      <c r="C289" s="445" t="n"/>
      <c r="D289" s="445" t="n"/>
      <c r="E289" s="817" t="n"/>
      <c r="F289" s="447" t="n"/>
      <c r="G289" s="817" t="n"/>
      <c r="H289" s="817" t="n"/>
      <c r="I289" s="817" t="n"/>
      <c r="J289" s="817" t="n"/>
      <c r="K289" s="818">
        <f>B289&amp;"-"&amp;C289</f>
        <v/>
      </c>
      <c r="L289" s="818">
        <f>E289+G289</f>
        <v/>
      </c>
      <c r="M289" s="130">
        <f>IF(H289=0,"No Value",L289/H289)</f>
        <v/>
      </c>
      <c r="N289" s="819">
        <f>IF(I289&lt;&gt;"",I289,IF(L289-H289&lt;=0,0,IF(L289-H289&gt;=E289,E289,L289-H289)))</f>
        <v/>
      </c>
      <c r="O289" s="132">
        <f>IF(I289&lt;&gt;"",100%,IF(A289=$A$5,$B$5,IF(A289=$A$6,$B$6,IF(A289=$A$7,$B$7,IF(A289=$A$8,$B$8,IF(A289=$A$9,$B$9,0))))))</f>
        <v/>
      </c>
      <c r="P289" s="819">
        <f>N289*O289</f>
        <v/>
      </c>
      <c r="Q289" s="820">
        <f>E289</f>
        <v/>
      </c>
    </row>
    <row r="290">
      <c r="A290" s="445" t="n"/>
      <c r="B290" s="445" t="n"/>
      <c r="C290" s="445" t="n"/>
      <c r="D290" s="445" t="n"/>
      <c r="E290" s="817" t="n"/>
      <c r="F290" s="447" t="n"/>
      <c r="G290" s="817" t="n"/>
      <c r="H290" s="817" t="n"/>
      <c r="I290" s="817" t="n"/>
      <c r="J290" s="817" t="n"/>
      <c r="K290" s="818">
        <f>B290&amp;"-"&amp;C290</f>
        <v/>
      </c>
      <c r="L290" s="818">
        <f>E290+G290</f>
        <v/>
      </c>
      <c r="M290" s="130">
        <f>IF(H290=0,"No Value",L290/H290)</f>
        <v/>
      </c>
      <c r="N290" s="819">
        <f>IF(I290&lt;&gt;"",I290,IF(L290-H290&lt;=0,0,IF(L290-H290&gt;=E290,E290,L290-H290)))</f>
        <v/>
      </c>
      <c r="O290" s="132">
        <f>IF(I290&lt;&gt;"",100%,IF(A290=$A$5,$B$5,IF(A290=$A$6,$B$6,IF(A290=$A$7,$B$7,IF(A290=$A$8,$B$8,IF(A290=$A$9,$B$9,0))))))</f>
        <v/>
      </c>
      <c r="P290" s="819">
        <f>N290*O290</f>
        <v/>
      </c>
      <c r="Q290" s="820">
        <f>E290</f>
        <v/>
      </c>
    </row>
    <row r="291">
      <c r="A291" s="445" t="n"/>
      <c r="B291" s="445" t="n"/>
      <c r="C291" s="445" t="n"/>
      <c r="D291" s="445" t="n"/>
      <c r="E291" s="817" t="n"/>
      <c r="F291" s="447" t="n"/>
      <c r="G291" s="817" t="n"/>
      <c r="H291" s="817" t="n"/>
      <c r="I291" s="817" t="n"/>
      <c r="J291" s="817" t="n"/>
      <c r="K291" s="818">
        <f>B291&amp;"-"&amp;C291</f>
        <v/>
      </c>
      <c r="L291" s="818">
        <f>E291+G291</f>
        <v/>
      </c>
      <c r="M291" s="130">
        <f>IF(H291=0,"No Value",L291/H291)</f>
        <v/>
      </c>
      <c r="N291" s="819">
        <f>IF(I291&lt;&gt;"",I291,IF(L291-H291&lt;=0,0,IF(L291-H291&gt;=E291,E291,L291-H291)))</f>
        <v/>
      </c>
      <c r="O291" s="132">
        <f>IF(I291&lt;&gt;"",100%,IF(A291=$A$5,$B$5,IF(A291=$A$6,$B$6,IF(A291=$A$7,$B$7,IF(A291=$A$8,$B$8,IF(A291=$A$9,$B$9,0))))))</f>
        <v/>
      </c>
      <c r="P291" s="819">
        <f>N291*O291</f>
        <v/>
      </c>
      <c r="Q291" s="820">
        <f>E291</f>
        <v/>
      </c>
    </row>
    <row r="292">
      <c r="A292" s="445" t="n"/>
      <c r="B292" s="445" t="n"/>
      <c r="C292" s="445" t="n"/>
      <c r="D292" s="445" t="n"/>
      <c r="E292" s="817" t="n"/>
      <c r="F292" s="447" t="n"/>
      <c r="G292" s="817" t="n"/>
      <c r="H292" s="817" t="n"/>
      <c r="I292" s="817" t="n"/>
      <c r="J292" s="817" t="n"/>
      <c r="K292" s="818">
        <f>B292&amp;"-"&amp;C292</f>
        <v/>
      </c>
      <c r="L292" s="818">
        <f>E292+G292</f>
        <v/>
      </c>
      <c r="M292" s="130">
        <f>IF(H292=0,"No Value",L292/H292)</f>
        <v/>
      </c>
      <c r="N292" s="819">
        <f>IF(I292&lt;&gt;"",I292,IF(L292-H292&lt;=0,0,IF(L292-H292&gt;=E292,E292,L292-H292)))</f>
        <v/>
      </c>
      <c r="O292" s="132">
        <f>IF(I292&lt;&gt;"",100%,IF(A292=$A$5,$B$5,IF(A292=$A$6,$B$6,IF(A292=$A$7,$B$7,IF(A292=$A$8,$B$8,IF(A292=$A$9,$B$9,0))))))</f>
        <v/>
      </c>
      <c r="P292" s="819">
        <f>N292*O292</f>
        <v/>
      </c>
      <c r="Q292" s="820">
        <f>E292</f>
        <v/>
      </c>
    </row>
    <row r="293">
      <c r="A293" s="445" t="n"/>
      <c r="B293" s="445" t="n"/>
      <c r="C293" s="445" t="n"/>
      <c r="D293" s="445" t="n"/>
      <c r="E293" s="817" t="n"/>
      <c r="F293" s="447" t="n"/>
      <c r="G293" s="817" t="n"/>
      <c r="H293" s="817" t="n"/>
      <c r="I293" s="817" t="n"/>
      <c r="J293" s="817" t="n"/>
      <c r="K293" s="818">
        <f>B293&amp;"-"&amp;C293</f>
        <v/>
      </c>
      <c r="L293" s="818">
        <f>E293+G293</f>
        <v/>
      </c>
      <c r="M293" s="130">
        <f>IF(H293=0,"No Value",L293/H293)</f>
        <v/>
      </c>
      <c r="N293" s="819">
        <f>IF(I293&lt;&gt;"",I293,IF(L293-H293&lt;=0,0,IF(L293-H293&gt;=E293,E293,L293-H293)))</f>
        <v/>
      </c>
      <c r="O293" s="132">
        <f>IF(I293&lt;&gt;"",100%,IF(A293=$A$5,$B$5,IF(A293=$A$6,$B$6,IF(A293=$A$7,$B$7,IF(A293=$A$8,$B$8,IF(A293=$A$9,$B$9,0))))))</f>
        <v/>
      </c>
      <c r="P293" s="819">
        <f>N293*O293</f>
        <v/>
      </c>
      <c r="Q293" s="820">
        <f>E293</f>
        <v/>
      </c>
    </row>
    <row r="294">
      <c r="A294" s="445" t="n"/>
      <c r="B294" s="445" t="n"/>
      <c r="C294" s="445" t="n"/>
      <c r="D294" s="445" t="n"/>
      <c r="E294" s="817" t="n"/>
      <c r="F294" s="447" t="n"/>
      <c r="G294" s="817" t="n"/>
      <c r="H294" s="817" t="n"/>
      <c r="I294" s="817" t="n"/>
      <c r="J294" s="817" t="n"/>
      <c r="K294" s="818">
        <f>B294&amp;"-"&amp;C294</f>
        <v/>
      </c>
      <c r="L294" s="818">
        <f>E294+G294</f>
        <v/>
      </c>
      <c r="M294" s="130">
        <f>IF(H294=0,"No Value",L294/H294)</f>
        <v/>
      </c>
      <c r="N294" s="819">
        <f>IF(I294&lt;&gt;"",I294,IF(L294-H294&lt;=0,0,IF(L294-H294&gt;=E294,E294,L294-H294)))</f>
        <v/>
      </c>
      <c r="O294" s="132">
        <f>IF(I294&lt;&gt;"",100%,IF(A294=$A$5,$B$5,IF(A294=$A$6,$B$6,IF(A294=$A$7,$B$7,IF(A294=$A$8,$B$8,IF(A294=$A$9,$B$9,0))))))</f>
        <v/>
      </c>
      <c r="P294" s="819">
        <f>N294*O294</f>
        <v/>
      </c>
      <c r="Q294" s="820">
        <f>E294</f>
        <v/>
      </c>
    </row>
    <row r="295">
      <c r="A295" s="445" t="n"/>
      <c r="B295" s="445" t="n"/>
      <c r="C295" s="445" t="n"/>
      <c r="D295" s="445" t="n"/>
      <c r="E295" s="817" t="n"/>
      <c r="F295" s="447" t="n"/>
      <c r="G295" s="817" t="n"/>
      <c r="H295" s="817" t="n"/>
      <c r="I295" s="817" t="n"/>
      <c r="J295" s="817" t="n"/>
      <c r="K295" s="818">
        <f>B295&amp;"-"&amp;C295</f>
        <v/>
      </c>
      <c r="L295" s="818">
        <f>E295+G295</f>
        <v/>
      </c>
      <c r="M295" s="130">
        <f>IF(H295=0,"No Value",L295/H295)</f>
        <v/>
      </c>
      <c r="N295" s="819">
        <f>IF(I295&lt;&gt;"",I295,IF(L295-H295&lt;=0,0,IF(L295-H295&gt;=E295,E295,L295-H295)))</f>
        <v/>
      </c>
      <c r="O295" s="132">
        <f>IF(I295&lt;&gt;"",100%,IF(A295=$A$5,$B$5,IF(A295=$A$6,$B$6,IF(A295=$A$7,$B$7,IF(A295=$A$8,$B$8,IF(A295=$A$9,$B$9,0))))))</f>
        <v/>
      </c>
      <c r="P295" s="819">
        <f>N295*O295</f>
        <v/>
      </c>
      <c r="Q295" s="820">
        <f>E295</f>
        <v/>
      </c>
    </row>
    <row r="296">
      <c r="A296" s="445" t="n"/>
      <c r="B296" s="445" t="n"/>
      <c r="C296" s="445" t="n"/>
      <c r="D296" s="445" t="n"/>
      <c r="E296" s="817" t="n"/>
      <c r="F296" s="447" t="n"/>
      <c r="G296" s="817" t="n"/>
      <c r="H296" s="817" t="n"/>
      <c r="I296" s="817" t="n"/>
      <c r="J296" s="817" t="n"/>
      <c r="K296" s="818">
        <f>B296&amp;"-"&amp;C296</f>
        <v/>
      </c>
      <c r="L296" s="818">
        <f>E296+G296</f>
        <v/>
      </c>
      <c r="M296" s="130">
        <f>IF(H296=0,"No Value",L296/H296)</f>
        <v/>
      </c>
      <c r="N296" s="819">
        <f>IF(I296&lt;&gt;"",I296,IF(L296-H296&lt;=0,0,IF(L296-H296&gt;=E296,E296,L296-H296)))</f>
        <v/>
      </c>
      <c r="O296" s="132">
        <f>IF(I296&lt;&gt;"",100%,IF(A296=$A$5,$B$5,IF(A296=$A$6,$B$6,IF(A296=$A$7,$B$7,IF(A296=$A$8,$B$8,IF(A296=$A$9,$B$9,0))))))</f>
        <v/>
      </c>
      <c r="P296" s="819">
        <f>N296*O296</f>
        <v/>
      </c>
      <c r="Q296" s="820">
        <f>E296</f>
        <v/>
      </c>
    </row>
    <row r="297">
      <c r="A297" s="445" t="n"/>
      <c r="B297" s="445" t="n"/>
      <c r="C297" s="445" t="n"/>
      <c r="D297" s="445" t="n"/>
      <c r="E297" s="817" t="n"/>
      <c r="F297" s="447" t="n"/>
      <c r="G297" s="817" t="n"/>
      <c r="H297" s="817" t="n"/>
      <c r="I297" s="817" t="n"/>
      <c r="J297" s="817" t="n"/>
      <c r="K297" s="818">
        <f>B297&amp;"-"&amp;C297</f>
        <v/>
      </c>
      <c r="L297" s="818">
        <f>E297+G297</f>
        <v/>
      </c>
      <c r="M297" s="130">
        <f>IF(H297=0,"No Value",L297/H297)</f>
        <v/>
      </c>
      <c r="N297" s="819">
        <f>IF(I297&lt;&gt;"",I297,IF(L297-H297&lt;=0,0,IF(L297-H297&gt;=E297,E297,L297-H297)))</f>
        <v/>
      </c>
      <c r="O297" s="132">
        <f>IF(I297&lt;&gt;"",100%,IF(A297=$A$5,$B$5,IF(A297=$A$6,$B$6,IF(A297=$A$7,$B$7,IF(A297=$A$8,$B$8,IF(A297=$A$9,$B$9,0))))))</f>
        <v/>
      </c>
      <c r="P297" s="819">
        <f>N297*O297</f>
        <v/>
      </c>
      <c r="Q297" s="820">
        <f>E297</f>
        <v/>
      </c>
    </row>
    <row r="298">
      <c r="A298" s="445" t="n"/>
      <c r="B298" s="445" t="n"/>
      <c r="C298" s="445" t="n"/>
      <c r="D298" s="445" t="n"/>
      <c r="E298" s="817" t="n"/>
      <c r="F298" s="447" t="n"/>
      <c r="G298" s="817" t="n"/>
      <c r="H298" s="817" t="n"/>
      <c r="I298" s="817" t="n"/>
      <c r="J298" s="817" t="n"/>
      <c r="K298" s="818">
        <f>B298&amp;"-"&amp;C298</f>
        <v/>
      </c>
      <c r="L298" s="818">
        <f>E298+G298</f>
        <v/>
      </c>
      <c r="M298" s="130">
        <f>IF(H298=0,"No Value",L298/H298)</f>
        <v/>
      </c>
      <c r="N298" s="819">
        <f>IF(I298&lt;&gt;"",I298,IF(L298-H298&lt;=0,0,IF(L298-H298&gt;=E298,E298,L298-H298)))</f>
        <v/>
      </c>
      <c r="O298" s="132">
        <f>IF(I298&lt;&gt;"",100%,IF(A298=$A$5,$B$5,IF(A298=$A$6,$B$6,IF(A298=$A$7,$B$7,IF(A298=$A$8,$B$8,IF(A298=$A$9,$B$9,0))))))</f>
        <v/>
      </c>
      <c r="P298" s="819">
        <f>N298*O298</f>
        <v/>
      </c>
      <c r="Q298" s="820">
        <f>E298</f>
        <v/>
      </c>
    </row>
    <row r="299">
      <c r="A299" s="445" t="n"/>
      <c r="B299" s="445" t="n"/>
      <c r="C299" s="445" t="n"/>
      <c r="D299" s="445" t="n"/>
      <c r="E299" s="817" t="n"/>
      <c r="F299" s="447" t="n"/>
      <c r="G299" s="817" t="n"/>
      <c r="H299" s="817" t="n"/>
      <c r="I299" s="817" t="n"/>
      <c r="J299" s="817" t="n"/>
      <c r="K299" s="818">
        <f>B299&amp;"-"&amp;C299</f>
        <v/>
      </c>
      <c r="L299" s="818">
        <f>E299+G299</f>
        <v/>
      </c>
      <c r="M299" s="130">
        <f>IF(H299=0,"No Value",L299/H299)</f>
        <v/>
      </c>
      <c r="N299" s="819">
        <f>IF(I299&lt;&gt;"",I299,IF(L299-H299&lt;=0,0,IF(L299-H299&gt;=E299,E299,L299-H299)))</f>
        <v/>
      </c>
      <c r="O299" s="132">
        <f>IF(I299&lt;&gt;"",100%,IF(A299=$A$5,$B$5,IF(A299=$A$6,$B$6,IF(A299=$A$7,$B$7,IF(A299=$A$8,$B$8,IF(A299=$A$9,$B$9,0))))))</f>
        <v/>
      </c>
      <c r="P299" s="819">
        <f>N299*O299</f>
        <v/>
      </c>
      <c r="Q299" s="820">
        <f>E299</f>
        <v/>
      </c>
    </row>
    <row r="300">
      <c r="A300" s="445" t="n"/>
      <c r="B300" s="445" t="n"/>
      <c r="C300" s="445" t="n"/>
      <c r="D300" s="445" t="n"/>
      <c r="E300" s="817" t="n"/>
      <c r="F300" s="447" t="n"/>
      <c r="G300" s="817" t="n"/>
      <c r="H300" s="817" t="n"/>
      <c r="I300" s="817" t="n"/>
      <c r="J300" s="817" t="n"/>
      <c r="K300" s="818">
        <f>B300&amp;"-"&amp;C300</f>
        <v/>
      </c>
      <c r="L300" s="818">
        <f>E300+G300</f>
        <v/>
      </c>
      <c r="M300" s="130">
        <f>IF(H300=0,"No Value",L300/H300)</f>
        <v/>
      </c>
      <c r="N300" s="819">
        <f>IF(I300&lt;&gt;"",I300,IF(L300-H300&lt;=0,0,IF(L300-H300&gt;=E300,E300,L300-H300)))</f>
        <v/>
      </c>
      <c r="O300" s="132">
        <f>IF(I300&lt;&gt;"",100%,IF(A300=$A$5,$B$5,IF(A300=$A$6,$B$6,IF(A300=$A$7,$B$7,IF(A300=$A$8,$B$8,IF(A300=$A$9,$B$9,0))))))</f>
        <v/>
      </c>
      <c r="P300" s="819">
        <f>N300*O300</f>
        <v/>
      </c>
      <c r="Q300" s="820">
        <f>E300</f>
        <v/>
      </c>
    </row>
    <row r="301">
      <c r="A301" s="445" t="n"/>
      <c r="B301" s="445" t="n"/>
      <c r="C301" s="445" t="n"/>
      <c r="D301" s="445" t="n"/>
      <c r="E301" s="817" t="n"/>
      <c r="F301" s="447" t="n"/>
      <c r="G301" s="817" t="n"/>
      <c r="H301" s="817" t="n"/>
      <c r="I301" s="817" t="n"/>
      <c r="J301" s="817" t="n"/>
      <c r="K301" s="818">
        <f>B301&amp;"-"&amp;C301</f>
        <v/>
      </c>
      <c r="L301" s="818">
        <f>E301+G301</f>
        <v/>
      </c>
      <c r="M301" s="130">
        <f>IF(H301=0,"No Value",L301/H301)</f>
        <v/>
      </c>
      <c r="N301" s="819">
        <f>IF(I301&lt;&gt;"",I301,IF(L301-H301&lt;=0,0,IF(L301-H301&gt;=E301,E301,L301-H301)))</f>
        <v/>
      </c>
      <c r="O301" s="132">
        <f>IF(I301&lt;&gt;"",100%,IF(A301=$A$5,$B$5,IF(A301=$A$6,$B$6,IF(A301=$A$7,$B$7,IF(A301=$A$8,$B$8,IF(A301=$A$9,$B$9,0))))))</f>
        <v/>
      </c>
      <c r="P301" s="819">
        <f>N301*O301</f>
        <v/>
      </c>
      <c r="Q301" s="820">
        <f>E301</f>
        <v/>
      </c>
    </row>
    <row r="302">
      <c r="A302" s="445" t="n"/>
      <c r="B302" s="445" t="n"/>
      <c r="C302" s="445" t="n"/>
      <c r="D302" s="445" t="n"/>
      <c r="E302" s="817" t="n"/>
      <c r="F302" s="447" t="n"/>
      <c r="G302" s="817" t="n"/>
      <c r="H302" s="817" t="n"/>
      <c r="I302" s="817" t="n"/>
      <c r="J302" s="817" t="n"/>
      <c r="K302" s="818">
        <f>B302&amp;"-"&amp;C302</f>
        <v/>
      </c>
      <c r="L302" s="818">
        <f>E302+G302</f>
        <v/>
      </c>
      <c r="M302" s="130">
        <f>IF(H302=0,"No Value",L302/H302)</f>
        <v/>
      </c>
      <c r="N302" s="819">
        <f>IF(I302&lt;&gt;"",I302,IF(L302-H302&lt;=0,0,IF(L302-H302&gt;=E302,E302,L302-H302)))</f>
        <v/>
      </c>
      <c r="O302" s="132">
        <f>IF(I302&lt;&gt;"",100%,IF(A302=$A$5,$B$5,IF(A302=$A$6,$B$6,IF(A302=$A$7,$B$7,IF(A302=$A$8,$B$8,IF(A302=$A$9,$B$9,0))))))</f>
        <v/>
      </c>
      <c r="P302" s="819">
        <f>N302*O302</f>
        <v/>
      </c>
      <c r="Q302" s="820">
        <f>E302</f>
        <v/>
      </c>
    </row>
    <row r="303">
      <c r="A303" s="445" t="n"/>
      <c r="B303" s="445" t="n"/>
      <c r="C303" s="445" t="n"/>
      <c r="D303" s="445" t="n"/>
      <c r="E303" s="817" t="n"/>
      <c r="F303" s="447" t="n"/>
      <c r="G303" s="817" t="n"/>
      <c r="H303" s="817" t="n"/>
      <c r="I303" s="817" t="n"/>
      <c r="J303" s="817" t="n"/>
      <c r="K303" s="818">
        <f>B303&amp;"-"&amp;C303</f>
        <v/>
      </c>
      <c r="L303" s="818">
        <f>E303+G303</f>
        <v/>
      </c>
      <c r="M303" s="130">
        <f>IF(H303=0,"No Value",L303/H303)</f>
        <v/>
      </c>
      <c r="N303" s="819">
        <f>IF(I303&lt;&gt;"",I303,IF(L303-H303&lt;=0,0,IF(L303-H303&gt;=E303,E303,L303-H303)))</f>
        <v/>
      </c>
      <c r="O303" s="132">
        <f>IF(I303&lt;&gt;"",100%,IF(A303=$A$5,$B$5,IF(A303=$A$6,$B$6,IF(A303=$A$7,$B$7,IF(A303=$A$8,$B$8,IF(A303=$A$9,$B$9,0))))))</f>
        <v/>
      </c>
      <c r="P303" s="819">
        <f>N303*O303</f>
        <v/>
      </c>
      <c r="Q303" s="820">
        <f>E303</f>
        <v/>
      </c>
    </row>
    <row r="304">
      <c r="A304" s="445" t="n"/>
      <c r="B304" s="445" t="n"/>
      <c r="C304" s="445" t="n"/>
      <c r="D304" s="445" t="n"/>
      <c r="E304" s="817" t="n"/>
      <c r="F304" s="447" t="n"/>
      <c r="G304" s="817" t="n"/>
      <c r="H304" s="817" t="n"/>
      <c r="I304" s="817" t="n"/>
      <c r="J304" s="817" t="n"/>
      <c r="K304" s="818">
        <f>B304&amp;"-"&amp;C304</f>
        <v/>
      </c>
      <c r="L304" s="818">
        <f>E304+G304</f>
        <v/>
      </c>
      <c r="M304" s="130">
        <f>IF(H304=0,"No Value",L304/H304)</f>
        <v/>
      </c>
      <c r="N304" s="819">
        <f>IF(I304&lt;&gt;"",I304,IF(L304-H304&lt;=0,0,IF(L304-H304&gt;=E304,E304,L304-H304)))</f>
        <v/>
      </c>
      <c r="O304" s="132">
        <f>IF(I304&lt;&gt;"",100%,IF(A304=$A$5,$B$5,IF(A304=$A$6,$B$6,IF(A304=$A$7,$B$7,IF(A304=$A$8,$B$8,IF(A304=$A$9,$B$9,0))))))</f>
        <v/>
      </c>
      <c r="P304" s="819">
        <f>N304*O304</f>
        <v/>
      </c>
      <c r="Q304" s="820">
        <f>E304</f>
        <v/>
      </c>
    </row>
    <row r="305">
      <c r="A305" s="445" t="n"/>
      <c r="B305" s="445" t="n"/>
      <c r="C305" s="445" t="n"/>
      <c r="D305" s="445" t="n"/>
      <c r="E305" s="817" t="n"/>
      <c r="F305" s="447" t="n"/>
      <c r="G305" s="817" t="n"/>
      <c r="H305" s="817" t="n"/>
      <c r="I305" s="817" t="n"/>
      <c r="J305" s="817" t="n"/>
      <c r="K305" s="818">
        <f>B305&amp;"-"&amp;C305</f>
        <v/>
      </c>
      <c r="L305" s="818">
        <f>E305+G305</f>
        <v/>
      </c>
      <c r="M305" s="130">
        <f>IF(H305=0,"No Value",L305/H305)</f>
        <v/>
      </c>
      <c r="N305" s="819">
        <f>IF(I305&lt;&gt;"",I305,IF(L305-H305&lt;=0,0,IF(L305-H305&gt;=E305,E305,L305-H305)))</f>
        <v/>
      </c>
      <c r="O305" s="132">
        <f>IF(I305&lt;&gt;"",100%,IF(A305=$A$5,$B$5,IF(A305=$A$6,$B$6,IF(A305=$A$7,$B$7,IF(A305=$A$8,$B$8,IF(A305=$A$9,$B$9,0))))))</f>
        <v/>
      </c>
      <c r="P305" s="819">
        <f>N305*O305</f>
        <v/>
      </c>
      <c r="Q305" s="820">
        <f>E305</f>
        <v/>
      </c>
    </row>
    <row r="306">
      <c r="A306" s="445" t="n"/>
      <c r="B306" s="445" t="n"/>
      <c r="C306" s="445" t="n"/>
      <c r="D306" s="445" t="n"/>
      <c r="E306" s="817" t="n"/>
      <c r="F306" s="447" t="n"/>
      <c r="G306" s="817" t="n"/>
      <c r="H306" s="817" t="n"/>
      <c r="I306" s="817" t="n"/>
      <c r="J306" s="817" t="n"/>
      <c r="K306" s="818">
        <f>B306&amp;"-"&amp;C306</f>
        <v/>
      </c>
      <c r="L306" s="818">
        <f>E306+G306</f>
        <v/>
      </c>
      <c r="M306" s="130">
        <f>IF(H306=0,"No Value",L306/H306)</f>
        <v/>
      </c>
      <c r="N306" s="819">
        <f>IF(I306&lt;&gt;"",I306,IF(L306-H306&lt;=0,0,IF(L306-H306&gt;=E306,E306,L306-H306)))</f>
        <v/>
      </c>
      <c r="O306" s="132">
        <f>IF(I306&lt;&gt;"",100%,IF(A306=$A$5,$B$5,IF(A306=$A$6,$B$6,IF(A306=$A$7,$B$7,IF(A306=$A$8,$B$8,IF(A306=$A$9,$B$9,0))))))</f>
        <v/>
      </c>
      <c r="P306" s="819">
        <f>N306*O306</f>
        <v/>
      </c>
      <c r="Q306" s="820">
        <f>E306</f>
        <v/>
      </c>
    </row>
    <row r="307">
      <c r="A307" s="445" t="n"/>
      <c r="B307" s="445" t="n"/>
      <c r="C307" s="445" t="n"/>
      <c r="D307" s="445" t="n"/>
      <c r="E307" s="817" t="n"/>
      <c r="F307" s="447" t="n"/>
      <c r="G307" s="817" t="n"/>
      <c r="H307" s="817" t="n"/>
      <c r="I307" s="817" t="n"/>
      <c r="J307" s="817" t="n"/>
      <c r="K307" s="818">
        <f>B307&amp;"-"&amp;C307</f>
        <v/>
      </c>
      <c r="L307" s="818">
        <f>E307+G307</f>
        <v/>
      </c>
      <c r="M307" s="130">
        <f>IF(H307=0,"No Value",L307/H307)</f>
        <v/>
      </c>
      <c r="N307" s="819">
        <f>IF(I307&lt;&gt;"",I307,IF(L307-H307&lt;=0,0,IF(L307-H307&gt;=E307,E307,L307-H307)))</f>
        <v/>
      </c>
      <c r="O307" s="132">
        <f>IF(I307&lt;&gt;"",100%,IF(A307=$A$5,$B$5,IF(A307=$A$6,$B$6,IF(A307=$A$7,$B$7,IF(A307=$A$8,$B$8,IF(A307=$A$9,$B$9,0))))))</f>
        <v/>
      </c>
      <c r="P307" s="819">
        <f>N307*O307</f>
        <v/>
      </c>
      <c r="Q307" s="820">
        <f>E307</f>
        <v/>
      </c>
    </row>
    <row r="308">
      <c r="A308" s="445" t="n"/>
      <c r="B308" s="445" t="n"/>
      <c r="C308" s="445" t="n"/>
      <c r="D308" s="445" t="n"/>
      <c r="E308" s="817" t="n"/>
      <c r="F308" s="447" t="n"/>
      <c r="G308" s="817" t="n"/>
      <c r="H308" s="817" t="n"/>
      <c r="I308" s="817" t="n"/>
      <c r="J308" s="817" t="n"/>
      <c r="K308" s="818">
        <f>B308&amp;"-"&amp;C308</f>
        <v/>
      </c>
      <c r="L308" s="818">
        <f>E308+G308</f>
        <v/>
      </c>
      <c r="M308" s="130">
        <f>IF(H308=0,"No Value",L308/H308)</f>
        <v/>
      </c>
      <c r="N308" s="819">
        <f>IF(I308&lt;&gt;"",I308,IF(L308-H308&lt;=0,0,IF(L308-H308&gt;=E308,E308,L308-H308)))</f>
        <v/>
      </c>
      <c r="O308" s="132">
        <f>IF(I308&lt;&gt;"",100%,IF(A308=$A$5,$B$5,IF(A308=$A$6,$B$6,IF(A308=$A$7,$B$7,IF(A308=$A$8,$B$8,IF(A308=$A$9,$B$9,0))))))</f>
        <v/>
      </c>
      <c r="P308" s="819">
        <f>N308*O308</f>
        <v/>
      </c>
      <c r="Q308" s="820">
        <f>E308</f>
        <v/>
      </c>
    </row>
    <row r="309">
      <c r="A309" s="445" t="n"/>
      <c r="B309" s="445" t="n"/>
      <c r="C309" s="445" t="n"/>
      <c r="D309" s="445" t="n"/>
      <c r="E309" s="817" t="n"/>
      <c r="F309" s="447" t="n"/>
      <c r="G309" s="817" t="n"/>
      <c r="H309" s="817" t="n"/>
      <c r="I309" s="817" t="n"/>
      <c r="J309" s="817" t="n"/>
      <c r="K309" s="818">
        <f>B309&amp;"-"&amp;C309</f>
        <v/>
      </c>
      <c r="L309" s="818">
        <f>E309+G309</f>
        <v/>
      </c>
      <c r="M309" s="130">
        <f>IF(H309=0,"No Value",L309/H309)</f>
        <v/>
      </c>
      <c r="N309" s="819">
        <f>IF(I309&lt;&gt;"",I309,IF(L309-H309&lt;=0,0,IF(L309-H309&gt;=E309,E309,L309-H309)))</f>
        <v/>
      </c>
      <c r="O309" s="132">
        <f>IF(I309&lt;&gt;"",100%,IF(A309=$A$5,$B$5,IF(A309=$A$6,$B$6,IF(A309=$A$7,$B$7,IF(A309=$A$8,$B$8,IF(A309=$A$9,$B$9,0))))))</f>
        <v/>
      </c>
      <c r="P309" s="819">
        <f>N309*O309</f>
        <v/>
      </c>
      <c r="Q309" s="820">
        <f>E309</f>
        <v/>
      </c>
    </row>
    <row r="310">
      <c r="A310" s="445" t="n"/>
      <c r="B310" s="445" t="n"/>
      <c r="C310" s="445" t="n"/>
      <c r="D310" s="445" t="n"/>
      <c r="E310" s="817" t="n"/>
      <c r="F310" s="447" t="n"/>
      <c r="G310" s="817" t="n"/>
      <c r="H310" s="817" t="n"/>
      <c r="I310" s="817" t="n"/>
      <c r="J310" s="817" t="n"/>
      <c r="K310" s="818">
        <f>B310&amp;"-"&amp;C310</f>
        <v/>
      </c>
      <c r="L310" s="818">
        <f>E310+G310</f>
        <v/>
      </c>
      <c r="M310" s="130">
        <f>IF(H310=0,"No Value",L310/H310)</f>
        <v/>
      </c>
      <c r="N310" s="819">
        <f>IF(I310&lt;&gt;"",I310,IF(L310-H310&lt;=0,0,IF(L310-H310&gt;=E310,E310,L310-H310)))</f>
        <v/>
      </c>
      <c r="O310" s="132">
        <f>IF(I310&lt;&gt;"",100%,IF(A310=$A$5,$B$5,IF(A310=$A$6,$B$6,IF(A310=$A$7,$B$7,IF(A310=$A$8,$B$8,IF(A310=$A$9,$B$9,0))))))</f>
        <v/>
      </c>
      <c r="P310" s="819">
        <f>N310*O310</f>
        <v/>
      </c>
      <c r="Q310" s="820">
        <f>E310</f>
        <v/>
      </c>
    </row>
    <row r="311">
      <c r="A311" s="445" t="n"/>
      <c r="B311" s="445" t="n"/>
      <c r="C311" s="445" t="n"/>
      <c r="D311" s="445" t="n"/>
      <c r="E311" s="817" t="n"/>
      <c r="F311" s="447" t="n"/>
      <c r="G311" s="817" t="n"/>
      <c r="H311" s="817" t="n"/>
      <c r="I311" s="817" t="n"/>
      <c r="J311" s="817" t="n"/>
      <c r="K311" s="818">
        <f>B311&amp;"-"&amp;C311</f>
        <v/>
      </c>
      <c r="L311" s="818">
        <f>E311+G311</f>
        <v/>
      </c>
      <c r="M311" s="130">
        <f>IF(H311=0,"No Value",L311/H311)</f>
        <v/>
      </c>
      <c r="N311" s="819">
        <f>IF(I311&lt;&gt;"",I311,IF(L311-H311&lt;=0,0,IF(L311-H311&gt;=E311,E311,L311-H311)))</f>
        <v/>
      </c>
      <c r="O311" s="132">
        <f>IF(I311&lt;&gt;"",100%,IF(A311=$A$5,$B$5,IF(A311=$A$6,$B$6,IF(A311=$A$7,$B$7,IF(A311=$A$8,$B$8,IF(A311=$A$9,$B$9,0))))))</f>
        <v/>
      </c>
      <c r="P311" s="819">
        <f>N311*O311</f>
        <v/>
      </c>
      <c r="Q311" s="820">
        <f>E311</f>
        <v/>
      </c>
    </row>
    <row r="312">
      <c r="A312" s="445" t="n"/>
      <c r="B312" s="445" t="n"/>
      <c r="C312" s="445" t="n"/>
      <c r="D312" s="445" t="n"/>
      <c r="E312" s="817" t="n"/>
      <c r="F312" s="447" t="n"/>
      <c r="G312" s="817" t="n"/>
      <c r="H312" s="817" t="n"/>
      <c r="I312" s="817" t="n"/>
      <c r="J312" s="817" t="n"/>
      <c r="K312" s="818">
        <f>B312&amp;"-"&amp;C312</f>
        <v/>
      </c>
      <c r="L312" s="818">
        <f>E312+G312</f>
        <v/>
      </c>
      <c r="M312" s="130">
        <f>IF(H312=0,"No Value",L312/H312)</f>
        <v/>
      </c>
      <c r="N312" s="819">
        <f>IF(I312&lt;&gt;"",I312,IF(L312-H312&lt;=0,0,IF(L312-H312&gt;=E312,E312,L312-H312)))</f>
        <v/>
      </c>
      <c r="O312" s="132">
        <f>IF(I312&lt;&gt;"",100%,IF(A312=$A$5,$B$5,IF(A312=$A$6,$B$6,IF(A312=$A$7,$B$7,IF(A312=$A$8,$B$8,IF(A312=$A$9,$B$9,0))))))</f>
        <v/>
      </c>
      <c r="P312" s="819">
        <f>N312*O312</f>
        <v/>
      </c>
      <c r="Q312" s="820">
        <f>E312</f>
        <v/>
      </c>
    </row>
    <row r="313">
      <c r="A313" s="445" t="n"/>
      <c r="B313" s="445" t="n"/>
      <c r="C313" s="445" t="n"/>
      <c r="D313" s="445" t="n"/>
      <c r="E313" s="817" t="n"/>
      <c r="F313" s="447" t="n"/>
      <c r="G313" s="817" t="n"/>
      <c r="H313" s="817" t="n"/>
      <c r="I313" s="817" t="n"/>
      <c r="J313" s="817" t="n"/>
      <c r="K313" s="818">
        <f>B313&amp;"-"&amp;C313</f>
        <v/>
      </c>
      <c r="L313" s="818">
        <f>E313+G313</f>
        <v/>
      </c>
      <c r="M313" s="130">
        <f>IF(H313=0,"No Value",L313/H313)</f>
        <v/>
      </c>
      <c r="N313" s="819">
        <f>IF(I313&lt;&gt;"",I313,IF(L313-H313&lt;=0,0,IF(L313-H313&gt;=E313,E313,L313-H313)))</f>
        <v/>
      </c>
      <c r="O313" s="132">
        <f>IF(I313&lt;&gt;"",100%,IF(A313=$A$5,$B$5,IF(A313=$A$6,$B$6,IF(A313=$A$7,$B$7,IF(A313=$A$8,$B$8,IF(A313=$A$9,$B$9,0))))))</f>
        <v/>
      </c>
      <c r="P313" s="819">
        <f>N313*O313</f>
        <v/>
      </c>
      <c r="Q313" s="820">
        <f>E313</f>
        <v/>
      </c>
    </row>
    <row r="314">
      <c r="A314" s="445" t="n"/>
      <c r="B314" s="445" t="n"/>
      <c r="C314" s="445" t="n"/>
      <c r="D314" s="445" t="n"/>
      <c r="E314" s="817" t="n"/>
      <c r="F314" s="447" t="n"/>
      <c r="G314" s="817" t="n"/>
      <c r="H314" s="817" t="n"/>
      <c r="I314" s="817" t="n"/>
      <c r="J314" s="817" t="n"/>
      <c r="K314" s="818">
        <f>B314&amp;"-"&amp;C314</f>
        <v/>
      </c>
      <c r="L314" s="818">
        <f>E314+G314</f>
        <v/>
      </c>
      <c r="M314" s="130">
        <f>IF(H314=0,"No Value",L314/H314)</f>
        <v/>
      </c>
      <c r="N314" s="819">
        <f>IF(I314&lt;&gt;"",I314,IF(L314-H314&lt;=0,0,IF(L314-H314&gt;=E314,E314,L314-H314)))</f>
        <v/>
      </c>
      <c r="O314" s="132">
        <f>IF(I314&lt;&gt;"",100%,IF(A314=$A$5,$B$5,IF(A314=$A$6,$B$6,IF(A314=$A$7,$B$7,IF(A314=$A$8,$B$8,IF(A314=$A$9,$B$9,0))))))</f>
        <v/>
      </c>
      <c r="P314" s="819">
        <f>N314*O314</f>
        <v/>
      </c>
      <c r="Q314" s="820">
        <f>E314</f>
        <v/>
      </c>
    </row>
    <row r="315">
      <c r="A315" s="445" t="n"/>
      <c r="B315" s="445" t="n"/>
      <c r="C315" s="445" t="n"/>
      <c r="D315" s="445" t="n"/>
      <c r="E315" s="817" t="n"/>
      <c r="F315" s="447" t="n"/>
      <c r="G315" s="817" t="n"/>
      <c r="H315" s="817" t="n"/>
      <c r="I315" s="817" t="n"/>
      <c r="J315" s="817" t="n"/>
      <c r="K315" s="818">
        <f>B315&amp;"-"&amp;C315</f>
        <v/>
      </c>
      <c r="L315" s="818">
        <f>E315+G315</f>
        <v/>
      </c>
      <c r="M315" s="130">
        <f>IF(H315=0,"No Value",L315/H315)</f>
        <v/>
      </c>
      <c r="N315" s="819">
        <f>IF(I315&lt;&gt;"",I315,IF(L315-H315&lt;=0,0,IF(L315-H315&gt;=E315,E315,L315-H315)))</f>
        <v/>
      </c>
      <c r="O315" s="132">
        <f>IF(I315&lt;&gt;"",100%,IF(A315=$A$5,$B$5,IF(A315=$A$6,$B$6,IF(A315=$A$7,$B$7,IF(A315=$A$8,$B$8,IF(A315=$A$9,$B$9,0))))))</f>
        <v/>
      </c>
      <c r="P315" s="819">
        <f>N315*O315</f>
        <v/>
      </c>
      <c r="Q315" s="820">
        <f>E315</f>
        <v/>
      </c>
    </row>
    <row r="316">
      <c r="A316" s="445" t="n"/>
      <c r="B316" s="445" t="n"/>
      <c r="C316" s="445" t="n"/>
      <c r="D316" s="445" t="n"/>
      <c r="E316" s="817" t="n"/>
      <c r="F316" s="447" t="n"/>
      <c r="G316" s="817" t="n"/>
      <c r="H316" s="817" t="n"/>
      <c r="I316" s="817" t="n"/>
      <c r="J316" s="817" t="n"/>
      <c r="K316" s="818">
        <f>B316&amp;"-"&amp;C316</f>
        <v/>
      </c>
      <c r="L316" s="818">
        <f>E316+G316</f>
        <v/>
      </c>
      <c r="M316" s="130">
        <f>IF(H316=0,"No Value",L316/H316)</f>
        <v/>
      </c>
      <c r="N316" s="819">
        <f>IF(I316&lt;&gt;"",I316,IF(L316-H316&lt;=0,0,IF(L316-H316&gt;=E316,E316,L316-H316)))</f>
        <v/>
      </c>
      <c r="O316" s="132">
        <f>IF(I316&lt;&gt;"",100%,IF(A316=$A$5,$B$5,IF(A316=$A$6,$B$6,IF(A316=$A$7,$B$7,IF(A316=$A$8,$B$8,IF(A316=$A$9,$B$9,0))))))</f>
        <v/>
      </c>
      <c r="P316" s="819">
        <f>N316*O316</f>
        <v/>
      </c>
      <c r="Q316" s="820">
        <f>E316</f>
        <v/>
      </c>
    </row>
    <row r="317">
      <c r="A317" s="445" t="n"/>
      <c r="B317" s="445" t="n"/>
      <c r="C317" s="445" t="n"/>
      <c r="D317" s="445" t="n"/>
      <c r="E317" s="817" t="n"/>
      <c r="F317" s="447" t="n"/>
      <c r="G317" s="817" t="n"/>
      <c r="H317" s="817" t="n"/>
      <c r="I317" s="817" t="n"/>
      <c r="J317" s="817" t="n"/>
      <c r="K317" s="818">
        <f>B317&amp;"-"&amp;C317</f>
        <v/>
      </c>
      <c r="L317" s="818">
        <f>E317+G317</f>
        <v/>
      </c>
      <c r="M317" s="130">
        <f>IF(H317=0,"No Value",L317/H317)</f>
        <v/>
      </c>
      <c r="N317" s="819">
        <f>IF(I317&lt;&gt;"",I317,IF(L317-H317&lt;=0,0,IF(L317-H317&gt;=E317,E317,L317-H317)))</f>
        <v/>
      </c>
      <c r="O317" s="132">
        <f>IF(I317&lt;&gt;"",100%,IF(A317=$A$5,$B$5,IF(A317=$A$6,$B$6,IF(A317=$A$7,$B$7,IF(A317=$A$8,$B$8,IF(A317=$A$9,$B$9,0))))))</f>
        <v/>
      </c>
      <c r="P317" s="819">
        <f>N317*O317</f>
        <v/>
      </c>
      <c r="Q317" s="820">
        <f>E317</f>
        <v/>
      </c>
    </row>
    <row r="318">
      <c r="A318" s="445" t="n"/>
      <c r="B318" s="445" t="n"/>
      <c r="C318" s="445" t="n"/>
      <c r="D318" s="445" t="n"/>
      <c r="E318" s="817" t="n"/>
      <c r="F318" s="447" t="n"/>
      <c r="G318" s="817" t="n"/>
      <c r="H318" s="817" t="n"/>
      <c r="I318" s="817" t="n"/>
      <c r="J318" s="817" t="n"/>
      <c r="K318" s="818">
        <f>B318&amp;"-"&amp;C318</f>
        <v/>
      </c>
      <c r="L318" s="818">
        <f>E318+G318</f>
        <v/>
      </c>
      <c r="M318" s="130">
        <f>IF(H318=0,"No Value",L318/H318)</f>
        <v/>
      </c>
      <c r="N318" s="819">
        <f>IF(I318&lt;&gt;"",I318,IF(L318-H318&lt;=0,0,IF(L318-H318&gt;=E318,E318,L318-H318)))</f>
        <v/>
      </c>
      <c r="O318" s="132">
        <f>IF(I318&lt;&gt;"",100%,IF(A318=$A$5,$B$5,IF(A318=$A$6,$B$6,IF(A318=$A$7,$B$7,IF(A318=$A$8,$B$8,IF(A318=$A$9,$B$9,0))))))</f>
        <v/>
      </c>
      <c r="P318" s="819">
        <f>N318*O318</f>
        <v/>
      </c>
      <c r="Q318" s="820">
        <f>E318</f>
        <v/>
      </c>
    </row>
    <row r="319">
      <c r="A319" s="445" t="n"/>
      <c r="B319" s="445" t="n"/>
      <c r="C319" s="445" t="n"/>
      <c r="D319" s="445" t="n"/>
      <c r="E319" s="817" t="n"/>
      <c r="F319" s="447" t="n"/>
      <c r="G319" s="817" t="n"/>
      <c r="H319" s="817" t="n"/>
      <c r="I319" s="817" t="n"/>
      <c r="J319" s="817" t="n"/>
      <c r="K319" s="818">
        <f>B319&amp;"-"&amp;C319</f>
        <v/>
      </c>
      <c r="L319" s="818">
        <f>E319+G319</f>
        <v/>
      </c>
      <c r="M319" s="130">
        <f>IF(H319=0,"No Value",L319/H319)</f>
        <v/>
      </c>
      <c r="N319" s="819">
        <f>IF(I319&lt;&gt;"",I319,IF(L319-H319&lt;=0,0,IF(L319-H319&gt;=E319,E319,L319-H319)))</f>
        <v/>
      </c>
      <c r="O319" s="132">
        <f>IF(I319&lt;&gt;"",100%,IF(A319=$A$5,$B$5,IF(A319=$A$6,$B$6,IF(A319=$A$7,$B$7,IF(A319=$A$8,$B$8,IF(A319=$A$9,$B$9,0))))))</f>
        <v/>
      </c>
      <c r="P319" s="819">
        <f>N319*O319</f>
        <v/>
      </c>
      <c r="Q319" s="820">
        <f>E319</f>
        <v/>
      </c>
    </row>
    <row r="320">
      <c r="A320" s="445" t="n"/>
      <c r="B320" s="445" t="n"/>
      <c r="C320" s="445" t="n"/>
      <c r="D320" s="445" t="n"/>
      <c r="E320" s="817" t="n"/>
      <c r="F320" s="447" t="n"/>
      <c r="G320" s="817" t="n"/>
      <c r="H320" s="817" t="n"/>
      <c r="I320" s="817" t="n"/>
      <c r="J320" s="817" t="n"/>
      <c r="K320" s="818">
        <f>B320&amp;"-"&amp;C320</f>
        <v/>
      </c>
      <c r="L320" s="818">
        <f>E320+G320</f>
        <v/>
      </c>
      <c r="M320" s="130">
        <f>IF(H320=0,"No Value",L320/H320)</f>
        <v/>
      </c>
      <c r="N320" s="819">
        <f>IF(I320&lt;&gt;"",I320,IF(L320-H320&lt;=0,0,IF(L320-H320&gt;=E320,E320,L320-H320)))</f>
        <v/>
      </c>
      <c r="O320" s="132">
        <f>IF(I320&lt;&gt;"",100%,IF(A320=$A$5,$B$5,IF(A320=$A$6,$B$6,IF(A320=$A$7,$B$7,IF(A320=$A$8,$B$8,IF(A320=$A$9,$B$9,0))))))</f>
        <v/>
      </c>
      <c r="P320" s="819">
        <f>N320*O320</f>
        <v/>
      </c>
      <c r="Q320" s="820">
        <f>E320</f>
        <v/>
      </c>
    </row>
    <row r="321">
      <c r="A321" s="445" t="n"/>
      <c r="B321" s="445" t="n"/>
      <c r="C321" s="445" t="n"/>
      <c r="D321" s="445" t="n"/>
      <c r="E321" s="817" t="n"/>
      <c r="F321" s="447" t="n"/>
      <c r="G321" s="817" t="n"/>
      <c r="H321" s="817" t="n"/>
      <c r="I321" s="817" t="n"/>
      <c r="J321" s="817" t="n"/>
      <c r="K321" s="818">
        <f>B321&amp;"-"&amp;C321</f>
        <v/>
      </c>
      <c r="L321" s="818">
        <f>E321+G321</f>
        <v/>
      </c>
      <c r="M321" s="130">
        <f>IF(H321=0,"No Value",L321/H321)</f>
        <v/>
      </c>
      <c r="N321" s="819">
        <f>IF(I321&lt;&gt;"",I321,IF(L321-H321&lt;=0,0,IF(L321-H321&gt;=E321,E321,L321-H321)))</f>
        <v/>
      </c>
      <c r="O321" s="132">
        <f>IF(I321&lt;&gt;"",100%,IF(A321=$A$5,$B$5,IF(A321=$A$6,$B$6,IF(A321=$A$7,$B$7,IF(A321=$A$8,$B$8,IF(A321=$A$9,$B$9,0))))))</f>
        <v/>
      </c>
      <c r="P321" s="819">
        <f>N321*O321</f>
        <v/>
      </c>
      <c r="Q321" s="820">
        <f>E321</f>
        <v/>
      </c>
    </row>
    <row r="322">
      <c r="A322" s="445" t="n"/>
      <c r="B322" s="445" t="n"/>
      <c r="C322" s="445" t="n"/>
      <c r="D322" s="445" t="n"/>
      <c r="E322" s="817" t="n"/>
      <c r="F322" s="447" t="n"/>
      <c r="G322" s="817" t="n"/>
      <c r="H322" s="817" t="n"/>
      <c r="I322" s="817" t="n"/>
      <c r="J322" s="817" t="n"/>
      <c r="K322" s="818">
        <f>B322&amp;"-"&amp;C322</f>
        <v/>
      </c>
      <c r="L322" s="818">
        <f>E322+G322</f>
        <v/>
      </c>
      <c r="M322" s="130">
        <f>IF(H322=0,"No Value",L322/H322)</f>
        <v/>
      </c>
      <c r="N322" s="819">
        <f>IF(I322&lt;&gt;"",I322,IF(L322-H322&lt;=0,0,IF(L322-H322&gt;=E322,E322,L322-H322)))</f>
        <v/>
      </c>
      <c r="O322" s="132">
        <f>IF(I322&lt;&gt;"",100%,IF(A322=$A$5,$B$5,IF(A322=$A$6,$B$6,IF(A322=$A$7,$B$7,IF(A322=$A$8,$B$8,IF(A322=$A$9,$B$9,0))))))</f>
        <v/>
      </c>
      <c r="P322" s="819">
        <f>N322*O322</f>
        <v/>
      </c>
      <c r="Q322" s="820">
        <f>E322</f>
        <v/>
      </c>
    </row>
    <row r="323">
      <c r="A323" s="445" t="n"/>
      <c r="B323" s="445" t="n"/>
      <c r="C323" s="445" t="n"/>
      <c r="D323" s="445" t="n"/>
      <c r="E323" s="817" t="n"/>
      <c r="F323" s="447" t="n"/>
      <c r="G323" s="817" t="n"/>
      <c r="H323" s="817" t="n"/>
      <c r="I323" s="817" t="n"/>
      <c r="J323" s="817" t="n"/>
      <c r="K323" s="818">
        <f>B323&amp;"-"&amp;C323</f>
        <v/>
      </c>
      <c r="L323" s="818">
        <f>E323+G323</f>
        <v/>
      </c>
      <c r="M323" s="130">
        <f>IF(H323=0,"No Value",L323/H323)</f>
        <v/>
      </c>
      <c r="N323" s="819">
        <f>IF(I323&lt;&gt;"",I323,IF(L323-H323&lt;=0,0,IF(L323-H323&gt;=E323,E323,L323-H323)))</f>
        <v/>
      </c>
      <c r="O323" s="132">
        <f>IF(I323&lt;&gt;"",100%,IF(A323=$A$5,$B$5,IF(A323=$A$6,$B$6,IF(A323=$A$7,$B$7,IF(A323=$A$8,$B$8,IF(A323=$A$9,$B$9,0))))))</f>
        <v/>
      </c>
      <c r="P323" s="819">
        <f>N323*O323</f>
        <v/>
      </c>
      <c r="Q323" s="820">
        <f>E323</f>
        <v/>
      </c>
    </row>
    <row r="324">
      <c r="A324" s="445" t="n"/>
      <c r="B324" s="445" t="n"/>
      <c r="C324" s="445" t="n"/>
      <c r="D324" s="445" t="n"/>
      <c r="E324" s="817" t="n"/>
      <c r="F324" s="447" t="n"/>
      <c r="G324" s="817" t="n"/>
      <c r="H324" s="817" t="n"/>
      <c r="I324" s="817" t="n"/>
      <c r="J324" s="817" t="n"/>
      <c r="K324" s="818">
        <f>B324&amp;"-"&amp;C324</f>
        <v/>
      </c>
      <c r="L324" s="818">
        <f>E324+G324</f>
        <v/>
      </c>
      <c r="M324" s="130">
        <f>IF(H324=0,"No Value",L324/H324)</f>
        <v/>
      </c>
      <c r="N324" s="819">
        <f>IF(I324&lt;&gt;"",I324,IF(L324-H324&lt;=0,0,IF(L324-H324&gt;=E324,E324,L324-H324)))</f>
        <v/>
      </c>
      <c r="O324" s="132">
        <f>IF(I324&lt;&gt;"",100%,IF(A324=$A$5,$B$5,IF(A324=$A$6,$B$6,IF(A324=$A$7,$B$7,IF(A324=$A$8,$B$8,IF(A324=$A$9,$B$9,0))))))</f>
        <v/>
      </c>
      <c r="P324" s="819">
        <f>N324*O324</f>
        <v/>
      </c>
      <c r="Q324" s="820">
        <f>E324</f>
        <v/>
      </c>
    </row>
    <row r="325">
      <c r="A325" s="445" t="n"/>
      <c r="B325" s="445" t="n"/>
      <c r="C325" s="445" t="n"/>
      <c r="D325" s="445" t="n"/>
      <c r="E325" s="817" t="n"/>
      <c r="F325" s="447" t="n"/>
      <c r="G325" s="817" t="n"/>
      <c r="H325" s="817" t="n"/>
      <c r="I325" s="817" t="n"/>
      <c r="J325" s="817" t="n"/>
      <c r="K325" s="818">
        <f>B325&amp;"-"&amp;C325</f>
        <v/>
      </c>
      <c r="L325" s="818">
        <f>E325+G325</f>
        <v/>
      </c>
      <c r="M325" s="130">
        <f>IF(H325=0,"No Value",L325/H325)</f>
        <v/>
      </c>
      <c r="N325" s="819">
        <f>IF(I325&lt;&gt;"",I325,IF(L325-H325&lt;=0,0,IF(L325-H325&gt;=E325,E325,L325-H325)))</f>
        <v/>
      </c>
      <c r="O325" s="132">
        <f>IF(I325&lt;&gt;"",100%,IF(A325=$A$5,$B$5,IF(A325=$A$6,$B$6,IF(A325=$A$7,$B$7,IF(A325=$A$8,$B$8,IF(A325=$A$9,$B$9,0))))))</f>
        <v/>
      </c>
      <c r="P325" s="819">
        <f>N325*O325</f>
        <v/>
      </c>
      <c r="Q325" s="820">
        <f>E325</f>
        <v/>
      </c>
    </row>
    <row r="326">
      <c r="A326" s="445" t="n"/>
      <c r="B326" s="445" t="n"/>
      <c r="C326" s="445" t="n"/>
      <c r="D326" s="445" t="n"/>
      <c r="E326" s="817" t="n"/>
      <c r="F326" s="447" t="n"/>
      <c r="G326" s="817" t="n"/>
      <c r="H326" s="817" t="n"/>
      <c r="I326" s="817" t="n"/>
      <c r="J326" s="817" t="n"/>
      <c r="K326" s="818">
        <f>B326&amp;"-"&amp;C326</f>
        <v/>
      </c>
      <c r="L326" s="818">
        <f>E326+G326</f>
        <v/>
      </c>
      <c r="M326" s="130">
        <f>IF(H326=0,"No Value",L326/H326)</f>
        <v/>
      </c>
      <c r="N326" s="819">
        <f>IF(I326&lt;&gt;"",I326,IF(L326-H326&lt;=0,0,IF(L326-H326&gt;=E326,E326,L326-H326)))</f>
        <v/>
      </c>
      <c r="O326" s="132">
        <f>IF(I326&lt;&gt;"",100%,IF(A326=$A$5,$B$5,IF(A326=$A$6,$B$6,IF(A326=$A$7,$B$7,IF(A326=$A$8,$B$8,IF(A326=$A$9,$B$9,0))))))</f>
        <v/>
      </c>
      <c r="P326" s="819">
        <f>N326*O326</f>
        <v/>
      </c>
      <c r="Q326" s="820">
        <f>E326</f>
        <v/>
      </c>
    </row>
    <row r="327">
      <c r="A327" s="445" t="n"/>
      <c r="B327" s="445" t="n"/>
      <c r="C327" s="445" t="n"/>
      <c r="D327" s="445" t="n"/>
      <c r="E327" s="817" t="n"/>
      <c r="F327" s="447" t="n"/>
      <c r="G327" s="817" t="n"/>
      <c r="H327" s="817" t="n"/>
      <c r="I327" s="817" t="n"/>
      <c r="J327" s="817" t="n"/>
      <c r="K327" s="818">
        <f>B327&amp;"-"&amp;C327</f>
        <v/>
      </c>
      <c r="L327" s="818">
        <f>E327+G327</f>
        <v/>
      </c>
      <c r="M327" s="130">
        <f>IF(H327=0,"No Value",L327/H327)</f>
        <v/>
      </c>
      <c r="N327" s="819">
        <f>IF(I327&lt;&gt;"",I327,IF(L327-H327&lt;=0,0,IF(L327-H327&gt;=E327,E327,L327-H327)))</f>
        <v/>
      </c>
      <c r="O327" s="132">
        <f>IF(I327&lt;&gt;"",100%,IF(A327=$A$5,$B$5,IF(A327=$A$6,$B$6,IF(A327=$A$7,$B$7,IF(A327=$A$8,$B$8,IF(A327=$A$9,$B$9,0))))))</f>
        <v/>
      </c>
      <c r="P327" s="819">
        <f>N327*O327</f>
        <v/>
      </c>
      <c r="Q327" s="820">
        <f>E327</f>
        <v/>
      </c>
    </row>
    <row r="328">
      <c r="A328" s="445" t="n"/>
      <c r="B328" s="445" t="n"/>
      <c r="C328" s="445" t="n"/>
      <c r="D328" s="445" t="n"/>
      <c r="E328" s="817" t="n"/>
      <c r="F328" s="447" t="n"/>
      <c r="G328" s="817" t="n"/>
      <c r="H328" s="817" t="n"/>
      <c r="I328" s="817" t="n"/>
      <c r="J328" s="817" t="n"/>
      <c r="K328" s="818">
        <f>B328&amp;"-"&amp;C328</f>
        <v/>
      </c>
      <c r="L328" s="818">
        <f>E328+G328</f>
        <v/>
      </c>
      <c r="M328" s="130">
        <f>IF(H328=0,"No Value",L328/H328)</f>
        <v/>
      </c>
      <c r="N328" s="819">
        <f>IF(I328&lt;&gt;"",I328,IF(L328-H328&lt;=0,0,IF(L328-H328&gt;=E328,E328,L328-H328)))</f>
        <v/>
      </c>
      <c r="O328" s="132">
        <f>IF(I328&lt;&gt;"",100%,IF(A328=$A$5,$B$5,IF(A328=$A$6,$B$6,IF(A328=$A$7,$B$7,IF(A328=$A$8,$B$8,IF(A328=$A$9,$B$9,0))))))</f>
        <v/>
      </c>
      <c r="P328" s="819">
        <f>N328*O328</f>
        <v/>
      </c>
      <c r="Q328" s="820">
        <f>E328</f>
        <v/>
      </c>
    </row>
    <row r="329">
      <c r="A329" s="445" t="n"/>
      <c r="B329" s="445" t="n"/>
      <c r="C329" s="445" t="n"/>
      <c r="D329" s="445" t="n"/>
      <c r="E329" s="817" t="n"/>
      <c r="F329" s="447" t="n"/>
      <c r="G329" s="817" t="n"/>
      <c r="H329" s="817" t="n"/>
      <c r="I329" s="817" t="n"/>
      <c r="J329" s="817" t="n"/>
      <c r="K329" s="818">
        <f>B329&amp;"-"&amp;C329</f>
        <v/>
      </c>
      <c r="L329" s="818">
        <f>E329+G329</f>
        <v/>
      </c>
      <c r="M329" s="130">
        <f>IF(H329=0,"No Value",L329/H329)</f>
        <v/>
      </c>
      <c r="N329" s="819">
        <f>IF(I329&lt;&gt;"",I329,IF(L329-H329&lt;=0,0,IF(L329-H329&gt;=E329,E329,L329-H329)))</f>
        <v/>
      </c>
      <c r="O329" s="132">
        <f>IF(I329&lt;&gt;"",100%,IF(A329=$A$5,$B$5,IF(A329=$A$6,$B$6,IF(A329=$A$7,$B$7,IF(A329=$A$8,$B$8,IF(A329=$A$9,$B$9,0))))))</f>
        <v/>
      </c>
      <c r="P329" s="819">
        <f>N329*O329</f>
        <v/>
      </c>
      <c r="Q329" s="820">
        <f>E329</f>
        <v/>
      </c>
    </row>
    <row r="330">
      <c r="A330" s="445" t="n"/>
      <c r="B330" s="445" t="n"/>
      <c r="C330" s="445" t="n"/>
      <c r="D330" s="445" t="n"/>
      <c r="E330" s="817" t="n"/>
      <c r="F330" s="447" t="n"/>
      <c r="G330" s="817" t="n"/>
      <c r="H330" s="817" t="n"/>
      <c r="I330" s="817" t="n"/>
      <c r="J330" s="817" t="n"/>
      <c r="K330" s="818">
        <f>B330&amp;"-"&amp;C330</f>
        <v/>
      </c>
      <c r="L330" s="818">
        <f>E330+G330</f>
        <v/>
      </c>
      <c r="M330" s="130">
        <f>IF(H330=0,"No Value",L330/H330)</f>
        <v/>
      </c>
      <c r="N330" s="819">
        <f>IF(I330&lt;&gt;"",I330,IF(L330-H330&lt;=0,0,IF(L330-H330&gt;=E330,E330,L330-H330)))</f>
        <v/>
      </c>
      <c r="O330" s="132">
        <f>IF(I330&lt;&gt;"",100%,IF(A330=$A$5,$B$5,IF(A330=$A$6,$B$6,IF(A330=$A$7,$B$7,IF(A330=$A$8,$B$8,IF(A330=$A$9,$B$9,0))))))</f>
        <v/>
      </c>
      <c r="P330" s="819">
        <f>N330*O330</f>
        <v/>
      </c>
      <c r="Q330" s="820">
        <f>E330</f>
        <v/>
      </c>
    </row>
    <row r="331">
      <c r="A331" s="445" t="n"/>
      <c r="B331" s="445" t="n"/>
      <c r="C331" s="445" t="n"/>
      <c r="D331" s="445" t="n"/>
      <c r="E331" s="817" t="n"/>
      <c r="F331" s="447" t="n"/>
      <c r="G331" s="817" t="n"/>
      <c r="H331" s="817" t="n"/>
      <c r="I331" s="817" t="n"/>
      <c r="J331" s="817" t="n"/>
      <c r="K331" s="818">
        <f>B331&amp;"-"&amp;C331</f>
        <v/>
      </c>
      <c r="L331" s="818">
        <f>E331+G331</f>
        <v/>
      </c>
      <c r="M331" s="130">
        <f>IF(H331=0,"No Value",L331/H331)</f>
        <v/>
      </c>
      <c r="N331" s="819">
        <f>IF(I331&lt;&gt;"",I331,IF(L331-H331&lt;=0,0,IF(L331-H331&gt;=E331,E331,L331-H331)))</f>
        <v/>
      </c>
      <c r="O331" s="132">
        <f>IF(I331&lt;&gt;"",100%,IF(A331=$A$5,$B$5,IF(A331=$A$6,$B$6,IF(A331=$A$7,$B$7,IF(A331=$A$8,$B$8,IF(A331=$A$9,$B$9,0))))))</f>
        <v/>
      </c>
      <c r="P331" s="819">
        <f>N331*O331</f>
        <v/>
      </c>
      <c r="Q331" s="820">
        <f>E331</f>
        <v/>
      </c>
    </row>
    <row r="332">
      <c r="A332" s="445" t="n"/>
      <c r="B332" s="445" t="n"/>
      <c r="C332" s="445" t="n"/>
      <c r="D332" s="445" t="n"/>
      <c r="E332" s="817" t="n"/>
      <c r="F332" s="447" t="n"/>
      <c r="G332" s="817" t="n"/>
      <c r="H332" s="817" t="n"/>
      <c r="I332" s="817" t="n"/>
      <c r="J332" s="817" t="n"/>
      <c r="K332" s="818">
        <f>B332&amp;"-"&amp;C332</f>
        <v/>
      </c>
      <c r="L332" s="818">
        <f>E332+G332</f>
        <v/>
      </c>
      <c r="M332" s="130">
        <f>IF(H332=0,"No Value",L332/H332)</f>
        <v/>
      </c>
      <c r="N332" s="819">
        <f>IF(I332&lt;&gt;"",I332,IF(L332-H332&lt;=0,0,IF(L332-H332&gt;=E332,E332,L332-H332)))</f>
        <v/>
      </c>
      <c r="O332" s="132">
        <f>IF(I332&lt;&gt;"",100%,IF(A332=$A$5,$B$5,IF(A332=$A$6,$B$6,IF(A332=$A$7,$B$7,IF(A332=$A$8,$B$8,IF(A332=$A$9,$B$9,0))))))</f>
        <v/>
      </c>
      <c r="P332" s="819">
        <f>N332*O332</f>
        <v/>
      </c>
      <c r="Q332" s="820">
        <f>E332</f>
        <v/>
      </c>
    </row>
    <row r="333">
      <c r="A333" s="445" t="n"/>
      <c r="B333" s="445" t="n"/>
      <c r="C333" s="445" t="n"/>
      <c r="D333" s="445" t="n"/>
      <c r="E333" s="817" t="n"/>
      <c r="F333" s="447" t="n"/>
      <c r="G333" s="817" t="n"/>
      <c r="H333" s="817" t="n"/>
      <c r="I333" s="817" t="n"/>
      <c r="J333" s="817" t="n"/>
      <c r="K333" s="818">
        <f>B333&amp;"-"&amp;C333</f>
        <v/>
      </c>
      <c r="L333" s="818">
        <f>E333+G333</f>
        <v/>
      </c>
      <c r="M333" s="130">
        <f>IF(H333=0,"No Value",L333/H333)</f>
        <v/>
      </c>
      <c r="N333" s="819">
        <f>IF(I333&lt;&gt;"",I333,IF(L333-H333&lt;=0,0,IF(L333-H333&gt;=E333,E333,L333-H333)))</f>
        <v/>
      </c>
      <c r="O333" s="132">
        <f>IF(I333&lt;&gt;"",100%,IF(A333=$A$5,$B$5,IF(A333=$A$6,$B$6,IF(A333=$A$7,$B$7,IF(A333=$A$8,$B$8,IF(A333=$A$9,$B$9,0))))))</f>
        <v/>
      </c>
      <c r="P333" s="819">
        <f>N333*O333</f>
        <v/>
      </c>
      <c r="Q333" s="820">
        <f>E333</f>
        <v/>
      </c>
    </row>
    <row r="334">
      <c r="A334" s="445" t="n"/>
      <c r="B334" s="445" t="n"/>
      <c r="C334" s="445" t="n"/>
      <c r="D334" s="445" t="n"/>
      <c r="E334" s="817" t="n"/>
      <c r="F334" s="447" t="n"/>
      <c r="G334" s="817" t="n"/>
      <c r="H334" s="817" t="n"/>
      <c r="I334" s="817" t="n"/>
      <c r="J334" s="817" t="n"/>
      <c r="K334" s="818">
        <f>B334&amp;"-"&amp;C334</f>
        <v/>
      </c>
      <c r="L334" s="818">
        <f>E334+G334</f>
        <v/>
      </c>
      <c r="M334" s="130">
        <f>IF(H334=0,"No Value",L334/H334)</f>
        <v/>
      </c>
      <c r="N334" s="819">
        <f>IF(I334&lt;&gt;"",I334,IF(L334-H334&lt;=0,0,IF(L334-H334&gt;=E334,E334,L334-H334)))</f>
        <v/>
      </c>
      <c r="O334" s="132">
        <f>IF(I334&lt;&gt;"",100%,IF(A334=$A$5,$B$5,IF(A334=$A$6,$B$6,IF(A334=$A$7,$B$7,IF(A334=$A$8,$B$8,IF(A334=$A$9,$B$9,0))))))</f>
        <v/>
      </c>
      <c r="P334" s="819">
        <f>N334*O334</f>
        <v/>
      </c>
      <c r="Q334" s="820">
        <f>E334</f>
        <v/>
      </c>
    </row>
    <row r="335">
      <c r="A335" s="445" t="n"/>
      <c r="B335" s="445" t="n"/>
      <c r="C335" s="445" t="n"/>
      <c r="D335" s="445" t="n"/>
      <c r="E335" s="817" t="n"/>
      <c r="F335" s="447" t="n"/>
      <c r="G335" s="817" t="n"/>
      <c r="H335" s="817" t="n"/>
      <c r="I335" s="817" t="n"/>
      <c r="J335" s="817" t="n"/>
      <c r="K335" s="818">
        <f>B335&amp;"-"&amp;C335</f>
        <v/>
      </c>
      <c r="L335" s="818">
        <f>E335+G335</f>
        <v/>
      </c>
      <c r="M335" s="130">
        <f>IF(H335=0,"No Value",L335/H335)</f>
        <v/>
      </c>
      <c r="N335" s="819">
        <f>IF(I335&lt;&gt;"",I335,IF(L335-H335&lt;=0,0,IF(L335-H335&gt;=E335,E335,L335-H335)))</f>
        <v/>
      </c>
      <c r="O335" s="132">
        <f>IF(I335&lt;&gt;"",100%,IF(A335=$A$5,$B$5,IF(A335=$A$6,$B$6,IF(A335=$A$7,$B$7,IF(A335=$A$8,$B$8,IF(A335=$A$9,$B$9,0))))))</f>
        <v/>
      </c>
      <c r="P335" s="819">
        <f>N335*O335</f>
        <v/>
      </c>
      <c r="Q335" s="820">
        <f>E335</f>
        <v/>
      </c>
    </row>
    <row r="336">
      <c r="A336" s="445" t="n"/>
      <c r="B336" s="445" t="n"/>
      <c r="C336" s="445" t="n"/>
      <c r="D336" s="445" t="n"/>
      <c r="E336" s="817" t="n"/>
      <c r="F336" s="447" t="n"/>
      <c r="G336" s="817" t="n"/>
      <c r="H336" s="817" t="n"/>
      <c r="I336" s="817" t="n"/>
      <c r="J336" s="817" t="n"/>
      <c r="K336" s="818">
        <f>B336&amp;"-"&amp;C336</f>
        <v/>
      </c>
      <c r="L336" s="818">
        <f>E336+G336</f>
        <v/>
      </c>
      <c r="M336" s="130">
        <f>IF(H336=0,"No Value",L336/H336)</f>
        <v/>
      </c>
      <c r="N336" s="819">
        <f>IF(I336&lt;&gt;"",I336,IF(L336-H336&lt;=0,0,IF(L336-H336&gt;=E336,E336,L336-H336)))</f>
        <v/>
      </c>
      <c r="O336" s="132">
        <f>IF(I336&lt;&gt;"",100%,IF(A336=$A$5,$B$5,IF(A336=$A$6,$B$6,IF(A336=$A$7,$B$7,IF(A336=$A$8,$B$8,IF(A336=$A$9,$B$9,0))))))</f>
        <v/>
      </c>
      <c r="P336" s="819">
        <f>N336*O336</f>
        <v/>
      </c>
      <c r="Q336" s="820">
        <f>E336</f>
        <v/>
      </c>
    </row>
    <row r="337">
      <c r="A337" s="445" t="n"/>
      <c r="B337" s="445" t="n"/>
      <c r="C337" s="445" t="n"/>
      <c r="D337" s="445" t="n"/>
      <c r="E337" s="817" t="n"/>
      <c r="F337" s="447" t="n"/>
      <c r="G337" s="817" t="n"/>
      <c r="H337" s="817" t="n"/>
      <c r="I337" s="817" t="n"/>
      <c r="J337" s="817" t="n"/>
      <c r="K337" s="818">
        <f>B337&amp;"-"&amp;C337</f>
        <v/>
      </c>
      <c r="L337" s="818">
        <f>E337+G337</f>
        <v/>
      </c>
      <c r="M337" s="130">
        <f>IF(H337=0,"No Value",L337/H337)</f>
        <v/>
      </c>
      <c r="N337" s="819">
        <f>IF(I337&lt;&gt;"",I337,IF(L337-H337&lt;=0,0,IF(L337-H337&gt;=E337,E337,L337-H337)))</f>
        <v/>
      </c>
      <c r="O337" s="132">
        <f>IF(I337&lt;&gt;"",100%,IF(A337=$A$5,$B$5,IF(A337=$A$6,$B$6,IF(A337=$A$7,$B$7,IF(A337=$A$8,$B$8,IF(A337=$A$9,$B$9,0))))))</f>
        <v/>
      </c>
      <c r="P337" s="819">
        <f>N337*O337</f>
        <v/>
      </c>
      <c r="Q337" s="820">
        <f>E337</f>
        <v/>
      </c>
    </row>
    <row r="338">
      <c r="A338" s="445" t="n"/>
      <c r="B338" s="445" t="n"/>
      <c r="C338" s="445" t="n"/>
      <c r="D338" s="445" t="n"/>
      <c r="E338" s="817" t="n"/>
      <c r="F338" s="447" t="n"/>
      <c r="G338" s="817" t="n"/>
      <c r="H338" s="817" t="n"/>
      <c r="I338" s="817" t="n"/>
      <c r="J338" s="817" t="n"/>
      <c r="K338" s="818">
        <f>B338&amp;"-"&amp;C338</f>
        <v/>
      </c>
      <c r="L338" s="818">
        <f>E338+G338</f>
        <v/>
      </c>
      <c r="M338" s="130">
        <f>IF(H338=0,"No Value",L338/H338)</f>
        <v/>
      </c>
      <c r="N338" s="819">
        <f>IF(I338&lt;&gt;"",I338,IF(L338-H338&lt;=0,0,IF(L338-H338&gt;=E338,E338,L338-H338)))</f>
        <v/>
      </c>
      <c r="O338" s="132">
        <f>IF(I338&lt;&gt;"",100%,IF(A338=$A$5,$B$5,IF(A338=$A$6,$B$6,IF(A338=$A$7,$B$7,IF(A338=$A$8,$B$8,IF(A338=$A$9,$B$9,0))))))</f>
        <v/>
      </c>
      <c r="P338" s="819">
        <f>N338*O338</f>
        <v/>
      </c>
      <c r="Q338" s="820">
        <f>E338</f>
        <v/>
      </c>
    </row>
    <row r="339">
      <c r="A339" s="445" t="n"/>
      <c r="B339" s="445" t="n"/>
      <c r="C339" s="445" t="n"/>
      <c r="D339" s="445" t="n"/>
      <c r="E339" s="817" t="n"/>
      <c r="F339" s="447" t="n"/>
      <c r="G339" s="817" t="n"/>
      <c r="H339" s="817" t="n"/>
      <c r="I339" s="817" t="n"/>
      <c r="J339" s="817" t="n"/>
      <c r="K339" s="818">
        <f>B339&amp;"-"&amp;C339</f>
        <v/>
      </c>
      <c r="L339" s="818">
        <f>E339+G339</f>
        <v/>
      </c>
      <c r="M339" s="130">
        <f>IF(H339=0,"No Value",L339/H339)</f>
        <v/>
      </c>
      <c r="N339" s="819">
        <f>IF(I339&lt;&gt;"",I339,IF(L339-H339&lt;=0,0,IF(L339-H339&gt;=E339,E339,L339-H339)))</f>
        <v/>
      </c>
      <c r="O339" s="132">
        <f>IF(I339&lt;&gt;"",100%,IF(A339=$A$5,$B$5,IF(A339=$A$6,$B$6,IF(A339=$A$7,$B$7,IF(A339=$A$8,$B$8,IF(A339=$A$9,$B$9,0))))))</f>
        <v/>
      </c>
      <c r="P339" s="819">
        <f>N339*O339</f>
        <v/>
      </c>
      <c r="Q339" s="820">
        <f>E339</f>
        <v/>
      </c>
    </row>
    <row r="340">
      <c r="A340" s="445" t="n"/>
      <c r="B340" s="445" t="n"/>
      <c r="C340" s="445" t="n"/>
      <c r="D340" s="445" t="n"/>
      <c r="E340" s="817" t="n"/>
      <c r="F340" s="447" t="n"/>
      <c r="G340" s="817" t="n"/>
      <c r="H340" s="817" t="n"/>
      <c r="I340" s="817" t="n"/>
      <c r="J340" s="817" t="n"/>
      <c r="K340" s="818">
        <f>B340&amp;"-"&amp;C340</f>
        <v/>
      </c>
      <c r="L340" s="818">
        <f>E340+G340</f>
        <v/>
      </c>
      <c r="M340" s="130">
        <f>IF(H340=0,"No Value",L340/H340)</f>
        <v/>
      </c>
      <c r="N340" s="819">
        <f>IF(I340&lt;&gt;"",I340,IF(L340-H340&lt;=0,0,IF(L340-H340&gt;=E340,E340,L340-H340)))</f>
        <v/>
      </c>
      <c r="O340" s="132">
        <f>IF(I340&lt;&gt;"",100%,IF(A340=$A$5,$B$5,IF(A340=$A$6,$B$6,IF(A340=$A$7,$B$7,IF(A340=$A$8,$B$8,IF(A340=$A$9,$B$9,0))))))</f>
        <v/>
      </c>
      <c r="P340" s="819">
        <f>N340*O340</f>
        <v/>
      </c>
      <c r="Q340" s="820">
        <f>E340</f>
        <v/>
      </c>
    </row>
    <row r="341">
      <c r="A341" s="445" t="n"/>
      <c r="B341" s="445" t="n"/>
      <c r="C341" s="445" t="n"/>
      <c r="D341" s="445" t="n"/>
      <c r="E341" s="817" t="n"/>
      <c r="F341" s="447" t="n"/>
      <c r="G341" s="817" t="n"/>
      <c r="H341" s="817" t="n"/>
      <c r="I341" s="817" t="n"/>
      <c r="J341" s="817" t="n"/>
      <c r="K341" s="818">
        <f>B341&amp;"-"&amp;C341</f>
        <v/>
      </c>
      <c r="L341" s="818">
        <f>E341+G341</f>
        <v/>
      </c>
      <c r="M341" s="130">
        <f>IF(H341=0,"No Value",L341/H341)</f>
        <v/>
      </c>
      <c r="N341" s="819">
        <f>IF(I341&lt;&gt;"",I341,IF(L341-H341&lt;=0,0,IF(L341-H341&gt;=E341,E341,L341-H341)))</f>
        <v/>
      </c>
      <c r="O341" s="132">
        <f>IF(I341&lt;&gt;"",100%,IF(A341=$A$5,$B$5,IF(A341=$A$6,$B$6,IF(A341=$A$7,$B$7,IF(A341=$A$8,$B$8,IF(A341=$A$9,$B$9,0))))))</f>
        <v/>
      </c>
      <c r="P341" s="819">
        <f>N341*O341</f>
        <v/>
      </c>
      <c r="Q341" s="820">
        <f>E341</f>
        <v/>
      </c>
    </row>
    <row r="342">
      <c r="A342" s="445" t="n"/>
      <c r="B342" s="445" t="n"/>
      <c r="C342" s="445" t="n"/>
      <c r="D342" s="445" t="n"/>
      <c r="E342" s="817" t="n"/>
      <c r="F342" s="447" t="n"/>
      <c r="G342" s="817" t="n"/>
      <c r="H342" s="817" t="n"/>
      <c r="I342" s="817" t="n"/>
      <c r="J342" s="817" t="n"/>
      <c r="K342" s="818">
        <f>B342&amp;"-"&amp;C342</f>
        <v/>
      </c>
      <c r="L342" s="818">
        <f>E342+G342</f>
        <v/>
      </c>
      <c r="M342" s="130">
        <f>IF(H342=0,"No Value",L342/H342)</f>
        <v/>
      </c>
      <c r="N342" s="819">
        <f>IF(I342&lt;&gt;"",I342,IF(L342-H342&lt;=0,0,IF(L342-H342&gt;=E342,E342,L342-H342)))</f>
        <v/>
      </c>
      <c r="O342" s="132">
        <f>IF(I342&lt;&gt;"",100%,IF(A342=$A$5,$B$5,IF(A342=$A$6,$B$6,IF(A342=$A$7,$B$7,IF(A342=$A$8,$B$8,IF(A342=$A$9,$B$9,0))))))</f>
        <v/>
      </c>
      <c r="P342" s="819">
        <f>N342*O342</f>
        <v/>
      </c>
      <c r="Q342" s="820">
        <f>E342</f>
        <v/>
      </c>
    </row>
    <row r="343">
      <c r="A343" s="445" t="n"/>
      <c r="B343" s="445" t="n"/>
      <c r="C343" s="445" t="n"/>
      <c r="D343" s="445" t="n"/>
      <c r="E343" s="817" t="n"/>
      <c r="F343" s="447" t="n"/>
      <c r="G343" s="817" t="n"/>
      <c r="H343" s="817" t="n"/>
      <c r="I343" s="817" t="n"/>
      <c r="J343" s="817" t="n"/>
      <c r="K343" s="818">
        <f>B343&amp;"-"&amp;C343</f>
        <v/>
      </c>
      <c r="L343" s="818">
        <f>E343+G343</f>
        <v/>
      </c>
      <c r="M343" s="130">
        <f>IF(H343=0,"No Value",L343/H343)</f>
        <v/>
      </c>
      <c r="N343" s="819">
        <f>IF(I343&lt;&gt;"",I343,IF(L343-H343&lt;=0,0,IF(L343-H343&gt;=E343,E343,L343-H343)))</f>
        <v/>
      </c>
      <c r="O343" s="132">
        <f>IF(I343&lt;&gt;"",100%,IF(A343=$A$5,$B$5,IF(A343=$A$6,$B$6,IF(A343=$A$7,$B$7,IF(A343=$A$8,$B$8,IF(A343=$A$9,$B$9,0))))))</f>
        <v/>
      </c>
      <c r="P343" s="819">
        <f>N343*O343</f>
        <v/>
      </c>
      <c r="Q343" s="820">
        <f>E343</f>
        <v/>
      </c>
    </row>
    <row r="344">
      <c r="A344" s="445" t="n"/>
      <c r="B344" s="445" t="n"/>
      <c r="C344" s="445" t="n"/>
      <c r="D344" s="445" t="n"/>
      <c r="E344" s="817" t="n"/>
      <c r="F344" s="447" t="n"/>
      <c r="G344" s="817" t="n"/>
      <c r="H344" s="817" t="n"/>
      <c r="I344" s="817" t="n"/>
      <c r="J344" s="817" t="n"/>
      <c r="K344" s="818">
        <f>B344&amp;"-"&amp;C344</f>
        <v/>
      </c>
      <c r="L344" s="818">
        <f>E344+G344</f>
        <v/>
      </c>
      <c r="M344" s="130">
        <f>IF(H344=0,"No Value",L344/H344)</f>
        <v/>
      </c>
      <c r="N344" s="819">
        <f>IF(I344&lt;&gt;"",I344,IF(L344-H344&lt;=0,0,IF(L344-H344&gt;=E344,E344,L344-H344)))</f>
        <v/>
      </c>
      <c r="O344" s="132">
        <f>IF(I344&lt;&gt;"",100%,IF(A344=$A$5,$B$5,IF(A344=$A$6,$B$6,IF(A344=$A$7,$B$7,IF(A344=$A$8,$B$8,IF(A344=$A$9,$B$9,0))))))</f>
        <v/>
      </c>
      <c r="P344" s="819">
        <f>N344*O344</f>
        <v/>
      </c>
      <c r="Q344" s="820">
        <f>E344</f>
        <v/>
      </c>
    </row>
    <row r="345">
      <c r="A345" s="445" t="n"/>
      <c r="B345" s="445" t="n"/>
      <c r="C345" s="445" t="n"/>
      <c r="D345" s="445" t="n"/>
      <c r="E345" s="817" t="n"/>
      <c r="F345" s="447" t="n"/>
      <c r="G345" s="817" t="n"/>
      <c r="H345" s="817" t="n"/>
      <c r="I345" s="817" t="n"/>
      <c r="J345" s="817" t="n"/>
      <c r="K345" s="818">
        <f>B345&amp;"-"&amp;C345</f>
        <v/>
      </c>
      <c r="L345" s="818">
        <f>E345+G345</f>
        <v/>
      </c>
      <c r="M345" s="130">
        <f>IF(H345=0,"No Value",L345/H345)</f>
        <v/>
      </c>
      <c r="N345" s="819">
        <f>IF(I345&lt;&gt;"",I345,IF(L345-H345&lt;=0,0,IF(L345-H345&gt;=E345,E345,L345-H345)))</f>
        <v/>
      </c>
      <c r="O345" s="132">
        <f>IF(I345&lt;&gt;"",100%,IF(A345=$A$5,$B$5,IF(A345=$A$6,$B$6,IF(A345=$A$7,$B$7,IF(A345=$A$8,$B$8,IF(A345=$A$9,$B$9,0))))))</f>
        <v/>
      </c>
      <c r="P345" s="819">
        <f>N345*O345</f>
        <v/>
      </c>
      <c r="Q345" s="820">
        <f>E345</f>
        <v/>
      </c>
    </row>
    <row r="346">
      <c r="A346" s="445" t="n"/>
      <c r="B346" s="445" t="n"/>
      <c r="C346" s="445" t="n"/>
      <c r="D346" s="445" t="n"/>
      <c r="E346" s="817" t="n"/>
      <c r="F346" s="447" t="n"/>
      <c r="G346" s="817" t="n"/>
      <c r="H346" s="817" t="n"/>
      <c r="I346" s="817" t="n"/>
      <c r="J346" s="817" t="n"/>
      <c r="K346" s="818">
        <f>B346&amp;"-"&amp;C346</f>
        <v/>
      </c>
      <c r="L346" s="818">
        <f>E346+G346</f>
        <v/>
      </c>
      <c r="M346" s="130">
        <f>IF(H346=0,"No Value",L346/H346)</f>
        <v/>
      </c>
      <c r="N346" s="819">
        <f>IF(I346&lt;&gt;"",I346,IF(L346-H346&lt;=0,0,IF(L346-H346&gt;=E346,E346,L346-H346)))</f>
        <v/>
      </c>
      <c r="O346" s="132">
        <f>IF(I346&lt;&gt;"",100%,IF(A346=$A$5,$B$5,IF(A346=$A$6,$B$6,IF(A346=$A$7,$B$7,IF(A346=$A$8,$B$8,IF(A346=$A$9,$B$9,0))))))</f>
        <v/>
      </c>
      <c r="P346" s="819">
        <f>N346*O346</f>
        <v/>
      </c>
      <c r="Q346" s="820">
        <f>E346</f>
        <v/>
      </c>
    </row>
    <row r="347">
      <c r="A347" s="445" t="n"/>
      <c r="B347" s="445" t="n"/>
      <c r="C347" s="445" t="n"/>
      <c r="D347" s="445" t="n"/>
      <c r="E347" s="817" t="n"/>
      <c r="F347" s="447" t="n"/>
      <c r="G347" s="817" t="n"/>
      <c r="H347" s="817" t="n"/>
      <c r="I347" s="817" t="n"/>
      <c r="J347" s="817" t="n"/>
      <c r="K347" s="818">
        <f>B347&amp;"-"&amp;C347</f>
        <v/>
      </c>
      <c r="L347" s="818">
        <f>E347+G347</f>
        <v/>
      </c>
      <c r="M347" s="130">
        <f>IF(H347=0,"No Value",L347/H347)</f>
        <v/>
      </c>
      <c r="N347" s="819">
        <f>IF(I347&lt;&gt;"",I347,IF(L347-H347&lt;=0,0,IF(L347-H347&gt;=E347,E347,L347-H347)))</f>
        <v/>
      </c>
      <c r="O347" s="132">
        <f>IF(I347&lt;&gt;"",100%,IF(A347=$A$5,$B$5,IF(A347=$A$6,$B$6,IF(A347=$A$7,$B$7,IF(A347=$A$8,$B$8,IF(A347=$A$9,$B$9,0))))))</f>
        <v/>
      </c>
      <c r="P347" s="819">
        <f>N347*O347</f>
        <v/>
      </c>
      <c r="Q347" s="820">
        <f>E347</f>
        <v/>
      </c>
    </row>
    <row r="348">
      <c r="A348" s="445" t="n"/>
      <c r="B348" s="445" t="n"/>
      <c r="C348" s="445" t="n"/>
      <c r="D348" s="445" t="n"/>
      <c r="E348" s="817" t="n"/>
      <c r="F348" s="447" t="n"/>
      <c r="G348" s="817" t="n"/>
      <c r="H348" s="817" t="n"/>
      <c r="I348" s="817" t="n"/>
      <c r="J348" s="817" t="n"/>
      <c r="K348" s="818">
        <f>B348&amp;"-"&amp;C348</f>
        <v/>
      </c>
      <c r="L348" s="818">
        <f>E348+G348</f>
        <v/>
      </c>
      <c r="M348" s="130">
        <f>IF(H348=0,"No Value",L348/H348)</f>
        <v/>
      </c>
      <c r="N348" s="819">
        <f>IF(I348&lt;&gt;"",I348,IF(L348-H348&lt;=0,0,IF(L348-H348&gt;=E348,E348,L348-H348)))</f>
        <v/>
      </c>
      <c r="O348" s="132">
        <f>IF(I348&lt;&gt;"",100%,IF(A348=$A$5,$B$5,IF(A348=$A$6,$B$6,IF(A348=$A$7,$B$7,IF(A348=$A$8,$B$8,IF(A348=$A$9,$B$9,0))))))</f>
        <v/>
      </c>
      <c r="P348" s="819">
        <f>N348*O348</f>
        <v/>
      </c>
      <c r="Q348" s="820">
        <f>E348</f>
        <v/>
      </c>
    </row>
    <row r="349">
      <c r="A349" s="445" t="n"/>
      <c r="B349" s="445" t="n"/>
      <c r="C349" s="445" t="n"/>
      <c r="D349" s="445" t="n"/>
      <c r="E349" s="817" t="n"/>
      <c r="F349" s="447" t="n"/>
      <c r="G349" s="817" t="n"/>
      <c r="H349" s="817" t="n"/>
      <c r="I349" s="817" t="n"/>
      <c r="J349" s="817" t="n"/>
      <c r="K349" s="818">
        <f>B349&amp;"-"&amp;C349</f>
        <v/>
      </c>
      <c r="L349" s="818">
        <f>E349+G349</f>
        <v/>
      </c>
      <c r="M349" s="130">
        <f>IF(H349=0,"No Value",L349/H349)</f>
        <v/>
      </c>
      <c r="N349" s="819">
        <f>IF(I349&lt;&gt;"",I349,IF(L349-H349&lt;=0,0,IF(L349-H349&gt;=E349,E349,L349-H349)))</f>
        <v/>
      </c>
      <c r="O349" s="132">
        <f>IF(I349&lt;&gt;"",100%,IF(A349=$A$5,$B$5,IF(A349=$A$6,$B$6,IF(A349=$A$7,$B$7,IF(A349=$A$8,$B$8,IF(A349=$A$9,$B$9,0))))))</f>
        <v/>
      </c>
      <c r="P349" s="819">
        <f>N349*O349</f>
        <v/>
      </c>
      <c r="Q349" s="820">
        <f>E349</f>
        <v/>
      </c>
    </row>
    <row r="350">
      <c r="A350" s="445" t="n"/>
      <c r="B350" s="445" t="n"/>
      <c r="C350" s="445" t="n"/>
      <c r="D350" s="445" t="n"/>
      <c r="E350" s="817" t="n"/>
      <c r="F350" s="447" t="n"/>
      <c r="G350" s="817" t="n"/>
      <c r="H350" s="817" t="n"/>
      <c r="I350" s="817" t="n"/>
      <c r="J350" s="817" t="n"/>
      <c r="K350" s="818">
        <f>B350&amp;"-"&amp;C350</f>
        <v/>
      </c>
      <c r="L350" s="818">
        <f>E350+G350</f>
        <v/>
      </c>
      <c r="M350" s="130">
        <f>IF(H350=0,"No Value",L350/H350)</f>
        <v/>
      </c>
      <c r="N350" s="819">
        <f>IF(I350&lt;&gt;"",I350,IF(L350-H350&lt;=0,0,IF(L350-H350&gt;=E350,E350,L350-H350)))</f>
        <v/>
      </c>
      <c r="O350" s="132">
        <f>IF(I350&lt;&gt;"",100%,IF(A350=$A$5,$B$5,IF(A350=$A$6,$B$6,IF(A350=$A$7,$B$7,IF(A350=$A$8,$B$8,IF(A350=$A$9,$B$9,0))))))</f>
        <v/>
      </c>
      <c r="P350" s="819">
        <f>N350*O350</f>
        <v/>
      </c>
      <c r="Q350" s="820">
        <f>E350</f>
        <v/>
      </c>
    </row>
    <row r="351">
      <c r="A351" s="445" t="n"/>
      <c r="B351" s="445" t="n"/>
      <c r="C351" s="445" t="n"/>
      <c r="D351" s="445" t="n"/>
      <c r="E351" s="817" t="n"/>
      <c r="F351" s="447" t="n"/>
      <c r="G351" s="817" t="n"/>
      <c r="H351" s="817" t="n"/>
      <c r="I351" s="817" t="n"/>
      <c r="J351" s="817" t="n"/>
      <c r="K351" s="818">
        <f>B351&amp;"-"&amp;C351</f>
        <v/>
      </c>
      <c r="L351" s="818">
        <f>E351+G351</f>
        <v/>
      </c>
      <c r="M351" s="130">
        <f>IF(H351=0,"No Value",L351/H351)</f>
        <v/>
      </c>
      <c r="N351" s="819">
        <f>IF(I351&lt;&gt;"",I351,IF(L351-H351&lt;=0,0,IF(L351-H351&gt;=E351,E351,L351-H351)))</f>
        <v/>
      </c>
      <c r="O351" s="132">
        <f>IF(I351&lt;&gt;"",100%,IF(A351=$A$5,$B$5,IF(A351=$A$6,$B$6,IF(A351=$A$7,$B$7,IF(A351=$A$8,$B$8,IF(A351=$A$9,$B$9,0))))))</f>
        <v/>
      </c>
      <c r="P351" s="819">
        <f>N351*O351</f>
        <v/>
      </c>
      <c r="Q351" s="820">
        <f>E351</f>
        <v/>
      </c>
    </row>
    <row r="352">
      <c r="A352" s="445" t="n"/>
      <c r="B352" s="445" t="n"/>
      <c r="C352" s="445" t="n"/>
      <c r="D352" s="445" t="n"/>
      <c r="E352" s="817" t="n"/>
      <c r="F352" s="447" t="n"/>
      <c r="G352" s="817" t="n"/>
      <c r="H352" s="817" t="n"/>
      <c r="I352" s="817" t="n"/>
      <c r="J352" s="817" t="n"/>
      <c r="K352" s="818">
        <f>B352&amp;"-"&amp;C352</f>
        <v/>
      </c>
      <c r="L352" s="818">
        <f>E352+G352</f>
        <v/>
      </c>
      <c r="M352" s="130">
        <f>IF(H352=0,"No Value",L352/H352)</f>
        <v/>
      </c>
      <c r="N352" s="819">
        <f>IF(I352&lt;&gt;"",I352,IF(L352-H352&lt;=0,0,IF(L352-H352&gt;=E352,E352,L352-H352)))</f>
        <v/>
      </c>
      <c r="O352" s="132">
        <f>IF(I352&lt;&gt;"",100%,IF(A352=$A$5,$B$5,IF(A352=$A$6,$B$6,IF(A352=$A$7,$B$7,IF(A352=$A$8,$B$8,IF(A352=$A$9,$B$9,0))))))</f>
        <v/>
      </c>
      <c r="P352" s="819">
        <f>N352*O352</f>
        <v/>
      </c>
      <c r="Q352" s="820">
        <f>E352</f>
        <v/>
      </c>
    </row>
    <row r="353">
      <c r="A353" s="445" t="n"/>
      <c r="B353" s="445" t="n"/>
      <c r="C353" s="445" t="n"/>
      <c r="D353" s="445" t="n"/>
      <c r="E353" s="817" t="n"/>
      <c r="F353" s="447" t="n"/>
      <c r="G353" s="817" t="n"/>
      <c r="H353" s="817" t="n"/>
      <c r="I353" s="817" t="n"/>
      <c r="J353" s="817" t="n"/>
      <c r="K353" s="818">
        <f>B353&amp;"-"&amp;C353</f>
        <v/>
      </c>
      <c r="L353" s="818">
        <f>E353+G353</f>
        <v/>
      </c>
      <c r="M353" s="130">
        <f>IF(H353=0,"No Value",L353/H353)</f>
        <v/>
      </c>
      <c r="N353" s="819">
        <f>IF(I353&lt;&gt;"",I353,IF(L353-H353&lt;=0,0,IF(L353-H353&gt;=E353,E353,L353-H353)))</f>
        <v/>
      </c>
      <c r="O353" s="132">
        <f>IF(I353&lt;&gt;"",100%,IF(A353=$A$5,$B$5,IF(A353=$A$6,$B$6,IF(A353=$A$7,$B$7,IF(A353=$A$8,$B$8,IF(A353=$A$9,$B$9,0))))))</f>
        <v/>
      </c>
      <c r="P353" s="819">
        <f>N353*O353</f>
        <v/>
      </c>
      <c r="Q353" s="820">
        <f>E353</f>
        <v/>
      </c>
    </row>
    <row r="354">
      <c r="A354" s="445" t="n"/>
      <c r="B354" s="445" t="n"/>
      <c r="C354" s="445" t="n"/>
      <c r="D354" s="445" t="n"/>
      <c r="E354" s="817" t="n"/>
      <c r="F354" s="447" t="n"/>
      <c r="G354" s="817" t="n"/>
      <c r="H354" s="817" t="n"/>
      <c r="I354" s="817" t="n"/>
      <c r="J354" s="817" t="n"/>
      <c r="K354" s="818">
        <f>B354&amp;"-"&amp;C354</f>
        <v/>
      </c>
      <c r="L354" s="818">
        <f>E354+G354</f>
        <v/>
      </c>
      <c r="M354" s="130">
        <f>IF(H354=0,"No Value",L354/H354)</f>
        <v/>
      </c>
      <c r="N354" s="819">
        <f>IF(I354&lt;&gt;"",I354,IF(L354-H354&lt;=0,0,IF(L354-H354&gt;=E354,E354,L354-H354)))</f>
        <v/>
      </c>
      <c r="O354" s="132">
        <f>IF(I354&lt;&gt;"",100%,IF(A354=$A$5,$B$5,IF(A354=$A$6,$B$6,IF(A354=$A$7,$B$7,IF(A354=$A$8,$B$8,IF(A354=$A$9,$B$9,0))))))</f>
        <v/>
      </c>
      <c r="P354" s="819">
        <f>N354*O354</f>
        <v/>
      </c>
      <c r="Q354" s="820">
        <f>E354</f>
        <v/>
      </c>
    </row>
    <row r="355">
      <c r="A355" s="445" t="n"/>
      <c r="B355" s="445" t="n"/>
      <c r="C355" s="445" t="n"/>
      <c r="D355" s="445" t="n"/>
      <c r="E355" s="817" t="n"/>
      <c r="F355" s="447" t="n"/>
      <c r="G355" s="817" t="n"/>
      <c r="H355" s="817" t="n"/>
      <c r="I355" s="817" t="n"/>
      <c r="J355" s="817" t="n"/>
      <c r="K355" s="818">
        <f>B355&amp;"-"&amp;C355</f>
        <v/>
      </c>
      <c r="L355" s="818">
        <f>E355+G355</f>
        <v/>
      </c>
      <c r="M355" s="130">
        <f>IF(H355=0,"No Value",L355/H355)</f>
        <v/>
      </c>
      <c r="N355" s="819">
        <f>IF(I355&lt;&gt;"",I355,IF(L355-H355&lt;=0,0,IF(L355-H355&gt;=E355,E355,L355-H355)))</f>
        <v/>
      </c>
      <c r="O355" s="132">
        <f>IF(I355&lt;&gt;"",100%,IF(A355=$A$5,$B$5,IF(A355=$A$6,$B$6,IF(A355=$A$7,$B$7,IF(A355=$A$8,$B$8,IF(A355=$A$9,$B$9,0))))))</f>
        <v/>
      </c>
      <c r="P355" s="819">
        <f>N355*O355</f>
        <v/>
      </c>
      <c r="Q355" s="820">
        <f>E355</f>
        <v/>
      </c>
    </row>
    <row r="356">
      <c r="A356" s="445" t="n"/>
      <c r="B356" s="445" t="n"/>
      <c r="C356" s="445" t="n"/>
      <c r="D356" s="445" t="n"/>
      <c r="E356" s="817" t="n"/>
      <c r="F356" s="447" t="n"/>
      <c r="G356" s="817" t="n"/>
      <c r="H356" s="817" t="n"/>
      <c r="I356" s="817" t="n"/>
      <c r="J356" s="817" t="n"/>
      <c r="K356" s="818">
        <f>B356&amp;"-"&amp;C356</f>
        <v/>
      </c>
      <c r="L356" s="818">
        <f>E356+G356</f>
        <v/>
      </c>
      <c r="M356" s="130">
        <f>IF(H356=0,"No Value",L356/H356)</f>
        <v/>
      </c>
      <c r="N356" s="819">
        <f>IF(I356&lt;&gt;"",I356,IF(L356-H356&lt;=0,0,IF(L356-H356&gt;=E356,E356,L356-H356)))</f>
        <v/>
      </c>
      <c r="O356" s="132">
        <f>IF(I356&lt;&gt;"",100%,IF(A356=$A$5,$B$5,IF(A356=$A$6,$B$6,IF(A356=$A$7,$B$7,IF(A356=$A$8,$B$8,IF(A356=$A$9,$B$9,0))))))</f>
        <v/>
      </c>
      <c r="P356" s="819">
        <f>N356*O356</f>
        <v/>
      </c>
      <c r="Q356" s="820">
        <f>E356</f>
        <v/>
      </c>
    </row>
    <row r="357">
      <c r="A357" s="445" t="n"/>
      <c r="B357" s="445" t="n"/>
      <c r="C357" s="445" t="n"/>
      <c r="D357" s="445" t="n"/>
      <c r="E357" s="817" t="n"/>
      <c r="F357" s="447" t="n"/>
      <c r="G357" s="817" t="n"/>
      <c r="H357" s="817" t="n"/>
      <c r="I357" s="817" t="n"/>
      <c r="J357" s="817" t="n"/>
      <c r="K357" s="818">
        <f>B357&amp;"-"&amp;C357</f>
        <v/>
      </c>
      <c r="L357" s="818">
        <f>E357+G357</f>
        <v/>
      </c>
      <c r="M357" s="130">
        <f>IF(H357=0,"No Value",L357/H357)</f>
        <v/>
      </c>
      <c r="N357" s="819">
        <f>IF(I357&lt;&gt;"",I357,IF(L357-H357&lt;=0,0,IF(L357-H357&gt;=E357,E357,L357-H357)))</f>
        <v/>
      </c>
      <c r="O357" s="132">
        <f>IF(I357&lt;&gt;"",100%,IF(A357=$A$5,$B$5,IF(A357=$A$6,$B$6,IF(A357=$A$7,$B$7,IF(A357=$A$8,$B$8,IF(A357=$A$9,$B$9,0))))))</f>
        <v/>
      </c>
      <c r="P357" s="819">
        <f>N357*O357</f>
        <v/>
      </c>
      <c r="Q357" s="820">
        <f>E357</f>
        <v/>
      </c>
    </row>
    <row r="358">
      <c r="A358" s="445" t="n"/>
      <c r="B358" s="445" t="n"/>
      <c r="C358" s="445" t="n"/>
      <c r="D358" s="445" t="n"/>
      <c r="E358" s="817" t="n"/>
      <c r="F358" s="447" t="n"/>
      <c r="G358" s="817" t="n"/>
      <c r="H358" s="817" t="n"/>
      <c r="I358" s="817" t="n"/>
      <c r="J358" s="817" t="n"/>
      <c r="K358" s="818">
        <f>B358&amp;"-"&amp;C358</f>
        <v/>
      </c>
      <c r="L358" s="818">
        <f>E358+G358</f>
        <v/>
      </c>
      <c r="M358" s="130">
        <f>IF(H358=0,"No Value",L358/H358)</f>
        <v/>
      </c>
      <c r="N358" s="819">
        <f>IF(I358&lt;&gt;"",I358,IF(L358-H358&lt;=0,0,IF(L358-H358&gt;=E358,E358,L358-H358)))</f>
        <v/>
      </c>
      <c r="O358" s="132">
        <f>IF(I358&lt;&gt;"",100%,IF(A358=$A$5,$B$5,IF(A358=$A$6,$B$6,IF(A358=$A$7,$B$7,IF(A358=$A$8,$B$8,IF(A358=$A$9,$B$9,0))))))</f>
        <v/>
      </c>
      <c r="P358" s="819">
        <f>N358*O358</f>
        <v/>
      </c>
      <c r="Q358" s="820">
        <f>E358</f>
        <v/>
      </c>
    </row>
    <row r="359">
      <c r="A359" s="445" t="n"/>
      <c r="B359" s="445" t="n"/>
      <c r="C359" s="445" t="n"/>
      <c r="D359" s="445" t="n"/>
      <c r="E359" s="817" t="n"/>
      <c r="F359" s="447" t="n"/>
      <c r="G359" s="817" t="n"/>
      <c r="H359" s="817" t="n"/>
      <c r="I359" s="817" t="n"/>
      <c r="J359" s="817" t="n"/>
      <c r="K359" s="818">
        <f>B359&amp;"-"&amp;C359</f>
        <v/>
      </c>
      <c r="L359" s="818">
        <f>E359+G359</f>
        <v/>
      </c>
      <c r="M359" s="130">
        <f>IF(H359=0,"No Value",L359/H359)</f>
        <v/>
      </c>
      <c r="N359" s="819">
        <f>IF(I359&lt;&gt;"",I359,IF(L359-H359&lt;=0,0,IF(L359-H359&gt;=E359,E359,L359-H359)))</f>
        <v/>
      </c>
      <c r="O359" s="132">
        <f>IF(I359&lt;&gt;"",100%,IF(A359=$A$5,$B$5,IF(A359=$A$6,$B$6,IF(A359=$A$7,$B$7,IF(A359=$A$8,$B$8,IF(A359=$A$9,$B$9,0))))))</f>
        <v/>
      </c>
      <c r="P359" s="819">
        <f>N359*O359</f>
        <v/>
      </c>
      <c r="Q359" s="820">
        <f>E359</f>
        <v/>
      </c>
    </row>
    <row r="360">
      <c r="A360" s="445" t="n"/>
      <c r="B360" s="445" t="n"/>
      <c r="C360" s="445" t="n"/>
      <c r="D360" s="445" t="n"/>
      <c r="E360" s="817" t="n"/>
      <c r="F360" s="447" t="n"/>
      <c r="G360" s="817" t="n"/>
      <c r="H360" s="817" t="n"/>
      <c r="I360" s="817" t="n"/>
      <c r="J360" s="817" t="n"/>
      <c r="K360" s="818">
        <f>B360&amp;"-"&amp;C360</f>
        <v/>
      </c>
      <c r="L360" s="818">
        <f>E360+G360</f>
        <v/>
      </c>
      <c r="M360" s="130">
        <f>IF(H360=0,"No Value",L360/H360)</f>
        <v/>
      </c>
      <c r="N360" s="819">
        <f>IF(I360&lt;&gt;"",I360,IF(L360-H360&lt;=0,0,IF(L360-H360&gt;=E360,E360,L360-H360)))</f>
        <v/>
      </c>
      <c r="O360" s="132">
        <f>IF(I360&lt;&gt;"",100%,IF(A360=$A$5,$B$5,IF(A360=$A$6,$B$6,IF(A360=$A$7,$B$7,IF(A360=$A$8,$B$8,IF(A360=$A$9,$B$9,0))))))</f>
        <v/>
      </c>
      <c r="P360" s="819">
        <f>N360*O360</f>
        <v/>
      </c>
      <c r="Q360" s="820">
        <f>E360</f>
        <v/>
      </c>
    </row>
    <row r="361">
      <c r="A361" s="445" t="n"/>
      <c r="B361" s="445" t="n"/>
      <c r="C361" s="445" t="n"/>
      <c r="D361" s="445" t="n"/>
      <c r="E361" s="817" t="n"/>
      <c r="F361" s="447" t="n"/>
      <c r="G361" s="817" t="n"/>
      <c r="H361" s="817" t="n"/>
      <c r="I361" s="817" t="n"/>
      <c r="J361" s="817" t="n"/>
      <c r="K361" s="818">
        <f>B361&amp;"-"&amp;C361</f>
        <v/>
      </c>
      <c r="L361" s="818">
        <f>E361+G361</f>
        <v/>
      </c>
      <c r="M361" s="130">
        <f>IF(H361=0,"No Value",L361/H361)</f>
        <v/>
      </c>
      <c r="N361" s="819">
        <f>IF(I361&lt;&gt;"",I361,IF(L361-H361&lt;=0,0,IF(L361-H361&gt;=E361,E361,L361-H361)))</f>
        <v/>
      </c>
      <c r="O361" s="132">
        <f>IF(I361&lt;&gt;"",100%,IF(A361=$A$5,$B$5,IF(A361=$A$6,$B$6,IF(A361=$A$7,$B$7,IF(A361=$A$8,$B$8,IF(A361=$A$9,$B$9,0))))))</f>
        <v/>
      </c>
      <c r="P361" s="819">
        <f>N361*O361</f>
        <v/>
      </c>
      <c r="Q361" s="820">
        <f>E361</f>
        <v/>
      </c>
    </row>
    <row r="362">
      <c r="A362" s="445" t="n"/>
      <c r="B362" s="445" t="n"/>
      <c r="C362" s="445" t="n"/>
      <c r="D362" s="445" t="n"/>
      <c r="E362" s="817" t="n"/>
      <c r="F362" s="447" t="n"/>
      <c r="G362" s="817" t="n"/>
      <c r="H362" s="817" t="n"/>
      <c r="I362" s="817" t="n"/>
      <c r="J362" s="817" t="n"/>
      <c r="K362" s="818">
        <f>B362&amp;"-"&amp;C362</f>
        <v/>
      </c>
      <c r="L362" s="818">
        <f>E362+G362</f>
        <v/>
      </c>
      <c r="M362" s="130">
        <f>IF(H362=0,"No Value",L362/H362)</f>
        <v/>
      </c>
      <c r="N362" s="819">
        <f>IF(I362&lt;&gt;"",I362,IF(L362-H362&lt;=0,0,IF(L362-H362&gt;=E362,E362,L362-H362)))</f>
        <v/>
      </c>
      <c r="O362" s="132">
        <f>IF(I362&lt;&gt;"",100%,IF(A362=$A$5,$B$5,IF(A362=$A$6,$B$6,IF(A362=$A$7,$B$7,IF(A362=$A$8,$B$8,IF(A362=$A$9,$B$9,0))))))</f>
        <v/>
      </c>
      <c r="P362" s="819">
        <f>N362*O362</f>
        <v/>
      </c>
      <c r="Q362" s="820">
        <f>E362</f>
        <v/>
      </c>
    </row>
    <row r="363">
      <c r="A363" s="445" t="n"/>
      <c r="B363" s="445" t="n"/>
      <c r="C363" s="445" t="n"/>
      <c r="D363" s="445" t="n"/>
      <c r="E363" s="817" t="n"/>
      <c r="F363" s="447" t="n"/>
      <c r="G363" s="817" t="n"/>
      <c r="H363" s="817" t="n"/>
      <c r="I363" s="817" t="n"/>
      <c r="J363" s="817" t="n"/>
      <c r="K363" s="818">
        <f>B363&amp;"-"&amp;C363</f>
        <v/>
      </c>
      <c r="L363" s="818">
        <f>E363+G363</f>
        <v/>
      </c>
      <c r="M363" s="130">
        <f>IF(H363=0,"No Value",L363/H363)</f>
        <v/>
      </c>
      <c r="N363" s="819">
        <f>IF(I363&lt;&gt;"",I363,IF(L363-H363&lt;=0,0,IF(L363-H363&gt;=E363,E363,L363-H363)))</f>
        <v/>
      </c>
      <c r="O363" s="132">
        <f>IF(I363&lt;&gt;"",100%,IF(A363=$A$5,$B$5,IF(A363=$A$6,$B$6,IF(A363=$A$7,$B$7,IF(A363=$A$8,$B$8,IF(A363=$A$9,$B$9,0))))))</f>
        <v/>
      </c>
      <c r="P363" s="819">
        <f>N363*O363</f>
        <v/>
      </c>
      <c r="Q363" s="820">
        <f>E363</f>
        <v/>
      </c>
    </row>
    <row r="364">
      <c r="A364" s="445" t="n"/>
      <c r="B364" s="445" t="n"/>
      <c r="C364" s="445" t="n"/>
      <c r="D364" s="445" t="n"/>
      <c r="E364" s="817" t="n"/>
      <c r="F364" s="447" t="n"/>
      <c r="G364" s="817" t="n"/>
      <c r="H364" s="817" t="n"/>
      <c r="I364" s="817" t="n"/>
      <c r="J364" s="817" t="n"/>
      <c r="K364" s="818">
        <f>B364&amp;"-"&amp;C364</f>
        <v/>
      </c>
      <c r="L364" s="818">
        <f>E364+G364</f>
        <v/>
      </c>
      <c r="M364" s="130">
        <f>IF(H364=0,"No Value",L364/H364)</f>
        <v/>
      </c>
      <c r="N364" s="819">
        <f>IF(I364&lt;&gt;"",I364,IF(L364-H364&lt;=0,0,IF(L364-H364&gt;=E364,E364,L364-H364)))</f>
        <v/>
      </c>
      <c r="O364" s="132">
        <f>IF(I364&lt;&gt;"",100%,IF(A364=$A$5,$B$5,IF(A364=$A$6,$B$6,IF(A364=$A$7,$B$7,IF(A364=$A$8,$B$8,IF(A364=$A$9,$B$9,0))))))</f>
        <v/>
      </c>
      <c r="P364" s="819">
        <f>N364*O364</f>
        <v/>
      </c>
      <c r="Q364" s="820">
        <f>E364</f>
        <v/>
      </c>
    </row>
    <row r="365">
      <c r="A365" s="445" t="n"/>
      <c r="B365" s="445" t="n"/>
      <c r="C365" s="445" t="n"/>
      <c r="D365" s="445" t="n"/>
      <c r="E365" s="817" t="n"/>
      <c r="F365" s="447" t="n"/>
      <c r="G365" s="817" t="n"/>
      <c r="H365" s="817" t="n"/>
      <c r="I365" s="817" t="n"/>
      <c r="J365" s="817" t="n"/>
      <c r="K365" s="818">
        <f>B365&amp;"-"&amp;C365</f>
        <v/>
      </c>
      <c r="L365" s="818">
        <f>E365+G365</f>
        <v/>
      </c>
      <c r="M365" s="130">
        <f>IF(H365=0,"No Value",L365/H365)</f>
        <v/>
      </c>
      <c r="N365" s="819">
        <f>IF(I365&lt;&gt;"",I365,IF(L365-H365&lt;=0,0,IF(L365-H365&gt;=E365,E365,L365-H365)))</f>
        <v/>
      </c>
      <c r="O365" s="132">
        <f>IF(I365&lt;&gt;"",100%,IF(A365=$A$5,$B$5,IF(A365=$A$6,$B$6,IF(A365=$A$7,$B$7,IF(A365=$A$8,$B$8,IF(A365=$A$9,$B$9,0))))))</f>
        <v/>
      </c>
      <c r="P365" s="819">
        <f>N365*O365</f>
        <v/>
      </c>
      <c r="Q365" s="820">
        <f>E365</f>
        <v/>
      </c>
    </row>
    <row r="366">
      <c r="A366" s="445" t="n"/>
      <c r="B366" s="445" t="n"/>
      <c r="C366" s="445" t="n"/>
      <c r="D366" s="445" t="n"/>
      <c r="E366" s="817" t="n"/>
      <c r="F366" s="447" t="n"/>
      <c r="G366" s="817" t="n"/>
      <c r="H366" s="817" t="n"/>
      <c r="I366" s="817" t="n"/>
      <c r="J366" s="817" t="n"/>
      <c r="K366" s="818">
        <f>B366&amp;"-"&amp;C366</f>
        <v/>
      </c>
      <c r="L366" s="818">
        <f>E366+G366</f>
        <v/>
      </c>
      <c r="M366" s="130">
        <f>IF(H366=0,"No Value",L366/H366)</f>
        <v/>
      </c>
      <c r="N366" s="819">
        <f>IF(I366&lt;&gt;"",I366,IF(L366-H366&lt;=0,0,IF(L366-H366&gt;=E366,E366,L366-H366)))</f>
        <v/>
      </c>
      <c r="O366" s="132">
        <f>IF(I366&lt;&gt;"",100%,IF(A366=$A$5,$B$5,IF(A366=$A$6,$B$6,IF(A366=$A$7,$B$7,IF(A366=$A$8,$B$8,IF(A366=$A$9,$B$9,0))))))</f>
        <v/>
      </c>
      <c r="P366" s="819">
        <f>N366*O366</f>
        <v/>
      </c>
      <c r="Q366" s="820">
        <f>E366</f>
        <v/>
      </c>
    </row>
    <row r="367">
      <c r="A367" s="445" t="n"/>
      <c r="B367" s="445" t="n"/>
      <c r="C367" s="445" t="n"/>
      <c r="D367" s="445" t="n"/>
      <c r="E367" s="817" t="n"/>
      <c r="F367" s="447" t="n"/>
      <c r="G367" s="817" t="n"/>
      <c r="H367" s="817" t="n"/>
      <c r="I367" s="817" t="n"/>
      <c r="J367" s="817" t="n"/>
      <c r="K367" s="818">
        <f>B367&amp;"-"&amp;C367</f>
        <v/>
      </c>
      <c r="L367" s="818">
        <f>E367+G367</f>
        <v/>
      </c>
      <c r="M367" s="130">
        <f>IF(H367=0,"No Value",L367/H367)</f>
        <v/>
      </c>
      <c r="N367" s="819">
        <f>IF(I367&lt;&gt;"",I367,IF(L367-H367&lt;=0,0,IF(L367-H367&gt;=E367,E367,L367-H367)))</f>
        <v/>
      </c>
      <c r="O367" s="132">
        <f>IF(I367&lt;&gt;"",100%,IF(A367=$A$5,$B$5,IF(A367=$A$6,$B$6,IF(A367=$A$7,$B$7,IF(A367=$A$8,$B$8,IF(A367=$A$9,$B$9,0))))))</f>
        <v/>
      </c>
      <c r="P367" s="819">
        <f>N367*O367</f>
        <v/>
      </c>
      <c r="Q367" s="820">
        <f>E367</f>
        <v/>
      </c>
    </row>
    <row r="368">
      <c r="A368" s="445" t="n"/>
      <c r="B368" s="445" t="n"/>
      <c r="C368" s="445" t="n"/>
      <c r="D368" s="445" t="n"/>
      <c r="E368" s="817" t="n"/>
      <c r="F368" s="447" t="n"/>
      <c r="G368" s="817" t="n"/>
      <c r="H368" s="817" t="n"/>
      <c r="I368" s="817" t="n"/>
      <c r="J368" s="817" t="n"/>
      <c r="K368" s="818">
        <f>B368&amp;"-"&amp;C368</f>
        <v/>
      </c>
      <c r="L368" s="818">
        <f>E368+G368</f>
        <v/>
      </c>
      <c r="M368" s="130">
        <f>IF(H368=0,"No Value",L368/H368)</f>
        <v/>
      </c>
      <c r="N368" s="819">
        <f>IF(I368&lt;&gt;"",I368,IF(L368-H368&lt;=0,0,IF(L368-H368&gt;=E368,E368,L368-H368)))</f>
        <v/>
      </c>
      <c r="O368" s="132">
        <f>IF(I368&lt;&gt;"",100%,IF(A368=$A$5,$B$5,IF(A368=$A$6,$B$6,IF(A368=$A$7,$B$7,IF(A368=$A$8,$B$8,IF(A368=$A$9,$B$9,0))))))</f>
        <v/>
      </c>
      <c r="P368" s="819">
        <f>N368*O368</f>
        <v/>
      </c>
      <c r="Q368" s="820">
        <f>E368</f>
        <v/>
      </c>
    </row>
    <row r="369">
      <c r="A369" s="445" t="n"/>
      <c r="B369" s="445" t="n"/>
      <c r="C369" s="445" t="n"/>
      <c r="D369" s="445" t="n"/>
      <c r="E369" s="817" t="n"/>
      <c r="F369" s="447" t="n"/>
      <c r="G369" s="817" t="n"/>
      <c r="H369" s="817" t="n"/>
      <c r="I369" s="817" t="n"/>
      <c r="J369" s="817" t="n"/>
      <c r="K369" s="818">
        <f>B369&amp;"-"&amp;C369</f>
        <v/>
      </c>
      <c r="L369" s="818">
        <f>E369+G369</f>
        <v/>
      </c>
      <c r="M369" s="130">
        <f>IF(H369=0,"No Value",L369/H369)</f>
        <v/>
      </c>
      <c r="N369" s="819">
        <f>IF(I369&lt;&gt;"",I369,IF(L369-H369&lt;=0,0,IF(L369-H369&gt;=E369,E369,L369-H369)))</f>
        <v/>
      </c>
      <c r="O369" s="132">
        <f>IF(I369&lt;&gt;"",100%,IF(A369=$A$5,$B$5,IF(A369=$A$6,$B$6,IF(A369=$A$7,$B$7,IF(A369=$A$8,$B$8,IF(A369=$A$9,$B$9,0))))))</f>
        <v/>
      </c>
      <c r="P369" s="819">
        <f>N369*O369</f>
        <v/>
      </c>
      <c r="Q369" s="820">
        <f>E369</f>
        <v/>
      </c>
    </row>
    <row r="370">
      <c r="A370" s="445" t="n"/>
      <c r="B370" s="445" t="n"/>
      <c r="C370" s="445" t="n"/>
      <c r="D370" s="445" t="n"/>
      <c r="E370" s="817" t="n"/>
      <c r="F370" s="447" t="n"/>
      <c r="G370" s="817" t="n"/>
      <c r="H370" s="817" t="n"/>
      <c r="I370" s="817" t="n"/>
      <c r="J370" s="817" t="n"/>
      <c r="K370" s="818">
        <f>B370&amp;"-"&amp;C370</f>
        <v/>
      </c>
      <c r="L370" s="818">
        <f>E370+G370</f>
        <v/>
      </c>
      <c r="M370" s="130">
        <f>IF(H370=0,"No Value",L370/H370)</f>
        <v/>
      </c>
      <c r="N370" s="819">
        <f>IF(I370&lt;&gt;"",I370,IF(L370-H370&lt;=0,0,IF(L370-H370&gt;=E370,E370,L370-H370)))</f>
        <v/>
      </c>
      <c r="O370" s="132">
        <f>IF(I370&lt;&gt;"",100%,IF(A370=$A$5,$B$5,IF(A370=$A$6,$B$6,IF(A370=$A$7,$B$7,IF(A370=$A$8,$B$8,IF(A370=$A$9,$B$9,0))))))</f>
        <v/>
      </c>
      <c r="P370" s="819">
        <f>N370*O370</f>
        <v/>
      </c>
      <c r="Q370" s="820">
        <f>E370</f>
        <v/>
      </c>
    </row>
    <row r="371">
      <c r="A371" s="445" t="n"/>
      <c r="B371" s="445" t="n"/>
      <c r="C371" s="445" t="n"/>
      <c r="D371" s="445" t="n"/>
      <c r="E371" s="817" t="n"/>
      <c r="F371" s="447" t="n"/>
      <c r="G371" s="817" t="n"/>
      <c r="H371" s="817" t="n"/>
      <c r="I371" s="817" t="n"/>
      <c r="J371" s="817" t="n"/>
      <c r="K371" s="818">
        <f>B371&amp;"-"&amp;C371</f>
        <v/>
      </c>
      <c r="L371" s="818">
        <f>E371+G371</f>
        <v/>
      </c>
      <c r="M371" s="130">
        <f>IF(H371=0,"No Value",L371/H371)</f>
        <v/>
      </c>
      <c r="N371" s="819">
        <f>IF(I371&lt;&gt;"",I371,IF(L371-H371&lt;=0,0,IF(L371-H371&gt;=E371,E371,L371-H371)))</f>
        <v/>
      </c>
      <c r="O371" s="132">
        <f>IF(I371&lt;&gt;"",100%,IF(A371=$A$5,$B$5,IF(A371=$A$6,$B$6,IF(A371=$A$7,$B$7,IF(A371=$A$8,$B$8,IF(A371=$A$9,$B$9,0))))))</f>
        <v/>
      </c>
      <c r="P371" s="819">
        <f>N371*O371</f>
        <v/>
      </c>
      <c r="Q371" s="820">
        <f>E371</f>
        <v/>
      </c>
    </row>
    <row r="372">
      <c r="A372" s="445" t="n"/>
      <c r="B372" s="445" t="n"/>
      <c r="C372" s="445" t="n"/>
      <c r="D372" s="445" t="n"/>
      <c r="E372" s="817" t="n"/>
      <c r="F372" s="447" t="n"/>
      <c r="G372" s="817" t="n"/>
      <c r="H372" s="817" t="n"/>
      <c r="I372" s="817" t="n"/>
      <c r="J372" s="817" t="n"/>
      <c r="K372" s="818">
        <f>B372&amp;"-"&amp;C372</f>
        <v/>
      </c>
      <c r="L372" s="818">
        <f>E372+G372</f>
        <v/>
      </c>
      <c r="M372" s="130">
        <f>IF(H372=0,"No Value",L372/H372)</f>
        <v/>
      </c>
      <c r="N372" s="819">
        <f>IF(I372&lt;&gt;"",I372,IF(L372-H372&lt;=0,0,IF(L372-H372&gt;=E372,E372,L372-H372)))</f>
        <v/>
      </c>
      <c r="O372" s="132">
        <f>IF(I372&lt;&gt;"",100%,IF(A372=$A$5,$B$5,IF(A372=$A$6,$B$6,IF(A372=$A$7,$B$7,IF(A372=$A$8,$B$8,IF(A372=$A$9,$B$9,0))))))</f>
        <v/>
      </c>
      <c r="P372" s="819">
        <f>N372*O372</f>
        <v/>
      </c>
      <c r="Q372" s="820">
        <f>E372</f>
        <v/>
      </c>
    </row>
    <row r="373">
      <c r="A373" s="445" t="n"/>
      <c r="B373" s="445" t="n"/>
      <c r="C373" s="445" t="n"/>
      <c r="D373" s="445" t="n"/>
      <c r="E373" s="817" t="n"/>
      <c r="F373" s="447" t="n"/>
      <c r="G373" s="817" t="n"/>
      <c r="H373" s="817" t="n"/>
      <c r="I373" s="817" t="n"/>
      <c r="J373" s="817" t="n"/>
      <c r="K373" s="818">
        <f>B373&amp;"-"&amp;C373</f>
        <v/>
      </c>
      <c r="L373" s="818">
        <f>E373+G373</f>
        <v/>
      </c>
      <c r="M373" s="130">
        <f>IF(H373=0,"No Value",L373/H373)</f>
        <v/>
      </c>
      <c r="N373" s="819">
        <f>IF(I373&lt;&gt;"",I373,IF(L373-H373&lt;=0,0,IF(L373-H373&gt;=E373,E373,L373-H373)))</f>
        <v/>
      </c>
      <c r="O373" s="132">
        <f>IF(I373&lt;&gt;"",100%,IF(A373=$A$5,$B$5,IF(A373=$A$6,$B$6,IF(A373=$A$7,$B$7,IF(A373=$A$8,$B$8,IF(A373=$A$9,$B$9,0))))))</f>
        <v/>
      </c>
      <c r="P373" s="819">
        <f>N373*O373</f>
        <v/>
      </c>
      <c r="Q373" s="820">
        <f>E373</f>
        <v/>
      </c>
    </row>
    <row r="374">
      <c r="A374" s="445" t="n"/>
      <c r="B374" s="445" t="n"/>
      <c r="C374" s="445" t="n"/>
      <c r="D374" s="445" t="n"/>
      <c r="E374" s="817" t="n"/>
      <c r="F374" s="447" t="n"/>
      <c r="G374" s="817" t="n"/>
      <c r="H374" s="817" t="n"/>
      <c r="I374" s="817" t="n"/>
      <c r="J374" s="817" t="n"/>
      <c r="K374" s="818">
        <f>B374&amp;"-"&amp;C374</f>
        <v/>
      </c>
      <c r="L374" s="818">
        <f>E374+G374</f>
        <v/>
      </c>
      <c r="M374" s="130">
        <f>IF(H374=0,"No Value",L374/H374)</f>
        <v/>
      </c>
      <c r="N374" s="819">
        <f>IF(I374&lt;&gt;"",I374,IF(L374-H374&lt;=0,0,IF(L374-H374&gt;=E374,E374,L374-H374)))</f>
        <v/>
      </c>
      <c r="O374" s="132">
        <f>IF(I374&lt;&gt;"",100%,IF(A374=$A$5,$B$5,IF(A374=$A$6,$B$6,IF(A374=$A$7,$B$7,IF(A374=$A$8,$B$8,IF(A374=$A$9,$B$9,0))))))</f>
        <v/>
      </c>
      <c r="P374" s="819">
        <f>N374*O374</f>
        <v/>
      </c>
      <c r="Q374" s="820">
        <f>E374</f>
        <v/>
      </c>
    </row>
    <row r="375">
      <c r="A375" s="445" t="n"/>
      <c r="B375" s="445" t="n"/>
      <c r="C375" s="445" t="n"/>
      <c r="D375" s="445" t="n"/>
      <c r="E375" s="817" t="n"/>
      <c r="F375" s="447" t="n"/>
      <c r="G375" s="817" t="n"/>
      <c r="H375" s="817" t="n"/>
      <c r="I375" s="817" t="n"/>
      <c r="J375" s="817" t="n"/>
      <c r="K375" s="818">
        <f>B375&amp;"-"&amp;C375</f>
        <v/>
      </c>
      <c r="L375" s="818">
        <f>E375+G375</f>
        <v/>
      </c>
      <c r="M375" s="130">
        <f>IF(H375=0,"No Value",L375/H375)</f>
        <v/>
      </c>
      <c r="N375" s="819">
        <f>IF(I375&lt;&gt;"",I375,IF(L375-H375&lt;=0,0,IF(L375-H375&gt;=E375,E375,L375-H375)))</f>
        <v/>
      </c>
      <c r="O375" s="132">
        <f>IF(I375&lt;&gt;"",100%,IF(A375=$A$5,$B$5,IF(A375=$A$6,$B$6,IF(A375=$A$7,$B$7,IF(A375=$A$8,$B$8,IF(A375=$A$9,$B$9,0))))))</f>
        <v/>
      </c>
      <c r="P375" s="819">
        <f>N375*O375</f>
        <v/>
      </c>
      <c r="Q375" s="820">
        <f>E375</f>
        <v/>
      </c>
    </row>
    <row r="376">
      <c r="A376" s="445" t="n"/>
      <c r="B376" s="445" t="n"/>
      <c r="C376" s="445" t="n"/>
      <c r="D376" s="445" t="n"/>
      <c r="E376" s="817" t="n"/>
      <c r="F376" s="447" t="n"/>
      <c r="G376" s="817" t="n"/>
      <c r="H376" s="817" t="n"/>
      <c r="I376" s="817" t="n"/>
      <c r="J376" s="817" t="n"/>
      <c r="K376" s="818">
        <f>B376&amp;"-"&amp;C376</f>
        <v/>
      </c>
      <c r="L376" s="818">
        <f>E376+G376</f>
        <v/>
      </c>
      <c r="M376" s="130">
        <f>IF(H376=0,"No Value",L376/H376)</f>
        <v/>
      </c>
      <c r="N376" s="819">
        <f>IF(I376&lt;&gt;"",I376,IF(L376-H376&lt;=0,0,IF(L376-H376&gt;=E376,E376,L376-H376)))</f>
        <v/>
      </c>
      <c r="O376" s="132">
        <f>IF(I376&lt;&gt;"",100%,IF(A376=$A$5,$B$5,IF(A376=$A$6,$B$6,IF(A376=$A$7,$B$7,IF(A376=$A$8,$B$8,IF(A376=$A$9,$B$9,0))))))</f>
        <v/>
      </c>
      <c r="P376" s="819">
        <f>N376*O376</f>
        <v/>
      </c>
      <c r="Q376" s="820">
        <f>E376</f>
        <v/>
      </c>
    </row>
    <row r="377">
      <c r="A377" s="445" t="n"/>
      <c r="B377" s="445" t="n"/>
      <c r="C377" s="445" t="n"/>
      <c r="D377" s="445" t="n"/>
      <c r="E377" s="817" t="n"/>
      <c r="F377" s="447" t="n"/>
      <c r="G377" s="817" t="n"/>
      <c r="H377" s="817" t="n"/>
      <c r="I377" s="817" t="n"/>
      <c r="J377" s="817" t="n"/>
      <c r="K377" s="818">
        <f>B377&amp;"-"&amp;C377</f>
        <v/>
      </c>
      <c r="L377" s="818">
        <f>E377+G377</f>
        <v/>
      </c>
      <c r="M377" s="130">
        <f>IF(H377=0,"No Value",L377/H377)</f>
        <v/>
      </c>
      <c r="N377" s="819">
        <f>IF(I377&lt;&gt;"",I377,IF(L377-H377&lt;=0,0,IF(L377-H377&gt;=E377,E377,L377-H377)))</f>
        <v/>
      </c>
      <c r="O377" s="132">
        <f>IF(I377&lt;&gt;"",100%,IF(A377=$A$5,$B$5,IF(A377=$A$6,$B$6,IF(A377=$A$7,$B$7,IF(A377=$A$8,$B$8,IF(A377=$A$9,$B$9,0))))))</f>
        <v/>
      </c>
      <c r="P377" s="819">
        <f>N377*O377</f>
        <v/>
      </c>
      <c r="Q377" s="820">
        <f>E377</f>
        <v/>
      </c>
    </row>
    <row r="378">
      <c r="A378" s="445" t="n"/>
      <c r="B378" s="445" t="n"/>
      <c r="C378" s="445" t="n"/>
      <c r="D378" s="445" t="n"/>
      <c r="E378" s="817" t="n"/>
      <c r="F378" s="447" t="n"/>
      <c r="G378" s="817" t="n"/>
      <c r="H378" s="817" t="n"/>
      <c r="I378" s="817" t="n"/>
      <c r="J378" s="817" t="n"/>
      <c r="K378" s="818">
        <f>B378&amp;"-"&amp;C378</f>
        <v/>
      </c>
      <c r="L378" s="818">
        <f>E378+G378</f>
        <v/>
      </c>
      <c r="M378" s="130">
        <f>IF(H378=0,"No Value",L378/H378)</f>
        <v/>
      </c>
      <c r="N378" s="819">
        <f>IF(I378&lt;&gt;"",I378,IF(L378-H378&lt;=0,0,IF(L378-H378&gt;=E378,E378,L378-H378)))</f>
        <v/>
      </c>
      <c r="O378" s="132">
        <f>IF(I378&lt;&gt;"",100%,IF(A378=$A$5,$B$5,IF(A378=$A$6,$B$6,IF(A378=$A$7,$B$7,IF(A378=$A$8,$B$8,IF(A378=$A$9,$B$9,0))))))</f>
        <v/>
      </c>
      <c r="P378" s="819">
        <f>N378*O378</f>
        <v/>
      </c>
      <c r="Q378" s="820">
        <f>E378</f>
        <v/>
      </c>
    </row>
    <row r="379">
      <c r="A379" s="445" t="n"/>
      <c r="B379" s="445" t="n"/>
      <c r="C379" s="445" t="n"/>
      <c r="D379" s="445" t="n"/>
      <c r="E379" s="817" t="n"/>
      <c r="F379" s="447" t="n"/>
      <c r="G379" s="817" t="n"/>
      <c r="H379" s="817" t="n"/>
      <c r="I379" s="817" t="n"/>
      <c r="J379" s="817" t="n"/>
      <c r="K379" s="818">
        <f>B379&amp;"-"&amp;C379</f>
        <v/>
      </c>
      <c r="L379" s="818">
        <f>E379+G379</f>
        <v/>
      </c>
      <c r="M379" s="130">
        <f>IF(H379=0,"No Value",L379/H379)</f>
        <v/>
      </c>
      <c r="N379" s="819">
        <f>IF(I379&lt;&gt;"",I379,IF(L379-H379&lt;=0,0,IF(L379-H379&gt;=E379,E379,L379-H379)))</f>
        <v/>
      </c>
      <c r="O379" s="132">
        <f>IF(I379&lt;&gt;"",100%,IF(A379=$A$5,$B$5,IF(A379=$A$6,$B$6,IF(A379=$A$7,$B$7,IF(A379=$A$8,$B$8,IF(A379=$A$9,$B$9,0))))))</f>
        <v/>
      </c>
      <c r="P379" s="819">
        <f>N379*O379</f>
        <v/>
      </c>
      <c r="Q379" s="820">
        <f>E379</f>
        <v/>
      </c>
    </row>
    <row r="380">
      <c r="A380" s="445" t="n"/>
      <c r="B380" s="445" t="n"/>
      <c r="C380" s="445" t="n"/>
      <c r="D380" s="445" t="n"/>
      <c r="E380" s="817" t="n"/>
      <c r="F380" s="447" t="n"/>
      <c r="G380" s="817" t="n"/>
      <c r="H380" s="817" t="n"/>
      <c r="I380" s="817" t="n"/>
      <c r="J380" s="817" t="n"/>
      <c r="K380" s="818">
        <f>B380&amp;"-"&amp;C380</f>
        <v/>
      </c>
      <c r="L380" s="818">
        <f>E380+G380</f>
        <v/>
      </c>
      <c r="M380" s="130">
        <f>IF(H380=0,"No Value",L380/H380)</f>
        <v/>
      </c>
      <c r="N380" s="819">
        <f>IF(I380&lt;&gt;"",I380,IF(L380-H380&lt;=0,0,IF(L380-H380&gt;=E380,E380,L380-H380)))</f>
        <v/>
      </c>
      <c r="O380" s="132">
        <f>IF(I380&lt;&gt;"",100%,IF(A380=$A$5,$B$5,IF(A380=$A$6,$B$6,IF(A380=$A$7,$B$7,IF(A380=$A$8,$B$8,IF(A380=$A$9,$B$9,0))))))</f>
        <v/>
      </c>
      <c r="P380" s="819">
        <f>N380*O380</f>
        <v/>
      </c>
      <c r="Q380" s="820">
        <f>E380</f>
        <v/>
      </c>
    </row>
    <row r="381">
      <c r="A381" s="445" t="n"/>
      <c r="B381" s="445" t="n"/>
      <c r="C381" s="445" t="n"/>
      <c r="D381" s="445" t="n"/>
      <c r="E381" s="817" t="n"/>
      <c r="F381" s="447" t="n"/>
      <c r="G381" s="817" t="n"/>
      <c r="H381" s="817" t="n"/>
      <c r="I381" s="817" t="n"/>
      <c r="J381" s="817" t="n"/>
      <c r="K381" s="818">
        <f>B381&amp;"-"&amp;C381</f>
        <v/>
      </c>
      <c r="L381" s="818">
        <f>E381+G381</f>
        <v/>
      </c>
      <c r="M381" s="130">
        <f>IF(H381=0,"No Value",L381/H381)</f>
        <v/>
      </c>
      <c r="N381" s="819">
        <f>IF(I381&lt;&gt;"",I381,IF(L381-H381&lt;=0,0,IF(L381-H381&gt;=E381,E381,L381-H381)))</f>
        <v/>
      </c>
      <c r="O381" s="132">
        <f>IF(I381&lt;&gt;"",100%,IF(A381=$A$5,$B$5,IF(A381=$A$6,$B$6,IF(A381=$A$7,$B$7,IF(A381=$A$8,$B$8,IF(A381=$A$9,$B$9,0))))))</f>
        <v/>
      </c>
      <c r="P381" s="819">
        <f>N381*O381</f>
        <v/>
      </c>
      <c r="Q381" s="820">
        <f>E381</f>
        <v/>
      </c>
    </row>
    <row r="382">
      <c r="A382" s="445" t="n"/>
      <c r="B382" s="445" t="n"/>
      <c r="C382" s="445" t="n"/>
      <c r="D382" s="445" t="n"/>
      <c r="E382" s="817" t="n"/>
      <c r="F382" s="447" t="n"/>
      <c r="G382" s="817" t="n"/>
      <c r="H382" s="817" t="n"/>
      <c r="I382" s="817" t="n"/>
      <c r="J382" s="817" t="n"/>
      <c r="K382" s="818">
        <f>B382&amp;"-"&amp;C382</f>
        <v/>
      </c>
      <c r="L382" s="818">
        <f>E382+G382</f>
        <v/>
      </c>
      <c r="M382" s="130">
        <f>IF(H382=0,"No Value",L382/H382)</f>
        <v/>
      </c>
      <c r="N382" s="819">
        <f>IF(I382&lt;&gt;"",I382,IF(L382-H382&lt;=0,0,IF(L382-H382&gt;=E382,E382,L382-H382)))</f>
        <v/>
      </c>
      <c r="O382" s="132">
        <f>IF(I382&lt;&gt;"",100%,IF(A382=$A$5,$B$5,IF(A382=$A$6,$B$6,IF(A382=$A$7,$B$7,IF(A382=$A$8,$B$8,IF(A382=$A$9,$B$9,0))))))</f>
        <v/>
      </c>
      <c r="P382" s="819">
        <f>N382*O382</f>
        <v/>
      </c>
      <c r="Q382" s="820">
        <f>E382</f>
        <v/>
      </c>
    </row>
    <row r="383">
      <c r="A383" s="445" t="n"/>
      <c r="B383" s="445" t="n"/>
      <c r="C383" s="445" t="n"/>
      <c r="D383" s="445" t="n"/>
      <c r="E383" s="817" t="n"/>
      <c r="F383" s="447" t="n"/>
      <c r="G383" s="817" t="n"/>
      <c r="H383" s="817" t="n"/>
      <c r="I383" s="817" t="n"/>
      <c r="J383" s="817" t="n"/>
      <c r="K383" s="818">
        <f>B383&amp;"-"&amp;C383</f>
        <v/>
      </c>
      <c r="L383" s="818">
        <f>E383+G383</f>
        <v/>
      </c>
      <c r="M383" s="130">
        <f>IF(H383=0,"No Value",L383/H383)</f>
        <v/>
      </c>
      <c r="N383" s="819">
        <f>IF(I383&lt;&gt;"",I383,IF(L383-H383&lt;=0,0,IF(L383-H383&gt;=E383,E383,L383-H383)))</f>
        <v/>
      </c>
      <c r="O383" s="132">
        <f>IF(I383&lt;&gt;"",100%,IF(A383=$A$5,$B$5,IF(A383=$A$6,$B$6,IF(A383=$A$7,$B$7,IF(A383=$A$8,$B$8,IF(A383=$A$9,$B$9,0))))))</f>
        <v/>
      </c>
      <c r="P383" s="819">
        <f>N383*O383</f>
        <v/>
      </c>
      <c r="Q383" s="820">
        <f>E383</f>
        <v/>
      </c>
    </row>
    <row r="384">
      <c r="A384" s="445" t="n"/>
      <c r="B384" s="445" t="n"/>
      <c r="C384" s="445" t="n"/>
      <c r="D384" s="445" t="n"/>
      <c r="E384" s="817" t="n"/>
      <c r="F384" s="447" t="n"/>
      <c r="G384" s="817" t="n"/>
      <c r="H384" s="817" t="n"/>
      <c r="I384" s="817" t="n"/>
      <c r="J384" s="817" t="n"/>
      <c r="K384" s="818">
        <f>B384&amp;"-"&amp;C384</f>
        <v/>
      </c>
      <c r="L384" s="818">
        <f>E384+G384</f>
        <v/>
      </c>
      <c r="M384" s="130">
        <f>IF(H384=0,"No Value",L384/H384)</f>
        <v/>
      </c>
      <c r="N384" s="819">
        <f>IF(I384&lt;&gt;"",I384,IF(L384-H384&lt;=0,0,IF(L384-H384&gt;=E384,E384,L384-H384)))</f>
        <v/>
      </c>
      <c r="O384" s="132">
        <f>IF(I384&lt;&gt;"",100%,IF(A384=$A$5,$B$5,IF(A384=$A$6,$B$6,IF(A384=$A$7,$B$7,IF(A384=$A$8,$B$8,IF(A384=$A$9,$B$9,0))))))</f>
        <v/>
      </c>
      <c r="P384" s="819">
        <f>N384*O384</f>
        <v/>
      </c>
      <c r="Q384" s="820">
        <f>E384</f>
        <v/>
      </c>
    </row>
    <row r="385">
      <c r="A385" s="445" t="n"/>
      <c r="B385" s="445" t="n"/>
      <c r="C385" s="445" t="n"/>
      <c r="D385" s="445" t="n"/>
      <c r="E385" s="817" t="n"/>
      <c r="F385" s="447" t="n"/>
      <c r="G385" s="817" t="n"/>
      <c r="H385" s="817" t="n"/>
      <c r="I385" s="817" t="n"/>
      <c r="J385" s="817" t="n"/>
      <c r="K385" s="818">
        <f>B385&amp;"-"&amp;C385</f>
        <v/>
      </c>
      <c r="L385" s="818">
        <f>E385+G385</f>
        <v/>
      </c>
      <c r="M385" s="130">
        <f>IF(H385=0,"No Value",L385/H385)</f>
        <v/>
      </c>
      <c r="N385" s="819">
        <f>IF(I385&lt;&gt;"",I385,IF(L385-H385&lt;=0,0,IF(L385-H385&gt;=E385,E385,L385-H385)))</f>
        <v/>
      </c>
      <c r="O385" s="132">
        <f>IF(I385&lt;&gt;"",100%,IF(A385=$A$5,$B$5,IF(A385=$A$6,$B$6,IF(A385=$A$7,$B$7,IF(A385=$A$8,$B$8,IF(A385=$A$9,$B$9,0))))))</f>
        <v/>
      </c>
      <c r="P385" s="819">
        <f>N385*O385</f>
        <v/>
      </c>
      <c r="Q385" s="820">
        <f>E385</f>
        <v/>
      </c>
    </row>
    <row r="386">
      <c r="A386" s="445" t="n"/>
      <c r="B386" s="445" t="n"/>
      <c r="C386" s="445" t="n"/>
      <c r="D386" s="445" t="n"/>
      <c r="E386" s="817" t="n"/>
      <c r="F386" s="447" t="n"/>
      <c r="G386" s="817" t="n"/>
      <c r="H386" s="817" t="n"/>
      <c r="I386" s="817" t="n"/>
      <c r="J386" s="817" t="n"/>
      <c r="K386" s="818">
        <f>B386&amp;"-"&amp;C386</f>
        <v/>
      </c>
      <c r="L386" s="818">
        <f>E386+G386</f>
        <v/>
      </c>
      <c r="M386" s="130">
        <f>IF(H386=0,"No Value",L386/H386)</f>
        <v/>
      </c>
      <c r="N386" s="819">
        <f>IF(I386&lt;&gt;"",I386,IF(L386-H386&lt;=0,0,IF(L386-H386&gt;=E386,E386,L386-H386)))</f>
        <v/>
      </c>
      <c r="O386" s="132">
        <f>IF(I386&lt;&gt;"",100%,IF(A386=$A$5,$B$5,IF(A386=$A$6,$B$6,IF(A386=$A$7,$B$7,IF(A386=$A$8,$B$8,IF(A386=$A$9,$B$9,0))))))</f>
        <v/>
      </c>
      <c r="P386" s="819">
        <f>N386*O386</f>
        <v/>
      </c>
      <c r="Q386" s="820">
        <f>E386</f>
        <v/>
      </c>
    </row>
    <row r="387">
      <c r="A387" s="445" t="n"/>
      <c r="B387" s="445" t="n"/>
      <c r="C387" s="445" t="n"/>
      <c r="D387" s="445" t="n"/>
      <c r="E387" s="817" t="n"/>
      <c r="F387" s="447" t="n"/>
      <c r="G387" s="817" t="n"/>
      <c r="H387" s="817" t="n"/>
      <c r="I387" s="817" t="n"/>
      <c r="J387" s="817" t="n"/>
      <c r="K387" s="818">
        <f>B387&amp;"-"&amp;C387</f>
        <v/>
      </c>
      <c r="L387" s="818">
        <f>E387+G387</f>
        <v/>
      </c>
      <c r="M387" s="130">
        <f>IF(H387=0,"No Value",L387/H387)</f>
        <v/>
      </c>
      <c r="N387" s="819">
        <f>IF(I387&lt;&gt;"",I387,IF(L387-H387&lt;=0,0,IF(L387-H387&gt;=E387,E387,L387-H387)))</f>
        <v/>
      </c>
      <c r="O387" s="132">
        <f>IF(I387&lt;&gt;"",100%,IF(A387=$A$5,$B$5,IF(A387=$A$6,$B$6,IF(A387=$A$7,$B$7,IF(A387=$A$8,$B$8,IF(A387=$A$9,$B$9,0))))))</f>
        <v/>
      </c>
      <c r="P387" s="819">
        <f>N387*O387</f>
        <v/>
      </c>
      <c r="Q387" s="820">
        <f>E387</f>
        <v/>
      </c>
    </row>
    <row r="388">
      <c r="A388" s="445" t="n"/>
      <c r="B388" s="445" t="n"/>
      <c r="C388" s="445" t="n"/>
      <c r="D388" s="445" t="n"/>
      <c r="E388" s="817" t="n"/>
      <c r="F388" s="447" t="n"/>
      <c r="G388" s="817" t="n"/>
      <c r="H388" s="817" t="n"/>
      <c r="I388" s="817" t="n"/>
      <c r="J388" s="817" t="n"/>
      <c r="K388" s="818">
        <f>B388&amp;"-"&amp;C388</f>
        <v/>
      </c>
      <c r="L388" s="818">
        <f>E388+G388</f>
        <v/>
      </c>
      <c r="M388" s="130">
        <f>IF(H388=0,"No Value",L388/H388)</f>
        <v/>
      </c>
      <c r="N388" s="819">
        <f>IF(I388&lt;&gt;"",I388,IF(L388-H388&lt;=0,0,IF(L388-H388&gt;=E388,E388,L388-H388)))</f>
        <v/>
      </c>
      <c r="O388" s="132">
        <f>IF(I388&lt;&gt;"",100%,IF(A388=$A$5,$B$5,IF(A388=$A$6,$B$6,IF(A388=$A$7,$B$7,IF(A388=$A$8,$B$8,IF(A388=$A$9,$B$9,0))))))</f>
        <v/>
      </c>
      <c r="P388" s="819">
        <f>N388*O388</f>
        <v/>
      </c>
      <c r="Q388" s="820">
        <f>E388</f>
        <v/>
      </c>
    </row>
    <row r="389">
      <c r="A389" s="445" t="n"/>
      <c r="B389" s="445" t="n"/>
      <c r="C389" s="445" t="n"/>
      <c r="D389" s="445" t="n"/>
      <c r="E389" s="817" t="n"/>
      <c r="F389" s="447" t="n"/>
      <c r="G389" s="817" t="n"/>
      <c r="H389" s="817" t="n"/>
      <c r="I389" s="817" t="n"/>
      <c r="J389" s="817" t="n"/>
      <c r="K389" s="818">
        <f>B389&amp;"-"&amp;C389</f>
        <v/>
      </c>
      <c r="L389" s="818">
        <f>E389+G389</f>
        <v/>
      </c>
      <c r="M389" s="130">
        <f>IF(H389=0,"No Value",L389/H389)</f>
        <v/>
      </c>
      <c r="N389" s="819">
        <f>IF(I389&lt;&gt;"",I389,IF(L389-H389&lt;=0,0,IF(L389-H389&gt;=E389,E389,L389-H389)))</f>
        <v/>
      </c>
      <c r="O389" s="132">
        <f>IF(I389&lt;&gt;"",100%,IF(A389=$A$5,$B$5,IF(A389=$A$6,$B$6,IF(A389=$A$7,$B$7,IF(A389=$A$8,$B$8,IF(A389=$A$9,$B$9,0))))))</f>
        <v/>
      </c>
      <c r="P389" s="819">
        <f>N389*O389</f>
        <v/>
      </c>
      <c r="Q389" s="820">
        <f>E389</f>
        <v/>
      </c>
    </row>
    <row r="390">
      <c r="A390" s="445" t="n"/>
      <c r="B390" s="445" t="n"/>
      <c r="C390" s="445" t="n"/>
      <c r="D390" s="445" t="n"/>
      <c r="E390" s="817" t="n"/>
      <c r="F390" s="447" t="n"/>
      <c r="G390" s="817" t="n"/>
      <c r="H390" s="817" t="n"/>
      <c r="I390" s="817" t="n"/>
      <c r="J390" s="817" t="n"/>
      <c r="K390" s="818">
        <f>B390&amp;"-"&amp;C390</f>
        <v/>
      </c>
      <c r="L390" s="818">
        <f>E390+G390</f>
        <v/>
      </c>
      <c r="M390" s="130">
        <f>IF(H390=0,"No Value",L390/H390)</f>
        <v/>
      </c>
      <c r="N390" s="819">
        <f>IF(I390&lt;&gt;"",I390,IF(L390-H390&lt;=0,0,IF(L390-H390&gt;=E390,E390,L390-H390)))</f>
        <v/>
      </c>
      <c r="O390" s="132">
        <f>IF(I390&lt;&gt;"",100%,IF(A390=$A$5,$B$5,IF(A390=$A$6,$B$6,IF(A390=$A$7,$B$7,IF(A390=$A$8,$B$8,IF(A390=$A$9,$B$9,0))))))</f>
        <v/>
      </c>
      <c r="P390" s="819">
        <f>N390*O390</f>
        <v/>
      </c>
      <c r="Q390" s="820">
        <f>E390</f>
        <v/>
      </c>
    </row>
    <row r="391">
      <c r="A391" s="445" t="n"/>
      <c r="B391" s="445" t="n"/>
      <c r="C391" s="445" t="n"/>
      <c r="D391" s="445" t="n"/>
      <c r="E391" s="817" t="n"/>
      <c r="F391" s="447" t="n"/>
      <c r="G391" s="817" t="n"/>
      <c r="H391" s="817" t="n"/>
      <c r="I391" s="817" t="n"/>
      <c r="J391" s="817" t="n"/>
      <c r="K391" s="818">
        <f>B391&amp;"-"&amp;C391</f>
        <v/>
      </c>
      <c r="L391" s="818">
        <f>E391+G391</f>
        <v/>
      </c>
      <c r="M391" s="130">
        <f>IF(H391=0,"No Value",L391/H391)</f>
        <v/>
      </c>
      <c r="N391" s="819">
        <f>IF(I391&lt;&gt;"",I391,IF(L391-H391&lt;=0,0,IF(L391-H391&gt;=E391,E391,L391-H391)))</f>
        <v/>
      </c>
      <c r="O391" s="132">
        <f>IF(I391&lt;&gt;"",100%,IF(A391=$A$5,$B$5,IF(A391=$A$6,$B$6,IF(A391=$A$7,$B$7,IF(A391=$A$8,$B$8,IF(A391=$A$9,$B$9,0))))))</f>
        <v/>
      </c>
      <c r="P391" s="819">
        <f>N391*O391</f>
        <v/>
      </c>
      <c r="Q391" s="820">
        <f>E391</f>
        <v/>
      </c>
    </row>
    <row r="392">
      <c r="A392" s="445" t="n"/>
      <c r="B392" s="445" t="n"/>
      <c r="C392" s="445" t="n"/>
      <c r="D392" s="445" t="n"/>
      <c r="E392" s="817" t="n"/>
      <c r="F392" s="447" t="n"/>
      <c r="G392" s="817" t="n"/>
      <c r="H392" s="817" t="n"/>
      <c r="I392" s="817" t="n"/>
      <c r="J392" s="817" t="n"/>
      <c r="K392" s="818">
        <f>B392&amp;"-"&amp;C392</f>
        <v/>
      </c>
      <c r="L392" s="818">
        <f>E392+G392</f>
        <v/>
      </c>
      <c r="M392" s="130">
        <f>IF(H392=0,"No Value",L392/H392)</f>
        <v/>
      </c>
      <c r="N392" s="819">
        <f>IF(I392&lt;&gt;"",I392,IF(L392-H392&lt;=0,0,IF(L392-H392&gt;=E392,E392,L392-H392)))</f>
        <v/>
      </c>
      <c r="O392" s="132">
        <f>IF(I392&lt;&gt;"",100%,IF(A392=$A$5,$B$5,IF(A392=$A$6,$B$6,IF(A392=$A$7,$B$7,IF(A392=$A$8,$B$8,IF(A392=$A$9,$B$9,0))))))</f>
        <v/>
      </c>
      <c r="P392" s="819">
        <f>N392*O392</f>
        <v/>
      </c>
      <c r="Q392" s="820">
        <f>E392</f>
        <v/>
      </c>
    </row>
    <row r="393">
      <c r="A393" s="445" t="n"/>
      <c r="B393" s="445" t="n"/>
      <c r="C393" s="445" t="n"/>
      <c r="D393" s="445" t="n"/>
      <c r="E393" s="817" t="n"/>
      <c r="F393" s="447" t="n"/>
      <c r="G393" s="817" t="n"/>
      <c r="H393" s="817" t="n"/>
      <c r="I393" s="817" t="n"/>
      <c r="J393" s="817" t="n"/>
      <c r="K393" s="818">
        <f>B393&amp;"-"&amp;C393</f>
        <v/>
      </c>
      <c r="L393" s="818">
        <f>E393+G393</f>
        <v/>
      </c>
      <c r="M393" s="130">
        <f>IF(H393=0,"No Value",L393/H393)</f>
        <v/>
      </c>
      <c r="N393" s="819">
        <f>IF(I393&lt;&gt;"",I393,IF(L393-H393&lt;=0,0,IF(L393-H393&gt;=E393,E393,L393-H393)))</f>
        <v/>
      </c>
      <c r="O393" s="132">
        <f>IF(I393&lt;&gt;"",100%,IF(A393=$A$5,$B$5,IF(A393=$A$6,$B$6,IF(A393=$A$7,$B$7,IF(A393=$A$8,$B$8,IF(A393=$A$9,$B$9,0))))))</f>
        <v/>
      </c>
      <c r="P393" s="819">
        <f>N393*O393</f>
        <v/>
      </c>
      <c r="Q393" s="820">
        <f>E393</f>
        <v/>
      </c>
    </row>
    <row r="394">
      <c r="A394" s="445" t="n"/>
      <c r="B394" s="445" t="n"/>
      <c r="C394" s="445" t="n"/>
      <c r="D394" s="445" t="n"/>
      <c r="E394" s="817" t="n"/>
      <c r="F394" s="447" t="n"/>
      <c r="G394" s="817" t="n"/>
      <c r="H394" s="817" t="n"/>
      <c r="I394" s="817" t="n"/>
      <c r="J394" s="817" t="n"/>
      <c r="K394" s="818">
        <f>B394&amp;"-"&amp;C394</f>
        <v/>
      </c>
      <c r="L394" s="818">
        <f>E394+G394</f>
        <v/>
      </c>
      <c r="M394" s="130">
        <f>IF(H394=0,"No Value",L394/H394)</f>
        <v/>
      </c>
      <c r="N394" s="819">
        <f>IF(I394&lt;&gt;"",I394,IF(L394-H394&lt;=0,0,IF(L394-H394&gt;=E394,E394,L394-H394)))</f>
        <v/>
      </c>
      <c r="O394" s="132">
        <f>IF(I394&lt;&gt;"",100%,IF(A394=$A$5,$B$5,IF(A394=$A$6,$B$6,IF(A394=$A$7,$B$7,IF(A394=$A$8,$B$8,IF(A394=$A$9,$B$9,0))))))</f>
        <v/>
      </c>
      <c r="P394" s="819">
        <f>N394*O394</f>
        <v/>
      </c>
      <c r="Q394" s="820">
        <f>E394</f>
        <v/>
      </c>
    </row>
    <row r="395">
      <c r="A395" s="445" t="n"/>
      <c r="B395" s="445" t="n"/>
      <c r="C395" s="445" t="n"/>
      <c r="D395" s="445" t="n"/>
      <c r="E395" s="817" t="n"/>
      <c r="F395" s="447" t="n"/>
      <c r="G395" s="817" t="n"/>
      <c r="H395" s="817" t="n"/>
      <c r="I395" s="817" t="n"/>
      <c r="J395" s="817" t="n"/>
      <c r="K395" s="818">
        <f>B395&amp;"-"&amp;C395</f>
        <v/>
      </c>
      <c r="L395" s="818">
        <f>E395+G395</f>
        <v/>
      </c>
      <c r="M395" s="130">
        <f>IF(H395=0,"No Value",L395/H395)</f>
        <v/>
      </c>
      <c r="N395" s="819">
        <f>IF(I395&lt;&gt;"",I395,IF(L395-H395&lt;=0,0,IF(L395-H395&gt;=E395,E395,L395-H395)))</f>
        <v/>
      </c>
      <c r="O395" s="132">
        <f>IF(I395&lt;&gt;"",100%,IF(A395=$A$5,$B$5,IF(A395=$A$6,$B$6,IF(A395=$A$7,$B$7,IF(A395=$A$8,$B$8,IF(A395=$A$9,$B$9,0))))))</f>
        <v/>
      </c>
      <c r="P395" s="819">
        <f>N395*O395</f>
        <v/>
      </c>
      <c r="Q395" s="820">
        <f>E395</f>
        <v/>
      </c>
    </row>
    <row r="396">
      <c r="A396" s="445" t="n"/>
      <c r="B396" s="445" t="n"/>
      <c r="C396" s="445" t="n"/>
      <c r="D396" s="445" t="n"/>
      <c r="E396" s="817" t="n"/>
      <c r="F396" s="447" t="n"/>
      <c r="G396" s="817" t="n"/>
      <c r="H396" s="817" t="n"/>
      <c r="I396" s="817" t="n"/>
      <c r="J396" s="817" t="n"/>
      <c r="K396" s="818">
        <f>B396&amp;"-"&amp;C396</f>
        <v/>
      </c>
      <c r="L396" s="818">
        <f>E396+G396</f>
        <v/>
      </c>
      <c r="M396" s="130">
        <f>IF(H396=0,"No Value",L396/H396)</f>
        <v/>
      </c>
      <c r="N396" s="819">
        <f>IF(I396&lt;&gt;"",I396,IF(L396-H396&lt;=0,0,IF(L396-H396&gt;=E396,E396,L396-H396)))</f>
        <v/>
      </c>
      <c r="O396" s="132">
        <f>IF(I396&lt;&gt;"",100%,IF(A396=$A$5,$B$5,IF(A396=$A$6,$B$6,IF(A396=$A$7,$B$7,IF(A396=$A$8,$B$8,IF(A396=$A$9,$B$9,0))))))</f>
        <v/>
      </c>
      <c r="P396" s="819">
        <f>N396*O396</f>
        <v/>
      </c>
      <c r="Q396" s="820">
        <f>E396</f>
        <v/>
      </c>
    </row>
    <row r="397">
      <c r="A397" s="445" t="n"/>
      <c r="B397" s="445" t="n"/>
      <c r="C397" s="445" t="n"/>
      <c r="D397" s="445" t="n"/>
      <c r="E397" s="817" t="n"/>
      <c r="F397" s="447" t="n"/>
      <c r="G397" s="817" t="n"/>
      <c r="H397" s="817" t="n"/>
      <c r="I397" s="817" t="n"/>
      <c r="J397" s="817" t="n"/>
      <c r="K397" s="818">
        <f>B397&amp;"-"&amp;C397</f>
        <v/>
      </c>
      <c r="L397" s="818">
        <f>E397+G397</f>
        <v/>
      </c>
      <c r="M397" s="130">
        <f>IF(H397=0,"No Value",L397/H397)</f>
        <v/>
      </c>
      <c r="N397" s="819">
        <f>IF(I397&lt;&gt;"",I397,IF(L397-H397&lt;=0,0,IF(L397-H397&gt;=E397,E397,L397-H397)))</f>
        <v/>
      </c>
      <c r="O397" s="132">
        <f>IF(I397&lt;&gt;"",100%,IF(A397=$A$5,$B$5,IF(A397=$A$6,$B$6,IF(A397=$A$7,$B$7,IF(A397=$A$8,$B$8,IF(A397=$A$9,$B$9,0))))))</f>
        <v/>
      </c>
      <c r="P397" s="819">
        <f>N397*O397</f>
        <v/>
      </c>
      <c r="Q397" s="820">
        <f>E397</f>
        <v/>
      </c>
    </row>
    <row r="398">
      <c r="A398" s="445" t="n"/>
      <c r="B398" s="445" t="n"/>
      <c r="C398" s="445" t="n"/>
      <c r="D398" s="445" t="n"/>
      <c r="E398" s="817" t="n"/>
      <c r="F398" s="447" t="n"/>
      <c r="G398" s="817" t="n"/>
      <c r="H398" s="817" t="n"/>
      <c r="I398" s="817" t="n"/>
      <c r="J398" s="817" t="n"/>
      <c r="K398" s="818">
        <f>B398&amp;"-"&amp;C398</f>
        <v/>
      </c>
      <c r="L398" s="818">
        <f>E398+G398</f>
        <v/>
      </c>
      <c r="M398" s="130">
        <f>IF(H398=0,"No Value",L398/H398)</f>
        <v/>
      </c>
      <c r="N398" s="819">
        <f>IF(I398&lt;&gt;"",I398,IF(L398-H398&lt;=0,0,IF(L398-H398&gt;=E398,E398,L398-H398)))</f>
        <v/>
      </c>
      <c r="O398" s="132">
        <f>IF(I398&lt;&gt;"",100%,IF(A398=$A$5,$B$5,IF(A398=$A$6,$B$6,IF(A398=$A$7,$B$7,IF(A398=$A$8,$B$8,IF(A398=$A$9,$B$9,0))))))</f>
        <v/>
      </c>
      <c r="P398" s="819">
        <f>N398*O398</f>
        <v/>
      </c>
      <c r="Q398" s="820">
        <f>E398</f>
        <v/>
      </c>
    </row>
    <row r="399">
      <c r="A399" s="445" t="n"/>
      <c r="B399" s="445" t="n"/>
      <c r="C399" s="445" t="n"/>
      <c r="D399" s="445" t="n"/>
      <c r="E399" s="817" t="n"/>
      <c r="F399" s="447" t="n"/>
      <c r="G399" s="817" t="n"/>
      <c r="H399" s="817" t="n"/>
      <c r="I399" s="817" t="n"/>
      <c r="J399" s="817" t="n"/>
      <c r="K399" s="818">
        <f>B399&amp;"-"&amp;C399</f>
        <v/>
      </c>
      <c r="L399" s="818">
        <f>E399+G399</f>
        <v/>
      </c>
      <c r="M399" s="130">
        <f>IF(H399=0,"No Value",L399/H399)</f>
        <v/>
      </c>
      <c r="N399" s="819">
        <f>IF(I399&lt;&gt;"",I399,IF(L399-H399&lt;=0,0,IF(L399-H399&gt;=E399,E399,L399-H399)))</f>
        <v/>
      </c>
      <c r="O399" s="132">
        <f>IF(I399&lt;&gt;"",100%,IF(A399=$A$5,$B$5,IF(A399=$A$6,$B$6,IF(A399=$A$7,$B$7,IF(A399=$A$8,$B$8,IF(A399=$A$9,$B$9,0))))))</f>
        <v/>
      </c>
      <c r="P399" s="819">
        <f>N399*O399</f>
        <v/>
      </c>
      <c r="Q399" s="820">
        <f>E399</f>
        <v/>
      </c>
    </row>
    <row r="400">
      <c r="A400" s="445" t="n"/>
      <c r="B400" s="445" t="n"/>
      <c r="C400" s="445" t="n"/>
      <c r="D400" s="445" t="n"/>
      <c r="E400" s="817" t="n"/>
      <c r="F400" s="447" t="n"/>
      <c r="G400" s="817" t="n"/>
      <c r="H400" s="817" t="n"/>
      <c r="I400" s="817" t="n"/>
      <c r="J400" s="817" t="n"/>
      <c r="K400" s="818">
        <f>B400&amp;"-"&amp;C400</f>
        <v/>
      </c>
      <c r="L400" s="818">
        <f>E400+G400</f>
        <v/>
      </c>
      <c r="M400" s="130">
        <f>IF(H400=0,"No Value",L400/H400)</f>
        <v/>
      </c>
      <c r="N400" s="819">
        <f>IF(I400&lt;&gt;"",I400,IF(L400-H400&lt;=0,0,IF(L400-H400&gt;=E400,E400,L400-H400)))</f>
        <v/>
      </c>
      <c r="O400" s="132">
        <f>IF(I400&lt;&gt;"",100%,IF(A400=$A$5,$B$5,IF(A400=$A$6,$B$6,IF(A400=$A$7,$B$7,IF(A400=$A$8,$B$8,IF(A400=$A$9,$B$9,0))))))</f>
        <v/>
      </c>
      <c r="P400" s="819">
        <f>N400*O400</f>
        <v/>
      </c>
      <c r="Q400" s="820">
        <f>E400</f>
        <v/>
      </c>
    </row>
    <row r="401">
      <c r="A401" s="445" t="n"/>
      <c r="B401" s="445" t="n"/>
      <c r="C401" s="445" t="n"/>
      <c r="D401" s="445" t="n"/>
      <c r="E401" s="817" t="n"/>
      <c r="F401" s="447" t="n"/>
      <c r="G401" s="817" t="n"/>
      <c r="H401" s="817" t="n"/>
      <c r="I401" s="817" t="n"/>
      <c r="J401" s="817" t="n"/>
      <c r="K401" s="818">
        <f>B401&amp;"-"&amp;C401</f>
        <v/>
      </c>
      <c r="L401" s="818">
        <f>E401+G401</f>
        <v/>
      </c>
      <c r="M401" s="130">
        <f>IF(H401=0,"No Value",L401/H401)</f>
        <v/>
      </c>
      <c r="N401" s="819">
        <f>IF(I401&lt;&gt;"",I401,IF(L401-H401&lt;=0,0,IF(L401-H401&gt;=E401,E401,L401-H401)))</f>
        <v/>
      </c>
      <c r="O401" s="132">
        <f>IF(I401&lt;&gt;"",100%,IF(A401=$A$5,$B$5,IF(A401=$A$6,$B$6,IF(A401=$A$7,$B$7,IF(A401=$A$8,$B$8,IF(A401=$A$9,$B$9,0))))))</f>
        <v/>
      </c>
      <c r="P401" s="819">
        <f>N401*O401</f>
        <v/>
      </c>
      <c r="Q401" s="820">
        <f>E401</f>
        <v/>
      </c>
    </row>
    <row r="402">
      <c r="A402" s="445" t="n"/>
      <c r="B402" s="445" t="n"/>
      <c r="C402" s="445" t="n"/>
      <c r="D402" s="445" t="n"/>
      <c r="E402" s="817" t="n"/>
      <c r="F402" s="447" t="n"/>
      <c r="G402" s="817" t="n"/>
      <c r="H402" s="817" t="n"/>
      <c r="I402" s="817" t="n"/>
      <c r="J402" s="817" t="n"/>
      <c r="K402" s="818">
        <f>B402&amp;"-"&amp;C402</f>
        <v/>
      </c>
      <c r="L402" s="818">
        <f>E402+G402</f>
        <v/>
      </c>
      <c r="M402" s="130">
        <f>IF(H402=0,"No Value",L402/H402)</f>
        <v/>
      </c>
      <c r="N402" s="819">
        <f>IF(I402&lt;&gt;"",I402,IF(L402-H402&lt;=0,0,IF(L402-H402&gt;=E402,E402,L402-H402)))</f>
        <v/>
      </c>
      <c r="O402" s="132">
        <f>IF(I402&lt;&gt;"",100%,IF(A402=$A$5,$B$5,IF(A402=$A$6,$B$6,IF(A402=$A$7,$B$7,IF(A402=$A$8,$B$8,IF(A402=$A$9,$B$9,0))))))</f>
        <v/>
      </c>
      <c r="P402" s="819">
        <f>N402*O402</f>
        <v/>
      </c>
      <c r="Q402" s="820">
        <f>E402</f>
        <v/>
      </c>
    </row>
    <row r="403">
      <c r="A403" s="445" t="n"/>
      <c r="B403" s="445" t="n"/>
      <c r="C403" s="445" t="n"/>
      <c r="D403" s="445" t="n"/>
      <c r="E403" s="817" t="n"/>
      <c r="F403" s="447" t="n"/>
      <c r="G403" s="817" t="n"/>
      <c r="H403" s="817" t="n"/>
      <c r="I403" s="817" t="n"/>
      <c r="J403" s="817" t="n"/>
      <c r="K403" s="818">
        <f>B403&amp;"-"&amp;C403</f>
        <v/>
      </c>
      <c r="L403" s="818">
        <f>E403+G403</f>
        <v/>
      </c>
      <c r="M403" s="130">
        <f>IF(H403=0,"No Value",L403/H403)</f>
        <v/>
      </c>
      <c r="N403" s="819">
        <f>IF(I403&lt;&gt;"",I403,IF(L403-H403&lt;=0,0,IF(L403-H403&gt;=E403,E403,L403-H403)))</f>
        <v/>
      </c>
      <c r="O403" s="132">
        <f>IF(I403&lt;&gt;"",100%,IF(A403=$A$5,$B$5,IF(A403=$A$6,$B$6,IF(A403=$A$7,$B$7,IF(A403=$A$8,$B$8,IF(A403=$A$9,$B$9,0))))))</f>
        <v/>
      </c>
      <c r="P403" s="819">
        <f>N403*O403</f>
        <v/>
      </c>
      <c r="Q403" s="820">
        <f>E403</f>
        <v/>
      </c>
    </row>
    <row r="404">
      <c r="A404" s="445" t="n"/>
      <c r="B404" s="445" t="n"/>
      <c r="C404" s="445" t="n"/>
      <c r="D404" s="445" t="n"/>
      <c r="E404" s="817" t="n"/>
      <c r="F404" s="447" t="n"/>
      <c r="G404" s="817" t="n"/>
      <c r="H404" s="817" t="n"/>
      <c r="I404" s="817" t="n"/>
      <c r="J404" s="817" t="n"/>
      <c r="K404" s="818">
        <f>B404&amp;"-"&amp;C404</f>
        <v/>
      </c>
      <c r="L404" s="818">
        <f>E404+G404</f>
        <v/>
      </c>
      <c r="M404" s="130">
        <f>IF(H404=0,"No Value",L404/H404)</f>
        <v/>
      </c>
      <c r="N404" s="819">
        <f>IF(I404&lt;&gt;"",I404,IF(L404-H404&lt;=0,0,IF(L404-H404&gt;=E404,E404,L404-H404)))</f>
        <v/>
      </c>
      <c r="O404" s="132">
        <f>IF(I404&lt;&gt;"",100%,IF(A404=$A$5,$B$5,IF(A404=$A$6,$B$6,IF(A404=$A$7,$B$7,IF(A404=$A$8,$B$8,IF(A404=$A$9,$B$9,0))))))</f>
        <v/>
      </c>
      <c r="P404" s="819">
        <f>N404*O404</f>
        <v/>
      </c>
      <c r="Q404" s="820">
        <f>E404</f>
        <v/>
      </c>
    </row>
    <row r="405">
      <c r="A405" s="445" t="n"/>
      <c r="B405" s="445" t="n"/>
      <c r="C405" s="445" t="n"/>
      <c r="D405" s="445" t="n"/>
      <c r="E405" s="817" t="n"/>
      <c r="F405" s="447" t="n"/>
      <c r="G405" s="817" t="n"/>
      <c r="H405" s="817" t="n"/>
      <c r="I405" s="817" t="n"/>
      <c r="J405" s="817" t="n"/>
      <c r="K405" s="818">
        <f>B405&amp;"-"&amp;C405</f>
        <v/>
      </c>
      <c r="L405" s="818">
        <f>E405+G405</f>
        <v/>
      </c>
      <c r="M405" s="130">
        <f>IF(H405=0,"No Value",L405/H405)</f>
        <v/>
      </c>
      <c r="N405" s="819">
        <f>IF(I405&lt;&gt;"",I405,IF(L405-H405&lt;=0,0,IF(L405-H405&gt;=E405,E405,L405-H405)))</f>
        <v/>
      </c>
      <c r="O405" s="132">
        <f>IF(I405&lt;&gt;"",100%,IF(A405=$A$5,$B$5,IF(A405=$A$6,$B$6,IF(A405=$A$7,$B$7,IF(A405=$A$8,$B$8,IF(A405=$A$9,$B$9,0))))))</f>
        <v/>
      </c>
      <c r="P405" s="819">
        <f>N405*O405</f>
        <v/>
      </c>
      <c r="Q405" s="820">
        <f>E405</f>
        <v/>
      </c>
    </row>
    <row r="406">
      <c r="A406" s="445" t="n"/>
      <c r="B406" s="445" t="n"/>
      <c r="C406" s="445" t="n"/>
      <c r="D406" s="445" t="n"/>
      <c r="E406" s="817" t="n"/>
      <c r="F406" s="447" t="n"/>
      <c r="G406" s="817" t="n"/>
      <c r="H406" s="817" t="n"/>
      <c r="I406" s="817" t="n"/>
      <c r="J406" s="817" t="n"/>
      <c r="K406" s="818">
        <f>B406&amp;"-"&amp;C406</f>
        <v/>
      </c>
      <c r="L406" s="818">
        <f>E406+G406</f>
        <v/>
      </c>
      <c r="M406" s="130">
        <f>IF(H406=0,"No Value",L406/H406)</f>
        <v/>
      </c>
      <c r="N406" s="819">
        <f>IF(I406&lt;&gt;"",I406,IF(L406-H406&lt;=0,0,IF(L406-H406&gt;=E406,E406,L406-H406)))</f>
        <v/>
      </c>
      <c r="O406" s="132">
        <f>IF(I406&lt;&gt;"",100%,IF(A406=$A$5,$B$5,IF(A406=$A$6,$B$6,IF(A406=$A$7,$B$7,IF(A406=$A$8,$B$8,IF(A406=$A$9,$B$9,0))))))</f>
        <v/>
      </c>
      <c r="P406" s="819">
        <f>N406*O406</f>
        <v/>
      </c>
      <c r="Q406" s="820">
        <f>E406</f>
        <v/>
      </c>
    </row>
    <row r="407">
      <c r="A407" s="445" t="n"/>
      <c r="B407" s="445" t="n"/>
      <c r="C407" s="445" t="n"/>
      <c r="D407" s="445" t="n"/>
      <c r="E407" s="817" t="n"/>
      <c r="F407" s="447" t="n"/>
      <c r="G407" s="817" t="n"/>
      <c r="H407" s="817" t="n"/>
      <c r="I407" s="817" t="n"/>
      <c r="J407" s="817" t="n"/>
      <c r="K407" s="818">
        <f>B407&amp;"-"&amp;C407</f>
        <v/>
      </c>
      <c r="L407" s="818">
        <f>E407+G407</f>
        <v/>
      </c>
      <c r="M407" s="130">
        <f>IF(H407=0,"No Value",L407/H407)</f>
        <v/>
      </c>
      <c r="N407" s="819">
        <f>IF(I407&lt;&gt;"",I407,IF(L407-H407&lt;=0,0,IF(L407-H407&gt;=E407,E407,L407-H407)))</f>
        <v/>
      </c>
      <c r="O407" s="132">
        <f>IF(I407&lt;&gt;"",100%,IF(A407=$A$5,$B$5,IF(A407=$A$6,$B$6,IF(A407=$A$7,$B$7,IF(A407=$A$8,$B$8,IF(A407=$A$9,$B$9,0))))))</f>
        <v/>
      </c>
      <c r="P407" s="819">
        <f>N407*O407</f>
        <v/>
      </c>
      <c r="Q407" s="820">
        <f>E407</f>
        <v/>
      </c>
    </row>
    <row r="408">
      <c r="A408" s="445" t="n"/>
      <c r="B408" s="445" t="n"/>
      <c r="C408" s="445" t="n"/>
      <c r="D408" s="445" t="n"/>
      <c r="E408" s="817" t="n"/>
      <c r="F408" s="447" t="n"/>
      <c r="G408" s="817" t="n"/>
      <c r="H408" s="817" t="n"/>
      <c r="I408" s="817" t="n"/>
      <c r="J408" s="817" t="n"/>
      <c r="K408" s="818">
        <f>B408&amp;"-"&amp;C408</f>
        <v/>
      </c>
      <c r="L408" s="818">
        <f>E408+G408</f>
        <v/>
      </c>
      <c r="M408" s="130">
        <f>IF(H408=0,"No Value",L408/H408)</f>
        <v/>
      </c>
      <c r="N408" s="819">
        <f>IF(I408&lt;&gt;"",I408,IF(L408-H408&lt;=0,0,IF(L408-H408&gt;=E408,E408,L408-H408)))</f>
        <v/>
      </c>
      <c r="O408" s="132">
        <f>IF(I408&lt;&gt;"",100%,IF(A408=$A$5,$B$5,IF(A408=$A$6,$B$6,IF(A408=$A$7,$B$7,IF(A408=$A$8,$B$8,IF(A408=$A$9,$B$9,0))))))</f>
        <v/>
      </c>
      <c r="P408" s="819">
        <f>N408*O408</f>
        <v/>
      </c>
      <c r="Q408" s="820">
        <f>E408</f>
        <v/>
      </c>
    </row>
    <row r="409">
      <c r="A409" s="445" t="n"/>
      <c r="B409" s="445" t="n"/>
      <c r="C409" s="445" t="n"/>
      <c r="D409" s="445" t="n"/>
      <c r="E409" s="817" t="n"/>
      <c r="F409" s="447" t="n"/>
      <c r="G409" s="817" t="n"/>
      <c r="H409" s="817" t="n"/>
      <c r="I409" s="817" t="n"/>
      <c r="J409" s="817" t="n"/>
      <c r="K409" s="818">
        <f>B409&amp;"-"&amp;C409</f>
        <v/>
      </c>
      <c r="L409" s="818">
        <f>E409+G409</f>
        <v/>
      </c>
      <c r="M409" s="130">
        <f>IF(H409=0,"No Value",L409/H409)</f>
        <v/>
      </c>
      <c r="N409" s="819">
        <f>IF(I409&lt;&gt;"",I409,IF(L409-H409&lt;=0,0,IF(L409-H409&gt;=E409,E409,L409-H409)))</f>
        <v/>
      </c>
      <c r="O409" s="132">
        <f>IF(I409&lt;&gt;"",100%,IF(A409=$A$5,$B$5,IF(A409=$A$6,$B$6,IF(A409=$A$7,$B$7,IF(A409=$A$8,$B$8,IF(A409=$A$9,$B$9,0))))))</f>
        <v/>
      </c>
      <c r="P409" s="819">
        <f>N409*O409</f>
        <v/>
      </c>
      <c r="Q409" s="820">
        <f>E409</f>
        <v/>
      </c>
    </row>
    <row r="410">
      <c r="A410" s="445" t="n"/>
      <c r="B410" s="445" t="n"/>
      <c r="C410" s="445" t="n"/>
      <c r="D410" s="445" t="n"/>
      <c r="E410" s="817" t="n"/>
      <c r="F410" s="447" t="n"/>
      <c r="G410" s="817" t="n"/>
      <c r="H410" s="817" t="n"/>
      <c r="I410" s="817" t="n"/>
      <c r="J410" s="817" t="n"/>
      <c r="K410" s="818">
        <f>B410&amp;"-"&amp;C410</f>
        <v/>
      </c>
      <c r="L410" s="818">
        <f>E410+G410</f>
        <v/>
      </c>
      <c r="M410" s="130">
        <f>IF(H410=0,"No Value",L410/H410)</f>
        <v/>
      </c>
      <c r="N410" s="819">
        <f>IF(I410&lt;&gt;"",I410,IF(L410-H410&lt;=0,0,IF(L410-H410&gt;=E410,E410,L410-H410)))</f>
        <v/>
      </c>
      <c r="O410" s="132">
        <f>IF(I410&lt;&gt;"",100%,IF(A410=$A$5,$B$5,IF(A410=$A$6,$B$6,IF(A410=$A$7,$B$7,IF(A410=$A$8,$B$8,IF(A410=$A$9,$B$9,0))))))</f>
        <v/>
      </c>
      <c r="P410" s="819">
        <f>N410*O410</f>
        <v/>
      </c>
      <c r="Q410" s="820">
        <f>E410</f>
        <v/>
      </c>
    </row>
    <row r="411">
      <c r="A411" s="445" t="n"/>
      <c r="B411" s="445" t="n"/>
      <c r="C411" s="445" t="n"/>
      <c r="D411" s="445" t="n"/>
      <c r="E411" s="817" t="n"/>
      <c r="F411" s="447" t="n"/>
      <c r="G411" s="817" t="n"/>
      <c r="H411" s="817" t="n"/>
      <c r="I411" s="817" t="n"/>
      <c r="J411" s="817" t="n"/>
      <c r="K411" s="818">
        <f>B411&amp;"-"&amp;C411</f>
        <v/>
      </c>
      <c r="L411" s="818">
        <f>E411+G411</f>
        <v/>
      </c>
      <c r="M411" s="130">
        <f>IF(H411=0,"No Value",L411/H411)</f>
        <v/>
      </c>
      <c r="N411" s="819">
        <f>IF(I411&lt;&gt;"",I411,IF(L411-H411&lt;=0,0,IF(L411-H411&gt;=E411,E411,L411-H411)))</f>
        <v/>
      </c>
      <c r="O411" s="132">
        <f>IF(I411&lt;&gt;"",100%,IF(A411=$A$5,$B$5,IF(A411=$A$6,$B$6,IF(A411=$A$7,$B$7,IF(A411=$A$8,$B$8,IF(A411=$A$9,$B$9,0))))))</f>
        <v/>
      </c>
      <c r="P411" s="819">
        <f>N411*O411</f>
        <v/>
      </c>
      <c r="Q411" s="820">
        <f>E411</f>
        <v/>
      </c>
    </row>
    <row r="412">
      <c r="A412" s="445" t="n"/>
      <c r="B412" s="445" t="n"/>
      <c r="C412" s="445" t="n"/>
      <c r="D412" s="445" t="n"/>
      <c r="E412" s="817" t="n"/>
      <c r="F412" s="447" t="n"/>
      <c r="G412" s="817" t="n"/>
      <c r="H412" s="817" t="n"/>
      <c r="I412" s="817" t="n"/>
      <c r="J412" s="817" t="n"/>
      <c r="K412" s="818">
        <f>B412&amp;"-"&amp;C412</f>
        <v/>
      </c>
      <c r="L412" s="818">
        <f>E412+G412</f>
        <v/>
      </c>
      <c r="M412" s="130">
        <f>IF(H412=0,"No Value",L412/H412)</f>
        <v/>
      </c>
      <c r="N412" s="819">
        <f>IF(I412&lt;&gt;"",I412,IF(L412-H412&lt;=0,0,IF(L412-H412&gt;=E412,E412,L412-H412)))</f>
        <v/>
      </c>
      <c r="O412" s="132">
        <f>IF(I412&lt;&gt;"",100%,IF(A412=$A$5,$B$5,IF(A412=$A$6,$B$6,IF(A412=$A$7,$B$7,IF(A412=$A$8,$B$8,IF(A412=$A$9,$B$9,0))))))</f>
        <v/>
      </c>
      <c r="P412" s="819">
        <f>N412*O412</f>
        <v/>
      </c>
      <c r="Q412" s="820">
        <f>E412</f>
        <v/>
      </c>
    </row>
  </sheetData>
  <autoFilter ref="A27:Q412">
    <sortState ref="A28:Q412">
      <sortCondition ref="B27:B412"/>
    </sortState>
  </autoFilter>
  <mergeCells count="2">
    <mergeCell ref="A2:Q2"/>
    <mergeCell ref="A1:Q1"/>
  </mergeCells>
  <conditionalFormatting sqref="K3:K1048576">
    <cfRule type="duplicateValues" priority="19" dxfId="5"/>
  </conditionalFormatting>
  <conditionalFormatting sqref="K4:K27 K413:K1048576">
    <cfRule type="duplicateValues" priority="8" dxfId="5"/>
  </conditionalFormatting>
  <conditionalFormatting sqref="K11:K12 K14:K25 K27 K413:K1048576">
    <cfRule type="duplicateValues" priority="9" dxfId="5"/>
  </conditionalFormatting>
  <conditionalFormatting sqref="K27 K413:K1048576">
    <cfRule type="duplicateValues" priority="10" dxfId="5"/>
    <cfRule type="duplicateValues" priority="11" dxfId="5"/>
    <cfRule type="duplicateValues" priority="12" dxfId="5"/>
  </conditionalFormatting>
  <dataValidations count="1">
    <dataValidation sqref="A28:A412" showDropDown="0" showInputMessage="1" showErrorMessage="1" allowBlank="1" type="list">
      <formula1>$A$5:$A$10</formula1>
    </dataValidation>
  </dataValidations>
  <pageMargins left="0.2" right="0.2" top="0.25" bottom="0.25" header="0.05" footer="0.05"/>
  <pageSetup orientation="landscape" scale="34" fitToHeight="0"/>
</worksheet>
</file>

<file path=xl/worksheets/sheet7.xml><?xml version="1.0" encoding="utf-8"?>
<worksheet xmlns="http://schemas.openxmlformats.org/spreadsheetml/2006/main">
  <sheetPr>
    <tabColor theme="0" tint="-0.1499984740745262"/>
    <outlinePr summaryBelow="1" summaryRight="1"/>
    <pageSetUpPr fitToPage="1"/>
  </sheetPr>
  <dimension ref="A1:AJ121"/>
  <sheetViews>
    <sheetView workbookViewId="0">
      <selection activeCell="A1" sqref="A1"/>
    </sheetView>
  </sheetViews>
  <sheetFormatPr baseColWidth="8" defaultRowHeight="15"/>
  <cols>
    <col width="43" customWidth="1" style="4" min="1" max="1"/>
    <col hidden="1" width="19" customWidth="1" style="194" min="2" max="3"/>
    <col width="22.5703125" bestFit="1" customWidth="1" style="685" min="4" max="4"/>
    <col width="22" bestFit="1" customWidth="1" style="685" min="5" max="5"/>
    <col width="22.5703125" bestFit="1" customWidth="1" style="685" min="6" max="7"/>
    <col width="22" bestFit="1" customWidth="1" style="685" min="8" max="9"/>
    <col width="22.5703125" bestFit="1" customWidth="1" style="685" min="10" max="11"/>
    <col width="22" bestFit="1" customWidth="1" style="685" min="12" max="12"/>
    <col width="22.5703125" bestFit="1" customWidth="1" style="685" min="13" max="13"/>
    <col width="20.42578125" bestFit="1" customWidth="1" style="685" min="14" max="14"/>
    <col width="22" bestFit="1" customWidth="1" style="685" min="15" max="15"/>
    <col width="22.5703125" bestFit="1" customWidth="1" style="685" min="16" max="17"/>
    <col width="22" bestFit="1" customWidth="1" style="685" min="18" max="18"/>
    <col width="22.5703125" bestFit="1" customWidth="1" style="685" min="19" max="19"/>
    <col width="24" bestFit="1" customWidth="1" style="685" min="20" max="20"/>
    <col width="23.42578125" bestFit="1" customWidth="1" style="685" min="21" max="21"/>
    <col width="22.5703125" bestFit="1" customWidth="1" style="685" min="22" max="22"/>
    <col width="23.42578125" bestFit="1" customWidth="1" style="685" min="23" max="24"/>
    <col width="22.5703125" bestFit="1" customWidth="1" style="685" min="25" max="25"/>
    <col width="23.42578125" bestFit="1" customWidth="1" style="685" min="26" max="26"/>
    <col width="23" bestFit="1" customWidth="1" style="685" min="27" max="27"/>
    <col width="22" bestFit="1" customWidth="1" style="685" min="28" max="31"/>
    <col width="14" customWidth="1" style="4" min="32" max="32"/>
    <col width="16.5703125" customWidth="1" style="4" min="33" max="33"/>
    <col width="20.7109375" customWidth="1" style="821" min="34" max="34"/>
    <col width="18.28515625" bestFit="1" customWidth="1" style="685" min="35" max="35"/>
    <col width="16.28515625" bestFit="1" customWidth="1" style="685" min="36" max="36"/>
  </cols>
  <sheetData>
    <row r="1">
      <c r="A1" s="4" t="inlineStr">
        <is>
          <t>Month Description</t>
        </is>
      </c>
      <c r="B1" s="194" t="inlineStr">
        <is>
          <t>Current -87</t>
        </is>
      </c>
      <c r="C1" s="194" t="inlineStr">
        <is>
          <t>Current -84</t>
        </is>
      </c>
      <c r="D1" t="inlineStr">
        <is>
          <t>Current -81</t>
        </is>
      </c>
      <c r="E1" t="inlineStr">
        <is>
          <t>Current -78</t>
        </is>
      </c>
      <c r="F1" t="inlineStr">
        <is>
          <t>Current -75</t>
        </is>
      </c>
      <c r="G1" t="inlineStr">
        <is>
          <t>Current -72</t>
        </is>
      </c>
      <c r="H1" t="inlineStr">
        <is>
          <t>Current -69</t>
        </is>
      </c>
      <c r="I1" t="inlineStr">
        <is>
          <t>Current -66</t>
        </is>
      </c>
      <c r="J1" t="inlineStr">
        <is>
          <t>Current -63</t>
        </is>
      </c>
      <c r="K1" t="inlineStr">
        <is>
          <t>Current -60</t>
        </is>
      </c>
      <c r="L1" t="inlineStr">
        <is>
          <t>Current -57</t>
        </is>
      </c>
      <c r="M1" t="inlineStr">
        <is>
          <t>Current -54</t>
        </is>
      </c>
      <c r="N1" t="inlineStr">
        <is>
          <t>Current -51</t>
        </is>
      </c>
      <c r="O1" t="inlineStr">
        <is>
          <t>Current -48</t>
        </is>
      </c>
      <c r="P1" t="inlineStr">
        <is>
          <t>Current -45</t>
        </is>
      </c>
      <c r="Q1" t="inlineStr">
        <is>
          <t>Current -42</t>
        </is>
      </c>
      <c r="R1" t="inlineStr">
        <is>
          <t>Current -39</t>
        </is>
      </c>
      <c r="S1" t="inlineStr">
        <is>
          <t>Current -36</t>
        </is>
      </c>
      <c r="T1" t="inlineStr">
        <is>
          <t>Current -33</t>
        </is>
      </c>
      <c r="U1" t="inlineStr">
        <is>
          <t>Current -30</t>
        </is>
      </c>
      <c r="V1" t="inlineStr">
        <is>
          <t>Current -27</t>
        </is>
      </c>
      <c r="W1" t="inlineStr">
        <is>
          <t>Current -24</t>
        </is>
      </c>
      <c r="X1" t="inlineStr">
        <is>
          <t>Current -21</t>
        </is>
      </c>
      <c r="Y1" t="inlineStr">
        <is>
          <t>Current -18</t>
        </is>
      </c>
      <c r="Z1" t="inlineStr">
        <is>
          <t>Current -15</t>
        </is>
      </c>
      <c r="AA1" t="inlineStr">
        <is>
          <t>Current -12</t>
        </is>
      </c>
      <c r="AB1" t="inlineStr">
        <is>
          <t>Current -9</t>
        </is>
      </c>
      <c r="AC1" t="inlineStr">
        <is>
          <t>Current -6</t>
        </is>
      </c>
      <c r="AD1" t="inlineStr">
        <is>
          <t>Current -3</t>
        </is>
      </c>
      <c r="AE1" t="inlineStr">
        <is>
          <t>Current -0</t>
        </is>
      </c>
    </row>
    <row r="2">
      <c r="A2" s="4" t="inlineStr">
        <is>
          <t>Month #</t>
        </is>
      </c>
      <c r="B2" s="27">
        <f>IF(C2=3,12,IF(C2=6,3,IF(C2=9,6,IF(C2=12,9))))</f>
        <v/>
      </c>
      <c r="C2" s="27">
        <f>IF(D2=3,12,IF(D2=6,3,IF(D2=9,6,IF(D2=12,9))))</f>
        <v/>
      </c>
      <c r="D2" s="3">
        <f>IF(E2=3,12,IF(E2=6,3,IF(E2=9,6,IF(E2=12,9))))</f>
        <v/>
      </c>
      <c r="E2" s="3">
        <f>IF(F2=3,12,IF(F2=6,3,IF(F2=9,6,IF(F2=12,9))))</f>
        <v/>
      </c>
      <c r="F2" s="3">
        <f>IF(G2=3,12,IF(G2=6,3,IF(G2=9,6,IF(G2=12,9))))</f>
        <v/>
      </c>
      <c r="G2" s="3">
        <f>IF(H2=3,12,IF(H2=6,3,IF(H2=9,6,IF(H2=12,9))))</f>
        <v/>
      </c>
      <c r="H2" s="3">
        <f>IF(I2=3,12,IF(I2=6,3,IF(I2=9,6,IF(I2=12,9))))</f>
        <v/>
      </c>
      <c r="I2" s="3">
        <f>IF(J2=3,12,IF(J2=6,3,IF(J2=9,6,IF(J2=12,9))))</f>
        <v/>
      </c>
      <c r="J2" s="3">
        <f>IF(K2=3,12,IF(K2=6,3,IF(K2=9,6,IF(K2=12,9))))</f>
        <v/>
      </c>
      <c r="K2" s="3">
        <f>IF(L2=3,12,IF(L2=6,3,IF(L2=9,6,IF(L2=12,9))))</f>
        <v/>
      </c>
      <c r="L2" s="3">
        <f>IF(M2=3,12,IF(M2=6,3,IF(M2=9,6,IF(M2=12,9))))</f>
        <v/>
      </c>
      <c r="M2" s="3">
        <f>IF(N2=3,12,IF(N2=6,3,IF(N2=9,6,IF(N2=12,9))))</f>
        <v/>
      </c>
      <c r="N2" s="3">
        <f>IF(O2=3,12,IF(O2=6,3,IF(O2=9,6,IF(O2=12,9))))</f>
        <v/>
      </c>
      <c r="O2" s="3">
        <f>IF(P2=3,12,IF(P2=6,3,IF(P2=9,6,IF(P2=12,9))))</f>
        <v/>
      </c>
      <c r="P2" s="3">
        <f>IF(Q2=3,12,IF(Q2=6,3,IF(Q2=9,6,IF(Q2=12,9))))</f>
        <v/>
      </c>
      <c r="Q2" s="3">
        <f>IF(R2=3,12,IF(R2=6,3,IF(R2=9,6,IF(R2=12,9))))</f>
        <v/>
      </c>
      <c r="R2" s="3">
        <f>IF(S2=3,12,IF(S2=6,3,IF(S2=9,6,IF(S2=12,9))))</f>
        <v/>
      </c>
      <c r="S2" s="3">
        <f>IF(T2=3,12,IF(T2=6,3,IF(T2=9,6,IF(T2=12,9))))</f>
        <v/>
      </c>
      <c r="T2" s="3">
        <f>IF(U2=3,12,IF(U2=6,3,IF(U2=9,6,IF(U2=12,9))))</f>
        <v/>
      </c>
      <c r="U2" s="3">
        <f>IF(V2=3,12,IF(V2=6,3,IF(V2=9,6,IF(V2=12,9))))</f>
        <v/>
      </c>
      <c r="V2" s="3">
        <f>IF(W2=3,12,IF(W2=6,3,IF(W2=9,6,IF(W2=12,9))))</f>
        <v/>
      </c>
      <c r="W2" s="3">
        <f>IF(X2=3,12,IF(X2=6,3,IF(X2=9,6,IF(X2=12,9))))</f>
        <v/>
      </c>
      <c r="X2" s="3">
        <f>IF(Y2=3,12,IF(Y2=6,3,IF(Y2=9,6,IF(Y2=12,9))))</f>
        <v/>
      </c>
      <c r="Y2" s="3">
        <f>IF(Z2=3,12,IF(Z2=6,3,IF(Z2=9,6,IF(Z2=12,9))))</f>
        <v/>
      </c>
      <c r="Z2" s="3">
        <f>IF(AA2=3,12,IF(AA2=6,3,IF(AA2=9,6,IF(AA2=12,9))))</f>
        <v/>
      </c>
      <c r="AA2" s="3">
        <f>IF(AB2=3,12,IF(AB2=6,3,IF(AB2=9,6,IF(AB2=12,9))))</f>
        <v/>
      </c>
      <c r="AB2" s="3">
        <f>IF(AC2=3,12,IF(AC2=6,3,IF(AC2=9,6,IF(AC2=12,9))))</f>
        <v/>
      </c>
      <c r="AC2" s="3">
        <f>IF(AD2=3,12,IF(AD2=6,3,IF(AD2=9,6,IF(AD2=12,9))))</f>
        <v/>
      </c>
      <c r="AD2" s="3">
        <f>IF(AE2=3,12,IF(AE2=6,3,IF(AE2=9,6,IF(AE2=12,9))))</f>
        <v/>
      </c>
      <c r="AE2" s="3">
        <f>MONTH(AE6)</f>
        <v/>
      </c>
    </row>
    <row r="3">
      <c r="A3" s="4" t="inlineStr">
        <is>
          <t>Year #</t>
        </is>
      </c>
      <c r="B3" s="27">
        <f>IF(B2=12,C3-1,C3)</f>
        <v/>
      </c>
      <c r="C3" s="27">
        <f>IF(C2=12,D3-1,D3)</f>
        <v/>
      </c>
      <c r="D3" s="3">
        <f>IF(D2=12,E3-1,E3)</f>
        <v/>
      </c>
      <c r="E3" s="3">
        <f>IF(E2=12,F3-1,F3)</f>
        <v/>
      </c>
      <c r="F3" s="3">
        <f>IF(F2=12,G3-1,G3)</f>
        <v/>
      </c>
      <c r="G3" s="3">
        <f>IF(G2=12,H3-1,H3)</f>
        <v/>
      </c>
      <c r="H3" s="3">
        <f>IF(H2=12,I3-1,I3)</f>
        <v/>
      </c>
      <c r="I3" s="3">
        <f>IF(I2=12,J3-1,J3)</f>
        <v/>
      </c>
      <c r="J3" s="3">
        <f>IF(J2=12,K3-1,K3)</f>
        <v/>
      </c>
      <c r="K3" s="3">
        <f>IF(K2=12,L3-1,L3)</f>
        <v/>
      </c>
      <c r="L3" s="3">
        <f>IF(L2=12,M3-1,M3)</f>
        <v/>
      </c>
      <c r="M3" s="3">
        <f>IF(M2=12,N3-1,N3)</f>
        <v/>
      </c>
      <c r="N3" s="3">
        <f>IF(N2=12,O3-1,O3)</f>
        <v/>
      </c>
      <c r="O3" s="3">
        <f>IF(O2=12,P3-1,P3)</f>
        <v/>
      </c>
      <c r="P3" s="3">
        <f>IF(P2=12,Q3-1,Q3)</f>
        <v/>
      </c>
      <c r="Q3" s="3">
        <f>IF(Q2=12,R3-1,R3)</f>
        <v/>
      </c>
      <c r="R3" s="3">
        <f>IF(R2=12,S3-1,S3)</f>
        <v/>
      </c>
      <c r="S3" s="3">
        <f>IF(S2=12,T3-1,T3)</f>
        <v/>
      </c>
      <c r="T3" s="3">
        <f>IF(T2=12,U3-1,U3)</f>
        <v/>
      </c>
      <c r="U3" s="3">
        <f>IF(U2=12,V3-1,V3)</f>
        <v/>
      </c>
      <c r="V3" s="3">
        <f>IF(V2=12,W3-1,W3)</f>
        <v/>
      </c>
      <c r="W3" s="3">
        <f>IF(W2=12,X3-1,X3)</f>
        <v/>
      </c>
      <c r="X3" s="3">
        <f>IF(X2=12,Y3-1,Y3)</f>
        <v/>
      </c>
      <c r="Y3" s="3">
        <f>IF(Y2=12,Z3-1,Z3)</f>
        <v/>
      </c>
      <c r="Z3" s="3">
        <f>IF(Z2=12,AA3-1,AA3)</f>
        <v/>
      </c>
      <c r="AA3" s="3">
        <f>IF(AA2=12,AB3-1,AB3)</f>
        <v/>
      </c>
      <c r="AB3" s="3">
        <f>IF(AB2=12,AC3-1,AC3)</f>
        <v/>
      </c>
      <c r="AC3" s="3">
        <f>IF(AC2=12,AD3-1,AD3)</f>
        <v/>
      </c>
      <c r="AD3" s="3">
        <f>IF(AD2=12,AE3-1,AE3)</f>
        <v/>
      </c>
      <c r="AE3" s="3">
        <f>YEAR(AE6)</f>
        <v/>
      </c>
    </row>
    <row r="4">
      <c r="A4" s="4" t="inlineStr">
        <is>
          <t>Day#</t>
        </is>
      </c>
      <c r="B4" s="27">
        <f>IF(B2=6,30,IF(B2=9,30,31))</f>
        <v/>
      </c>
      <c r="C4" s="27">
        <f>IF(C2=6,30,IF(C2=9,30,31))</f>
        <v/>
      </c>
      <c r="D4" s="3">
        <f>IF(D2=6,30,IF(D2=9,30,31))</f>
        <v/>
      </c>
      <c r="E4" s="3">
        <f>IF(E2=6,30,IF(E2=9,30,31))</f>
        <v/>
      </c>
      <c r="F4" s="3">
        <f>IF(F2=6,30,IF(F2=9,30,31))</f>
        <v/>
      </c>
      <c r="G4" s="3">
        <f>IF(G2=6,30,IF(G2=9,30,31))</f>
        <v/>
      </c>
      <c r="H4" s="3">
        <f>IF(H2=6,30,IF(H2=9,30,31))</f>
        <v/>
      </c>
      <c r="I4" s="3">
        <f>IF(I2=6,30,IF(I2=9,30,31))</f>
        <v/>
      </c>
      <c r="J4" s="3">
        <f>IF(J2=6,30,IF(J2=9,30,31))</f>
        <v/>
      </c>
      <c r="K4" s="3">
        <f>IF(K2=6,30,IF(K2=9,30,31))</f>
        <v/>
      </c>
      <c r="L4" s="3">
        <f>IF(L2=6,30,IF(L2=9,30,31))</f>
        <v/>
      </c>
      <c r="M4" s="3">
        <f>IF(M2=6,30,IF(M2=9,30,31))</f>
        <v/>
      </c>
      <c r="N4" s="3">
        <f>IF(N2=6,30,IF(N2=9,30,31))</f>
        <v/>
      </c>
      <c r="O4" s="3">
        <f>IF(O2=6,30,IF(O2=9,30,31))</f>
        <v/>
      </c>
      <c r="P4" s="3">
        <f>IF(P2=6,30,IF(P2=9,30,31))</f>
        <v/>
      </c>
      <c r="Q4" s="3">
        <f>IF(Q2=6,30,IF(Q2=9,30,31))</f>
        <v/>
      </c>
      <c r="R4" s="3">
        <f>IF(R2=6,30,IF(R2=9,30,31))</f>
        <v/>
      </c>
      <c r="S4" s="3">
        <f>IF(S2=6,30,IF(S2=9,30,31))</f>
        <v/>
      </c>
      <c r="T4" s="3">
        <f>IF(T2=6,30,IF(T2=9,30,31))</f>
        <v/>
      </c>
      <c r="U4" s="3">
        <f>IF(U2=6,30,IF(U2=9,30,31))</f>
        <v/>
      </c>
      <c r="V4" s="3">
        <f>IF(V2=6,30,IF(V2=9,30,31))</f>
        <v/>
      </c>
      <c r="W4" s="3">
        <f>IF(W2=6,30,IF(W2=9,30,31))</f>
        <v/>
      </c>
      <c r="X4" s="3">
        <f>IF(X2=6,30,IF(X2=9,30,31))</f>
        <v/>
      </c>
      <c r="Y4" s="3">
        <f>IF(Y2=6,30,IF(Y2=9,30,31))</f>
        <v/>
      </c>
      <c r="Z4" s="3">
        <f>IF(Z2=6,30,IF(Z2=9,30,31))</f>
        <v/>
      </c>
      <c r="AA4" s="3">
        <f>IF(AA2=6,30,IF(AA2=9,30,31))</f>
        <v/>
      </c>
      <c r="AB4" s="3">
        <f>IF(AB2=6,30,IF(AB2=9,30,31))</f>
        <v/>
      </c>
      <c r="AC4" s="3">
        <f>IF(AC2=6,30,IF(AC2=9,30,31))</f>
        <v/>
      </c>
      <c r="AD4" s="3">
        <f>IF(AD2=6,30,IF(AD2=9,30,31))</f>
        <v/>
      </c>
      <c r="AE4" s="3">
        <f>IF(AE2=6,30,IF(AE2=9,30,31))</f>
        <v/>
      </c>
    </row>
    <row r="5">
      <c r="A5" s="4" t="inlineStr">
        <is>
          <t xml:space="preserve">Quarter Number </t>
        </is>
      </c>
      <c r="B5" s="27" t="n">
        <v>30</v>
      </c>
      <c r="C5" s="27" t="n">
        <v>29</v>
      </c>
      <c r="D5" s="3" t="n">
        <v>28</v>
      </c>
      <c r="E5" s="3" t="n">
        <v>27</v>
      </c>
      <c r="F5" s="3" t="n">
        <v>26</v>
      </c>
      <c r="G5" s="3" t="n">
        <v>25</v>
      </c>
      <c r="H5" s="3" t="n">
        <v>24</v>
      </c>
      <c r="I5" s="3" t="n">
        <v>23</v>
      </c>
      <c r="J5" s="3" t="n">
        <v>22</v>
      </c>
      <c r="K5" s="3" t="n">
        <v>21</v>
      </c>
      <c r="L5" s="3" t="n">
        <v>20</v>
      </c>
      <c r="M5" s="3" t="n">
        <v>19</v>
      </c>
      <c r="N5" s="3" t="n">
        <v>18</v>
      </c>
      <c r="O5" s="3" t="n">
        <v>17</v>
      </c>
      <c r="P5" s="3" t="n">
        <v>16</v>
      </c>
      <c r="Q5" s="3" t="n">
        <v>15</v>
      </c>
      <c r="R5" s="3" t="n">
        <v>14</v>
      </c>
      <c r="S5" s="3" t="n">
        <v>13</v>
      </c>
      <c r="T5" s="3" t="n">
        <v>12</v>
      </c>
      <c r="U5" s="3" t="n">
        <v>11</v>
      </c>
      <c r="V5" s="3" t="n">
        <v>10</v>
      </c>
      <c r="W5" s="3" t="n">
        <v>9</v>
      </c>
      <c r="X5" s="3" t="n">
        <v>8</v>
      </c>
      <c r="Y5" s="3" t="n">
        <v>7</v>
      </c>
      <c r="Z5" s="3" t="n">
        <v>6</v>
      </c>
      <c r="AA5" s="3" t="n">
        <v>5</v>
      </c>
      <c r="AB5" s="3" t="n">
        <v>4</v>
      </c>
      <c r="AC5" s="3" t="n">
        <v>3</v>
      </c>
      <c r="AD5" s="3" t="n">
        <v>2</v>
      </c>
      <c r="AE5" s="3" t="n">
        <v>1</v>
      </c>
    </row>
    <row r="6" ht="30" customHeight="1" s="685">
      <c r="A6" s="391" t="inlineStr">
        <is>
          <t>Loan Balances</t>
        </is>
      </c>
      <c r="B6" s="193">
        <f>DATE(B3,B2,B4)</f>
        <v/>
      </c>
      <c r="C6" s="193">
        <f>DATE(C3,C2,C4)</f>
        <v/>
      </c>
      <c r="D6" s="188">
        <f>DATE(D3,D2,D4)</f>
        <v/>
      </c>
      <c r="E6" s="188">
        <f>DATE(E3,E2,E4)</f>
        <v/>
      </c>
      <c r="F6" s="188">
        <f>DATE(F3,F2,F4)</f>
        <v/>
      </c>
      <c r="G6" s="188">
        <f>DATE(G3,G2,G4)</f>
        <v/>
      </c>
      <c r="H6" s="188">
        <f>DATE(H3,H2,H4)</f>
        <v/>
      </c>
      <c r="I6" s="188">
        <f>DATE(I3,I2,I4)</f>
        <v/>
      </c>
      <c r="J6" s="188">
        <f>DATE(J3,J2,J4)</f>
        <v/>
      </c>
      <c r="K6" s="188">
        <f>DATE(K3,K2,K4)</f>
        <v/>
      </c>
      <c r="L6" s="188">
        <f>DATE(L3,L2,L4)</f>
        <v/>
      </c>
      <c r="M6" s="188">
        <f>DATE(M3,M2,M4)</f>
        <v/>
      </c>
      <c r="N6" s="188">
        <f>DATE(N3,N2,N4)</f>
        <v/>
      </c>
      <c r="O6" s="188">
        <f>DATE(O3,O2,O4)</f>
        <v/>
      </c>
      <c r="P6" s="188">
        <f>DATE(P3,P2,P4)</f>
        <v/>
      </c>
      <c r="Q6" s="188">
        <f>DATE(Q3,Q2,Q4)</f>
        <v/>
      </c>
      <c r="R6" s="188">
        <f>DATE(R3,R2,R4)</f>
        <v/>
      </c>
      <c r="S6" s="188">
        <f>DATE(S3,S2,S4)</f>
        <v/>
      </c>
      <c r="T6" s="188">
        <f>DATE(T3,T2,T4)</f>
        <v/>
      </c>
      <c r="U6" s="188">
        <f>DATE(U3,U2,U4)</f>
        <v/>
      </c>
      <c r="V6" s="188">
        <f>DATE(V3,V2,V4)</f>
        <v/>
      </c>
      <c r="W6" s="188">
        <f>DATE(W3,W2,W4)</f>
        <v/>
      </c>
      <c r="X6" s="188">
        <f>DATE(X3,X2,X4)</f>
        <v/>
      </c>
      <c r="Y6" s="188">
        <f>DATE(Y3,Y2,Y4)</f>
        <v/>
      </c>
      <c r="Z6" s="188">
        <f>DATE(Z3,Z2,Z4)</f>
        <v/>
      </c>
      <c r="AA6" s="188">
        <f>DATE(AA3,AA2,AA4)</f>
        <v/>
      </c>
      <c r="AB6" s="188">
        <f>DATE(AB3,AB2,AB4)</f>
        <v/>
      </c>
      <c r="AC6" s="188">
        <f>DATE(AC3,AC2,AC4)</f>
        <v/>
      </c>
      <c r="AD6" s="188">
        <f>DATE(AD3,AD2,AD4)</f>
        <v/>
      </c>
      <c r="AE6" s="188">
        <f>'Historical Data'!AY8</f>
        <v/>
      </c>
      <c r="AF6" s="411" t="inlineStr">
        <is>
          <t>ACL Lifetime Months</t>
        </is>
      </c>
      <c r="AG6" s="411" t="inlineStr">
        <is>
          <t>ACL Lifetime Quarters</t>
        </is>
      </c>
      <c r="AH6" s="822" t="inlineStr">
        <is>
          <t>Average Balance ACL Lifetime</t>
        </is>
      </c>
    </row>
    <row r="7" customFormat="1" s="1">
      <c r="A7" s="4">
        <f>'Scale Calculation'!C9</f>
        <v/>
      </c>
      <c r="B7" s="823">
        <f>IF(B$5&gt;$AG7,"",HLOOKUP(B$6,'Historical Data'!161:174,2,FALSE))</f>
        <v/>
      </c>
      <c r="C7" s="823">
        <f>IF(C$5&gt;$AG7,"",HLOOKUP(C$6,'Historical Data'!161:174,2,FALSE))</f>
        <v/>
      </c>
      <c r="D7" s="824">
        <f>IF(D$5&gt;$AG7,"",HLOOKUP(D$6,'Historical Data'!161:174,2,FALSE))</f>
        <v/>
      </c>
      <c r="E7" s="824">
        <f>IF(E$5&gt;$AG7,"",HLOOKUP(E$6,'Historical Data'!161:174,2,FALSE))</f>
        <v/>
      </c>
      <c r="F7" s="824">
        <f>IF(F$5&gt;$AG7,"",HLOOKUP(F$6,'Historical Data'!161:174,2,FALSE))</f>
        <v/>
      </c>
      <c r="G7" s="824">
        <f>IF(G$5&gt;$AG7,"",HLOOKUP(G$6,'Historical Data'!161:174,2,FALSE))</f>
        <v/>
      </c>
      <c r="H7" s="824">
        <f>IF(H$5&gt;$AG7,"",HLOOKUP(H$6,'Historical Data'!161:174,2,FALSE))</f>
        <v/>
      </c>
      <c r="I7" s="824">
        <f>IF(I$5&gt;$AG7,"",HLOOKUP(I$6,'Historical Data'!161:174,2,FALSE))</f>
        <v/>
      </c>
      <c r="J7" s="824">
        <f>IF(J$5&gt;$AG7,"",HLOOKUP(J$6,'Historical Data'!161:174,2,FALSE))</f>
        <v/>
      </c>
      <c r="K7" s="824">
        <f>IF(K$5&gt;$AG7,"",HLOOKUP(K$6,'Historical Data'!161:174,2,FALSE))</f>
        <v/>
      </c>
      <c r="L7" s="824">
        <f>IF(L$5&gt;$AG7,"",HLOOKUP(L$6,'Historical Data'!161:174,2,FALSE))</f>
        <v/>
      </c>
      <c r="M7" s="824">
        <f>IF(M$5&gt;$AG7,"",HLOOKUP(M$6,'Historical Data'!161:174,2,FALSE))</f>
        <v/>
      </c>
      <c r="N7" s="824">
        <f>IF(N$5&gt;$AG7,"",HLOOKUP(N$6,'Historical Data'!161:174,2,FALSE))</f>
        <v/>
      </c>
      <c r="O7" s="824">
        <f>IF(O$5&gt;$AG7,"",HLOOKUP(O$6,'Historical Data'!161:174,2,FALSE))</f>
        <v/>
      </c>
      <c r="P7" s="824">
        <f>IF(P$5&gt;$AG7,"",HLOOKUP(P$6,'Historical Data'!161:174,2,FALSE))</f>
        <v/>
      </c>
      <c r="Q7" s="824">
        <f>IF(Q$5&gt;$AG7,"",HLOOKUP(Q$6,'Historical Data'!161:174,2,FALSE))</f>
        <v/>
      </c>
      <c r="R7" s="824">
        <f>IF(R$5&gt;$AG7,"",HLOOKUP(R$6,'Historical Data'!161:174,2,FALSE))</f>
        <v/>
      </c>
      <c r="S7" s="824">
        <f>IF(S$5&gt;$AG7,"",HLOOKUP(S$6,'Historical Data'!161:174,2,FALSE))</f>
        <v/>
      </c>
      <c r="T7" s="824">
        <f>IF(T$5&gt;$AG7,"",HLOOKUP(T$6,'Historical Data'!161:174,2,FALSE))</f>
        <v/>
      </c>
      <c r="U7" s="824">
        <f>IF(U$5&gt;$AG7,"",HLOOKUP(U$6,'Historical Data'!161:174,2,FALSE))</f>
        <v/>
      </c>
      <c r="V7" s="824">
        <f>IF(V$5&gt;$AG7,"",HLOOKUP(V$6,'Historical Data'!161:174,2,FALSE))</f>
        <v/>
      </c>
      <c r="W7" s="824">
        <f>IF(W$5&gt;$AG7,"",HLOOKUP(W$6,'Historical Data'!161:174,2,FALSE))</f>
        <v/>
      </c>
      <c r="X7" s="824">
        <f>IF(X$5&gt;$AG7,"",HLOOKUP(X$6,'Historical Data'!161:174,2,FALSE))</f>
        <v/>
      </c>
      <c r="Y7" s="824">
        <f>IF(Y$5&gt;$AG7,"",HLOOKUP(Y$6,'Historical Data'!161:174,2,FALSE))</f>
        <v/>
      </c>
      <c r="Z7" s="824">
        <f>IF(Z$5&gt;$AG7,"",HLOOKUP(Z$6,'Historical Data'!161:174,2,FALSE))</f>
        <v/>
      </c>
      <c r="AA7" s="824">
        <f>IF(AA$5&gt;$AG7,"",HLOOKUP(AA$6,'Historical Data'!161:174,2,FALSE))</f>
        <v/>
      </c>
      <c r="AB7" s="824">
        <f>IF(AB$5&gt;$AG7,"",HLOOKUP(AB$6,'Historical Data'!161:174,2,FALSE))</f>
        <v/>
      </c>
      <c r="AC7" s="824">
        <f>IF(AC$5&gt;$AG7,"",HLOOKUP(AC$6,'Historical Data'!161:174,2,FALSE))</f>
        <v/>
      </c>
      <c r="AD7" s="824">
        <f>IF(AD$5&gt;$AG7,"",HLOOKUP(AD$6,'Historical Data'!161:174,2,FALSE))</f>
        <v/>
      </c>
      <c r="AE7" s="824">
        <f>IF(AE$5&gt;$AG7,"",HLOOKUP(AE$6,'Historical Data'!161:174,2,FALSE))</f>
        <v/>
      </c>
      <c r="AF7" s="411">
        <f>'Industry Data'!B3</f>
        <v/>
      </c>
      <c r="AG7" s="412">
        <f>ROUNDUP(AF7/3,0)</f>
        <v/>
      </c>
      <c r="AH7" s="825">
        <f>SUMIF($B$5:$AE$5,AG7,B24:AE24)/AG7</f>
        <v/>
      </c>
      <c r="AI7" s="826" t="n"/>
      <c r="AJ7" s="826" t="n"/>
    </row>
    <row r="8">
      <c r="A8" s="4">
        <f>'Scale Calculation'!C10</f>
        <v/>
      </c>
      <c r="B8" s="823">
        <f>IF(B$5&gt;$AG8,"",HLOOKUP(B$6,'Historical Data'!161:174,3,FALSE))</f>
        <v/>
      </c>
      <c r="C8" s="823">
        <f>IF(C$5&gt;$AG8,"",HLOOKUP(C$6,'Historical Data'!161:174,3,FALSE))</f>
        <v/>
      </c>
      <c r="D8" s="824">
        <f>IF(D$5&gt;$AG8,"",HLOOKUP(D$6,'Historical Data'!161:174,3,FALSE))</f>
        <v/>
      </c>
      <c r="E8" s="824">
        <f>IF(E$5&gt;$AG8,"",HLOOKUP(E$6,'Historical Data'!161:174,3,FALSE))</f>
        <v/>
      </c>
      <c r="F8" s="824">
        <f>IF(F$5&gt;$AG8,"",HLOOKUP(F$6,'Historical Data'!161:174,3,FALSE))</f>
        <v/>
      </c>
      <c r="G8" s="824">
        <f>IF(G$5&gt;$AG8,"",HLOOKUP(G$6,'Historical Data'!161:174,3,FALSE))</f>
        <v/>
      </c>
      <c r="H8" s="824">
        <f>IF(H$5&gt;$AG8,"",HLOOKUP(H$6,'Historical Data'!161:174,3,FALSE))</f>
        <v/>
      </c>
      <c r="I8" s="824">
        <f>IF(I$5&gt;$AG8,"",HLOOKUP(I$6,'Historical Data'!161:174,3,FALSE))</f>
        <v/>
      </c>
      <c r="J8" s="824">
        <f>IF(J$5&gt;$AG8,"",HLOOKUP(J$6,'Historical Data'!161:174,3,FALSE))</f>
        <v/>
      </c>
      <c r="K8" s="824">
        <f>IF(K$5&gt;$AG8,"",HLOOKUP(K$6,'Historical Data'!161:174,3,FALSE))</f>
        <v/>
      </c>
      <c r="L8" s="824">
        <f>IF(L$5&gt;$AG8,"",HLOOKUP(L$6,'Historical Data'!161:174,3,FALSE))</f>
        <v/>
      </c>
      <c r="M8" s="824">
        <f>IF(M$5&gt;$AG8,"",HLOOKUP(M$6,'Historical Data'!161:174,3,FALSE))</f>
        <v/>
      </c>
      <c r="N8" s="824">
        <f>IF(N$5&gt;$AG8,"",HLOOKUP(N$6,'Historical Data'!161:174,3,FALSE))</f>
        <v/>
      </c>
      <c r="O8" s="824">
        <f>IF(O$5&gt;$AG8,"",HLOOKUP(O$6,'Historical Data'!161:174,3,FALSE))</f>
        <v/>
      </c>
      <c r="P8" s="824">
        <f>IF(P$5&gt;$AG8,"",HLOOKUP(P$6,'Historical Data'!161:174,3,FALSE))</f>
        <v/>
      </c>
      <c r="Q8" s="824">
        <f>IF(Q$5&gt;$AG8,"",HLOOKUP(Q$6,'Historical Data'!161:174,3,FALSE))</f>
        <v/>
      </c>
      <c r="R8" s="824">
        <f>IF(R$5&gt;$AG8,"",HLOOKUP(R$6,'Historical Data'!161:174,3,FALSE))</f>
        <v/>
      </c>
      <c r="S8" s="824">
        <f>IF(S$5&gt;$AG8,"",HLOOKUP(S$6,'Historical Data'!161:174,3,FALSE))</f>
        <v/>
      </c>
      <c r="T8" s="824">
        <f>IF(T$5&gt;$AG8,"",HLOOKUP(T$6,'Historical Data'!161:174,3,FALSE))</f>
        <v/>
      </c>
      <c r="U8" s="824">
        <f>IF(U$5&gt;$AG8,"",HLOOKUP(U$6,'Historical Data'!161:174,3,FALSE))</f>
        <v/>
      </c>
      <c r="V8" s="824">
        <f>IF(V$5&gt;$AG8,"",HLOOKUP(V$6,'Historical Data'!161:174,3,FALSE))</f>
        <v/>
      </c>
      <c r="W8" s="824">
        <f>IF(W$5&gt;$AG8,"",HLOOKUP(W$6,'Historical Data'!161:174,3,FALSE))</f>
        <v/>
      </c>
      <c r="X8" s="824">
        <f>IF(X$5&gt;$AG8,"",HLOOKUP(X$6,'Historical Data'!161:174,3,FALSE))</f>
        <v/>
      </c>
      <c r="Y8" s="824">
        <f>IF(Y$5&gt;$AG8,"",HLOOKUP(Y$6,'Historical Data'!161:174,3,FALSE))</f>
        <v/>
      </c>
      <c r="Z8" s="824">
        <f>IF(Z$5&gt;$AG8,"",HLOOKUP(Z$6,'Historical Data'!161:174,3,FALSE))</f>
        <v/>
      </c>
      <c r="AA8" s="824">
        <f>IF(AA$5&gt;$AG8,"",HLOOKUP(AA$6,'Historical Data'!161:174,3,FALSE))</f>
        <v/>
      </c>
      <c r="AB8" s="824">
        <f>IF(AB$5&gt;$AG8,"",HLOOKUP(AB$6,'Historical Data'!161:174,3,FALSE))</f>
        <v/>
      </c>
      <c r="AC8" s="824">
        <f>IF(AC$5&gt;$AG8,"",HLOOKUP(AC$6,'Historical Data'!161:174,3,FALSE))</f>
        <v/>
      </c>
      <c r="AD8" s="824">
        <f>IF(AD$5&gt;$AG8,"",HLOOKUP(AD$6,'Historical Data'!161:174,3,FALSE))</f>
        <v/>
      </c>
      <c r="AE8" s="824">
        <f>IF(AE$5&gt;$AG8,"",HLOOKUP(AE$6,'Historical Data'!161:174,3,FALSE))</f>
        <v/>
      </c>
      <c r="AF8" s="411">
        <f>'Industry Data'!B4</f>
        <v/>
      </c>
      <c r="AG8" s="412">
        <f>ROUNDUP(AF8/3,0)</f>
        <v/>
      </c>
      <c r="AH8" s="825">
        <f>SUMIF($B$5:$AE$5,AG8,B25:AE25)/AG8</f>
        <v/>
      </c>
      <c r="AI8" s="826" t="n"/>
      <c r="AJ8" s="826" t="n"/>
    </row>
    <row r="9">
      <c r="A9" s="4">
        <f>'Scale Calculation'!C11</f>
        <v/>
      </c>
      <c r="B9" s="823">
        <f>IF(B$5&gt;$AG9,"",HLOOKUP(B$6,'Historical Data'!161:174,4,FALSE))</f>
        <v/>
      </c>
      <c r="C9" s="823">
        <f>IF(C$5&gt;$AG9,"",HLOOKUP(C$6,'Historical Data'!161:174,4,FALSE))</f>
        <v/>
      </c>
      <c r="D9" s="824">
        <f>IF(D$5&gt;$AG9,"",HLOOKUP(D$6,'Historical Data'!161:174,4,FALSE))</f>
        <v/>
      </c>
      <c r="E9" s="824">
        <f>IF(E$5&gt;$AG9,"",HLOOKUP(E$6,'Historical Data'!161:174,4,FALSE))</f>
        <v/>
      </c>
      <c r="F9" s="824">
        <f>IF(F$5&gt;$AG9,"",HLOOKUP(F$6,'Historical Data'!161:174,4,FALSE))</f>
        <v/>
      </c>
      <c r="G9" s="824">
        <f>IF(G$5&gt;$AG9,"",HLOOKUP(G$6,'Historical Data'!161:174,4,FALSE))</f>
        <v/>
      </c>
      <c r="H9" s="824">
        <f>IF(H$5&gt;$AG9,"",HLOOKUP(H$6,'Historical Data'!161:174,4,FALSE))</f>
        <v/>
      </c>
      <c r="I9" s="824">
        <f>IF(I$5&gt;$AG9,"",HLOOKUP(I$6,'Historical Data'!161:174,4,FALSE))</f>
        <v/>
      </c>
      <c r="J9" s="824">
        <f>IF(J$5&gt;$AG9,"",HLOOKUP(J$6,'Historical Data'!161:174,4,FALSE))</f>
        <v/>
      </c>
      <c r="K9" s="824">
        <f>IF(K$5&gt;$AG9,"",HLOOKUP(K$6,'Historical Data'!161:174,4,FALSE))</f>
        <v/>
      </c>
      <c r="L9" s="824">
        <f>IF(L$5&gt;$AG9,"",HLOOKUP(L$6,'Historical Data'!161:174,4,FALSE))</f>
        <v/>
      </c>
      <c r="M9" s="824">
        <f>IF(M$5&gt;$AG9,"",HLOOKUP(M$6,'Historical Data'!161:174,4,FALSE))</f>
        <v/>
      </c>
      <c r="N9" s="824">
        <f>IF(N$5&gt;$AG9,"",HLOOKUP(N$6,'Historical Data'!161:174,4,FALSE))</f>
        <v/>
      </c>
      <c r="O9" s="824">
        <f>IF(O$5&gt;$AG9,"",HLOOKUP(O$6,'Historical Data'!161:174,4,FALSE))</f>
        <v/>
      </c>
      <c r="P9" s="824">
        <f>IF(P$5&gt;$AG9,"",HLOOKUP(P$6,'Historical Data'!161:174,4,FALSE))</f>
        <v/>
      </c>
      <c r="Q9" s="824">
        <f>IF(Q$5&gt;$AG9,"",HLOOKUP(Q$6,'Historical Data'!161:174,4,FALSE))</f>
        <v/>
      </c>
      <c r="R9" s="824">
        <f>IF(R$5&gt;$AG9,"",HLOOKUP(R$6,'Historical Data'!161:174,4,FALSE))</f>
        <v/>
      </c>
      <c r="S9" s="824">
        <f>IF(S$5&gt;$AG9,"",HLOOKUP(S$6,'Historical Data'!161:174,4,FALSE))</f>
        <v/>
      </c>
      <c r="T9" s="824">
        <f>IF(T$5&gt;$AG9,"",HLOOKUP(T$6,'Historical Data'!161:174,4,FALSE))</f>
        <v/>
      </c>
      <c r="U9" s="824">
        <f>IF(U$5&gt;$AG9,"",HLOOKUP(U$6,'Historical Data'!161:174,4,FALSE))</f>
        <v/>
      </c>
      <c r="V9" s="824">
        <f>IF(V$5&gt;$AG9,"",HLOOKUP(V$6,'Historical Data'!161:174,4,FALSE))</f>
        <v/>
      </c>
      <c r="W9" s="824">
        <f>IF(W$5&gt;$AG9,"",HLOOKUP(W$6,'Historical Data'!161:174,4,FALSE))</f>
        <v/>
      </c>
      <c r="X9" s="824">
        <f>IF(X$5&gt;$AG9,"",HLOOKUP(X$6,'Historical Data'!161:174,4,FALSE))</f>
        <v/>
      </c>
      <c r="Y9" s="824">
        <f>IF(Y$5&gt;$AG9,"",HLOOKUP(Y$6,'Historical Data'!161:174,4,FALSE))</f>
        <v/>
      </c>
      <c r="Z9" s="824">
        <f>IF(Z$5&gt;$AG9,"",HLOOKUP(Z$6,'Historical Data'!161:174,4,FALSE))</f>
        <v/>
      </c>
      <c r="AA9" s="824">
        <f>IF(AA$5&gt;$AG9,"",HLOOKUP(AA$6,'Historical Data'!161:174,4,FALSE))</f>
        <v/>
      </c>
      <c r="AB9" s="824">
        <f>IF(AB$5&gt;$AG9,"",HLOOKUP(AB$6,'Historical Data'!161:174,4,FALSE))</f>
        <v/>
      </c>
      <c r="AC9" s="824">
        <f>IF(AC$5&gt;$AG9,"",HLOOKUP(AC$6,'Historical Data'!161:174,4,FALSE))</f>
        <v/>
      </c>
      <c r="AD9" s="824">
        <f>IF(AD$5&gt;$AG9,"",HLOOKUP(AD$6,'Historical Data'!161:174,4,FALSE))</f>
        <v/>
      </c>
      <c r="AE9" s="824">
        <f>IF(AE$5&gt;$AG9,"",HLOOKUP(AE$6,'Historical Data'!161:174,4,FALSE))</f>
        <v/>
      </c>
      <c r="AF9" s="411">
        <f>'Industry Data'!B5</f>
        <v/>
      </c>
      <c r="AG9" s="412">
        <f>ROUNDUP(AF9/3,0)</f>
        <v/>
      </c>
      <c r="AH9" s="825">
        <f>SUMIF($B$5:$AE$5,AG9,B26:AE26)/AG9</f>
        <v/>
      </c>
      <c r="AI9" s="826" t="n"/>
      <c r="AJ9" s="826" t="n"/>
    </row>
    <row r="10">
      <c r="A10" s="4">
        <f>'Scale Calculation'!C12</f>
        <v/>
      </c>
      <c r="B10" s="823">
        <f>IF(B$5&gt;$AG10,"",HLOOKUP(B$6,'Historical Data'!161:174,5,FALSE))</f>
        <v/>
      </c>
      <c r="C10" s="823">
        <f>IF(C$5&gt;$AG10,"",HLOOKUP(C$6,'Historical Data'!161:174,5,FALSE))</f>
        <v/>
      </c>
      <c r="D10" s="824">
        <f>IF(D$5&gt;$AG10,"",HLOOKUP(D$6,'Historical Data'!161:174,5,FALSE))</f>
        <v/>
      </c>
      <c r="E10" s="824">
        <f>IF(E$5&gt;$AG10,"",HLOOKUP(E$6,'Historical Data'!161:174,5,FALSE))</f>
        <v/>
      </c>
      <c r="F10" s="824">
        <f>IF(F$5&gt;$AG10,"",HLOOKUP(F$6,'Historical Data'!161:174,5,FALSE))</f>
        <v/>
      </c>
      <c r="G10" s="824">
        <f>IF(G$5&gt;$AG10,"",HLOOKUP(G$6,'Historical Data'!161:174,5,FALSE))</f>
        <v/>
      </c>
      <c r="H10" s="824">
        <f>IF(H$5&gt;$AG10,"",HLOOKUP(H$6,'Historical Data'!161:174,5,FALSE))</f>
        <v/>
      </c>
      <c r="I10" s="824">
        <f>IF(I$5&gt;$AG10,"",HLOOKUP(I$6,'Historical Data'!161:174,5,FALSE))</f>
        <v/>
      </c>
      <c r="J10" s="824">
        <f>IF(J$5&gt;$AG10,"",HLOOKUP(J$6,'Historical Data'!161:174,5,FALSE))</f>
        <v/>
      </c>
      <c r="K10" s="824">
        <f>IF(K$5&gt;$AG10,"",HLOOKUP(K$6,'Historical Data'!161:174,5,FALSE))</f>
        <v/>
      </c>
      <c r="L10" s="824">
        <f>IF(L$5&gt;$AG10,"",HLOOKUP(L$6,'Historical Data'!161:174,5,FALSE))</f>
        <v/>
      </c>
      <c r="M10" s="824">
        <f>IF(M$5&gt;$AG10,"",HLOOKUP(M$6,'Historical Data'!161:174,5,FALSE))</f>
        <v/>
      </c>
      <c r="N10" s="824">
        <f>IF(N$5&gt;$AG10,"",HLOOKUP(N$6,'Historical Data'!161:174,5,FALSE))</f>
        <v/>
      </c>
      <c r="O10" s="824">
        <f>IF(O$5&gt;$AG10,"",HLOOKUP(O$6,'Historical Data'!161:174,5,FALSE))</f>
        <v/>
      </c>
      <c r="P10" s="824">
        <f>IF(P$5&gt;$AG10,"",HLOOKUP(P$6,'Historical Data'!161:174,5,FALSE))</f>
        <v/>
      </c>
      <c r="Q10" s="824">
        <f>IF(Q$5&gt;$AG10,"",HLOOKUP(Q$6,'Historical Data'!161:174,5,FALSE))</f>
        <v/>
      </c>
      <c r="R10" s="824">
        <f>IF(R$5&gt;$AG10,"",HLOOKUP(R$6,'Historical Data'!161:174,5,FALSE))</f>
        <v/>
      </c>
      <c r="S10" s="824">
        <f>IF(S$5&gt;$AG10,"",HLOOKUP(S$6,'Historical Data'!161:174,5,FALSE))</f>
        <v/>
      </c>
      <c r="T10" s="824">
        <f>IF(T$5&gt;$AG10,"",HLOOKUP(T$6,'Historical Data'!161:174,5,FALSE))</f>
        <v/>
      </c>
      <c r="U10" s="824">
        <f>IF(U$5&gt;$AG10,"",HLOOKUP(U$6,'Historical Data'!161:174,5,FALSE))</f>
        <v/>
      </c>
      <c r="V10" s="824">
        <f>IF(V$5&gt;$AG10,"",HLOOKUP(V$6,'Historical Data'!161:174,5,FALSE))</f>
        <v/>
      </c>
      <c r="W10" s="824">
        <f>IF(W$5&gt;$AG10,"",HLOOKUP(W$6,'Historical Data'!161:174,5,FALSE))</f>
        <v/>
      </c>
      <c r="X10" s="824">
        <f>IF(X$5&gt;$AG10,"",HLOOKUP(X$6,'Historical Data'!161:174,5,FALSE))</f>
        <v/>
      </c>
      <c r="Y10" s="824">
        <f>IF(Y$5&gt;$AG10,"",HLOOKUP(Y$6,'Historical Data'!161:174,5,FALSE))</f>
        <v/>
      </c>
      <c r="Z10" s="824">
        <f>IF(Z$5&gt;$AG10,"",HLOOKUP(Z$6,'Historical Data'!161:174,5,FALSE))</f>
        <v/>
      </c>
      <c r="AA10" s="824">
        <f>IF(AA$5&gt;$AG10,"",HLOOKUP(AA$6,'Historical Data'!161:174,5,FALSE))</f>
        <v/>
      </c>
      <c r="AB10" s="824">
        <f>IF(AB$5&gt;$AG10,"",HLOOKUP(AB$6,'Historical Data'!161:174,5,FALSE))</f>
        <v/>
      </c>
      <c r="AC10" s="824">
        <f>IF(AC$5&gt;$AG10,"",HLOOKUP(AC$6,'Historical Data'!161:174,5,FALSE))</f>
        <v/>
      </c>
      <c r="AD10" s="824">
        <f>IF(AD$5&gt;$AG10,"",HLOOKUP(AD$6,'Historical Data'!161:174,5,FALSE))</f>
        <v/>
      </c>
      <c r="AE10" s="824">
        <f>IF(AE$5&gt;$AG10,"",HLOOKUP(AE$6,'Historical Data'!161:174,5,FALSE))</f>
        <v/>
      </c>
      <c r="AF10" s="411">
        <f>'Industry Data'!B6</f>
        <v/>
      </c>
      <c r="AG10" s="412">
        <f>ROUNDUP(AF10/3,0)</f>
        <v/>
      </c>
      <c r="AH10" s="825">
        <f>SUMIF($B$5:$AE$5,AG10,B27:AE27)/AG10</f>
        <v/>
      </c>
      <c r="AI10" s="826" t="n"/>
      <c r="AJ10" s="826" t="n"/>
    </row>
    <row r="11">
      <c r="A11" s="4">
        <f>'Scale Calculation'!C13</f>
        <v/>
      </c>
      <c r="B11" s="823">
        <f>IF(B$5&gt;$AG11,"",HLOOKUP(B$6,'Historical Data'!161:174,6,FALSE))</f>
        <v/>
      </c>
      <c r="C11" s="823">
        <f>IF(C$5&gt;$AG11,"",HLOOKUP(C$6,'Historical Data'!161:174,6,FALSE))</f>
        <v/>
      </c>
      <c r="D11" s="824">
        <f>IF(D$5&gt;$AG11,"",HLOOKUP(D$6,'Historical Data'!161:174,6,FALSE))</f>
        <v/>
      </c>
      <c r="E11" s="824">
        <f>IF(E$5&gt;$AG11,"",HLOOKUP(E$6,'Historical Data'!161:174,6,FALSE))</f>
        <v/>
      </c>
      <c r="F11" s="824">
        <f>IF(F$5&gt;$AG11,"",HLOOKUP(F$6,'Historical Data'!161:174,6,FALSE))</f>
        <v/>
      </c>
      <c r="G11" s="824">
        <f>IF(G$5&gt;$AG11,"",HLOOKUP(G$6,'Historical Data'!161:174,6,FALSE))</f>
        <v/>
      </c>
      <c r="H11" s="824">
        <f>IF(H$5&gt;$AG11,"",HLOOKUP(H$6,'Historical Data'!161:174,6,FALSE))</f>
        <v/>
      </c>
      <c r="I11" s="824">
        <f>IF(I$5&gt;$AG11,"",HLOOKUP(I$6,'Historical Data'!161:174,6,FALSE))</f>
        <v/>
      </c>
      <c r="J11" s="824">
        <f>IF(J$5&gt;$AG11,"",HLOOKUP(J$6,'Historical Data'!161:174,6,FALSE))</f>
        <v/>
      </c>
      <c r="K11" s="824">
        <f>IF(K$5&gt;$AG11,"",HLOOKUP(K$6,'Historical Data'!161:174,6,FALSE))</f>
        <v/>
      </c>
      <c r="L11" s="824">
        <f>IF(L$5&gt;$AG11,"",HLOOKUP(L$6,'Historical Data'!161:174,6,FALSE))</f>
        <v/>
      </c>
      <c r="M11" s="824">
        <f>IF(M$5&gt;$AG11,"",HLOOKUP(M$6,'Historical Data'!161:174,6,FALSE))</f>
        <v/>
      </c>
      <c r="N11" s="824">
        <f>IF(N$5&gt;$AG11,"",HLOOKUP(N$6,'Historical Data'!161:174,6,FALSE))</f>
        <v/>
      </c>
      <c r="O11" s="824">
        <f>IF(O$5&gt;$AG11,"",HLOOKUP(O$6,'Historical Data'!161:174,6,FALSE))</f>
        <v/>
      </c>
      <c r="P11" s="824">
        <f>IF(P$5&gt;$AG11,"",HLOOKUP(P$6,'Historical Data'!161:174,6,FALSE))</f>
        <v/>
      </c>
      <c r="Q11" s="824">
        <f>IF(Q$5&gt;$AG11,"",HLOOKUP(Q$6,'Historical Data'!161:174,6,FALSE))</f>
        <v/>
      </c>
      <c r="R11" s="824">
        <f>IF(R$5&gt;$AG11,"",HLOOKUP(R$6,'Historical Data'!161:174,6,FALSE))</f>
        <v/>
      </c>
      <c r="S11" s="824">
        <f>IF(S$5&gt;$AG11,"",HLOOKUP(S$6,'Historical Data'!161:174,6,FALSE))</f>
        <v/>
      </c>
      <c r="T11" s="824">
        <f>IF(T$5&gt;$AG11,"",HLOOKUP(T$6,'Historical Data'!161:174,6,FALSE))</f>
        <v/>
      </c>
      <c r="U11" s="824">
        <f>IF(U$5&gt;$AG11,"",HLOOKUP(U$6,'Historical Data'!161:174,6,FALSE))</f>
        <v/>
      </c>
      <c r="V11" s="824">
        <f>IF(V$5&gt;$AG11,"",HLOOKUP(V$6,'Historical Data'!161:174,6,FALSE))</f>
        <v/>
      </c>
      <c r="W11" s="824">
        <f>IF(W$5&gt;$AG11,"",HLOOKUP(W$6,'Historical Data'!161:174,6,FALSE))</f>
        <v/>
      </c>
      <c r="X11" s="824">
        <f>IF(X$5&gt;$AG11,"",HLOOKUP(X$6,'Historical Data'!161:174,6,FALSE))</f>
        <v/>
      </c>
      <c r="Y11" s="824">
        <f>IF(Y$5&gt;$AG11,"",HLOOKUP(Y$6,'Historical Data'!161:174,6,FALSE))</f>
        <v/>
      </c>
      <c r="Z11" s="824">
        <f>IF(Z$5&gt;$AG11,"",HLOOKUP(Z$6,'Historical Data'!161:174,6,FALSE))</f>
        <v/>
      </c>
      <c r="AA11" s="824">
        <f>IF(AA$5&gt;$AG11,"",HLOOKUP(AA$6,'Historical Data'!161:174,6,FALSE))</f>
        <v/>
      </c>
      <c r="AB11" s="824">
        <f>IF(AB$5&gt;$AG11,"",HLOOKUP(AB$6,'Historical Data'!161:174,6,FALSE))</f>
        <v/>
      </c>
      <c r="AC11" s="824">
        <f>IF(AC$5&gt;$AG11,"",HLOOKUP(AC$6,'Historical Data'!161:174,6,FALSE))</f>
        <v/>
      </c>
      <c r="AD11" s="824">
        <f>IF(AD$5&gt;$AG11,"",HLOOKUP(AD$6,'Historical Data'!161:174,6,FALSE))</f>
        <v/>
      </c>
      <c r="AE11" s="824">
        <f>IF(AE$5&gt;$AG11,"",HLOOKUP(AE$6,'Historical Data'!161:174,6,FALSE))</f>
        <v/>
      </c>
      <c r="AF11" s="411">
        <f>'Industry Data'!B7</f>
        <v/>
      </c>
      <c r="AG11" s="412">
        <f>ROUNDUP(AF11/3,0)</f>
        <v/>
      </c>
      <c r="AH11" s="825">
        <f>SUMIF($B$5:$AE$5,AG11,B28:AE28)/AG11</f>
        <v/>
      </c>
      <c r="AI11" s="826" t="n"/>
      <c r="AJ11" s="826" t="n"/>
    </row>
    <row r="12">
      <c r="A12" s="4">
        <f>'Scale Calculation'!C14</f>
        <v/>
      </c>
      <c r="B12" s="823">
        <f>IF(B$5&gt;$AG12,"",HLOOKUP(B$6,'Historical Data'!161:174,7,FALSE))</f>
        <v/>
      </c>
      <c r="C12" s="823">
        <f>IF(C$5&gt;$AG12,"",HLOOKUP(C$6,'Historical Data'!161:174,7,FALSE))</f>
        <v/>
      </c>
      <c r="D12" s="824">
        <f>IF(D$5&gt;$AG12,"",HLOOKUP(D$6,'Historical Data'!161:174,7,FALSE))</f>
        <v/>
      </c>
      <c r="E12" s="824">
        <f>IF(E$5&gt;$AG12,"",HLOOKUP(E$6,'Historical Data'!161:174,7,FALSE))</f>
        <v/>
      </c>
      <c r="F12" s="824">
        <f>IF(F$5&gt;$AG12,"",HLOOKUP(F$6,'Historical Data'!161:174,7,FALSE))</f>
        <v/>
      </c>
      <c r="G12" s="824">
        <f>IF(G$5&gt;$AG12,"",HLOOKUP(G$6,'Historical Data'!161:174,7,FALSE))</f>
        <v/>
      </c>
      <c r="H12" s="824">
        <f>IF(H$5&gt;$AG12,"",HLOOKUP(H$6,'Historical Data'!161:174,7,FALSE))</f>
        <v/>
      </c>
      <c r="I12" s="824">
        <f>IF(I$5&gt;$AG12,"",HLOOKUP(I$6,'Historical Data'!161:174,7,FALSE))</f>
        <v/>
      </c>
      <c r="J12" s="824">
        <f>IF(J$5&gt;$AG12,"",HLOOKUP(J$6,'Historical Data'!161:174,7,FALSE))</f>
        <v/>
      </c>
      <c r="K12" s="824">
        <f>IF(K$5&gt;$AG12,"",HLOOKUP(K$6,'Historical Data'!161:174,7,FALSE))</f>
        <v/>
      </c>
      <c r="L12" s="824">
        <f>IF(L$5&gt;$AG12,"",HLOOKUP(L$6,'Historical Data'!161:174,7,FALSE))</f>
        <v/>
      </c>
      <c r="M12" s="824">
        <f>IF(M$5&gt;$AG12,"",HLOOKUP(M$6,'Historical Data'!161:174,7,FALSE))</f>
        <v/>
      </c>
      <c r="N12" s="824">
        <f>IF(N$5&gt;$AG12,"",HLOOKUP(N$6,'Historical Data'!161:174,7,FALSE))</f>
        <v/>
      </c>
      <c r="O12" s="824">
        <f>IF(O$5&gt;$AG12,"",HLOOKUP(O$6,'Historical Data'!161:174,7,FALSE))</f>
        <v/>
      </c>
      <c r="P12" s="824">
        <f>IF(P$5&gt;$AG12,"",HLOOKUP(P$6,'Historical Data'!161:174,7,FALSE))</f>
        <v/>
      </c>
      <c r="Q12" s="824">
        <f>IF(Q$5&gt;$AG12,"",HLOOKUP(Q$6,'Historical Data'!161:174,7,FALSE))</f>
        <v/>
      </c>
      <c r="R12" s="824">
        <f>IF(R$5&gt;$AG12,"",HLOOKUP(R$6,'Historical Data'!161:174,7,FALSE))</f>
        <v/>
      </c>
      <c r="S12" s="824">
        <f>IF(S$5&gt;$AG12,"",HLOOKUP(S$6,'Historical Data'!161:174,7,FALSE))</f>
        <v/>
      </c>
      <c r="T12" s="824">
        <f>IF(T$5&gt;$AG12,"",HLOOKUP(T$6,'Historical Data'!161:174,7,FALSE))</f>
        <v/>
      </c>
      <c r="U12" s="824">
        <f>IF(U$5&gt;$AG12,"",HLOOKUP(U$6,'Historical Data'!161:174,7,FALSE))</f>
        <v/>
      </c>
      <c r="V12" s="824">
        <f>IF(V$5&gt;$AG12,"",HLOOKUP(V$6,'Historical Data'!161:174,7,FALSE))</f>
        <v/>
      </c>
      <c r="W12" s="824">
        <f>IF(W$5&gt;$AG12,"",HLOOKUP(W$6,'Historical Data'!161:174,7,FALSE))</f>
        <v/>
      </c>
      <c r="X12" s="824">
        <f>IF(X$5&gt;$AG12,"",HLOOKUP(X$6,'Historical Data'!161:174,7,FALSE))</f>
        <v/>
      </c>
      <c r="Y12" s="824">
        <f>IF(Y$5&gt;$AG12,"",HLOOKUP(Y$6,'Historical Data'!161:174,7,FALSE))</f>
        <v/>
      </c>
      <c r="Z12" s="824">
        <f>IF(Z$5&gt;$AG12,"",HLOOKUP(Z$6,'Historical Data'!161:174,7,FALSE))</f>
        <v/>
      </c>
      <c r="AA12" s="824">
        <f>IF(AA$5&gt;$AG12,"",HLOOKUP(AA$6,'Historical Data'!161:174,7,FALSE))</f>
        <v/>
      </c>
      <c r="AB12" s="824">
        <f>IF(AB$5&gt;$AG12,"",HLOOKUP(AB$6,'Historical Data'!161:174,7,FALSE))</f>
        <v/>
      </c>
      <c r="AC12" s="824">
        <f>IF(AC$5&gt;$AG12,"",HLOOKUP(AC$6,'Historical Data'!161:174,7,FALSE))</f>
        <v/>
      </c>
      <c r="AD12" s="824">
        <f>IF(AD$5&gt;$AG12,"",HLOOKUP(AD$6,'Historical Data'!161:174,7,FALSE))</f>
        <v/>
      </c>
      <c r="AE12" s="824">
        <f>IF(AE$5&gt;$AG12,"",HLOOKUP(AE$6,'Historical Data'!161:174,7,FALSE))</f>
        <v/>
      </c>
      <c r="AF12" s="411">
        <f>'Industry Data'!B8</f>
        <v/>
      </c>
      <c r="AG12" s="412">
        <f>ROUNDUP(AF12/3,0)</f>
        <v/>
      </c>
      <c r="AH12" s="825">
        <f>SUMIF($B$5:$AE$5,AG12,B29:AE29)/AG12</f>
        <v/>
      </c>
      <c r="AI12" s="826" t="n"/>
      <c r="AJ12" s="826" t="n"/>
    </row>
    <row r="13">
      <c r="A13" s="4">
        <f>'Scale Calculation'!C15</f>
        <v/>
      </c>
      <c r="B13" s="823">
        <f>IF(B$5&gt;$AG13,"",HLOOKUP(B$6,'Historical Data'!161:174,8,FALSE))</f>
        <v/>
      </c>
      <c r="C13" s="823">
        <f>IF(C$5&gt;$AG13,"",HLOOKUP(C$6,'Historical Data'!161:174,8,FALSE))</f>
        <v/>
      </c>
      <c r="D13" s="824">
        <f>IF(D$5&gt;$AG13,"",HLOOKUP(D$6,'Historical Data'!161:174,8,FALSE))</f>
        <v/>
      </c>
      <c r="E13" s="824">
        <f>IF(E$5&gt;$AG13,"",HLOOKUP(E$6,'Historical Data'!161:174,8,FALSE))</f>
        <v/>
      </c>
      <c r="F13" s="824">
        <f>IF(F$5&gt;$AG13,"",HLOOKUP(F$6,'Historical Data'!161:174,8,FALSE))</f>
        <v/>
      </c>
      <c r="G13" s="824">
        <f>IF(G$5&gt;$AG13,"",HLOOKUP(G$6,'Historical Data'!161:174,8,FALSE))</f>
        <v/>
      </c>
      <c r="H13" s="824">
        <f>IF(H$5&gt;$AG13,"",HLOOKUP(H$6,'Historical Data'!161:174,8,FALSE))</f>
        <v/>
      </c>
      <c r="I13" s="824">
        <f>IF(I$5&gt;$AG13,"",HLOOKUP(I$6,'Historical Data'!161:174,8,FALSE))</f>
        <v/>
      </c>
      <c r="J13" s="824">
        <f>IF(J$5&gt;$AG13,"",HLOOKUP(J$6,'Historical Data'!161:174,8,FALSE))</f>
        <v/>
      </c>
      <c r="K13" s="824">
        <f>IF(K$5&gt;$AG13,"",HLOOKUP(K$6,'Historical Data'!161:174,8,FALSE))</f>
        <v/>
      </c>
      <c r="L13" s="824">
        <f>IF(L$5&gt;$AG13,"",HLOOKUP(L$6,'Historical Data'!161:174,8,FALSE))</f>
        <v/>
      </c>
      <c r="M13" s="824">
        <f>IF(M$5&gt;$AG13,"",HLOOKUP(M$6,'Historical Data'!161:174,8,FALSE))</f>
        <v/>
      </c>
      <c r="N13" s="824">
        <f>IF(N$5&gt;$AG13,"",HLOOKUP(N$6,'Historical Data'!161:174,8,FALSE))</f>
        <v/>
      </c>
      <c r="O13" s="824">
        <f>IF(O$5&gt;$AG13,"",HLOOKUP(O$6,'Historical Data'!161:174,8,FALSE))</f>
        <v/>
      </c>
      <c r="P13" s="824">
        <f>IF(P$5&gt;$AG13,"",HLOOKUP(P$6,'Historical Data'!161:174,8,FALSE))</f>
        <v/>
      </c>
      <c r="Q13" s="824">
        <f>IF(Q$5&gt;$AG13,"",HLOOKUP(Q$6,'Historical Data'!161:174,8,FALSE))</f>
        <v/>
      </c>
      <c r="R13" s="824">
        <f>IF(R$5&gt;$AG13,"",HLOOKUP(R$6,'Historical Data'!161:174,8,FALSE))</f>
        <v/>
      </c>
      <c r="S13" s="824">
        <f>IF(S$5&gt;$AG13,"",HLOOKUP(S$6,'Historical Data'!161:174,8,FALSE))</f>
        <v/>
      </c>
      <c r="T13" s="824">
        <f>IF(T$5&gt;$AG13,"",HLOOKUP(T$6,'Historical Data'!161:174,8,FALSE))</f>
        <v/>
      </c>
      <c r="U13" s="824">
        <f>IF(U$5&gt;$AG13,"",HLOOKUP(U$6,'Historical Data'!161:174,8,FALSE))</f>
        <v/>
      </c>
      <c r="V13" s="824">
        <f>IF(V$5&gt;$AG13,"",HLOOKUP(V$6,'Historical Data'!161:174,8,FALSE))</f>
        <v/>
      </c>
      <c r="W13" s="824">
        <f>IF(W$5&gt;$AG13,"",HLOOKUP(W$6,'Historical Data'!161:174,8,FALSE))</f>
        <v/>
      </c>
      <c r="X13" s="824">
        <f>IF(X$5&gt;$AG13,"",HLOOKUP(X$6,'Historical Data'!161:174,8,FALSE))</f>
        <v/>
      </c>
      <c r="Y13" s="824">
        <f>IF(Y$5&gt;$AG13,"",HLOOKUP(Y$6,'Historical Data'!161:174,8,FALSE))</f>
        <v/>
      </c>
      <c r="Z13" s="824">
        <f>IF(Z$5&gt;$AG13,"",HLOOKUP(Z$6,'Historical Data'!161:174,8,FALSE))</f>
        <v/>
      </c>
      <c r="AA13" s="824">
        <f>IF(AA$5&gt;$AG13,"",HLOOKUP(AA$6,'Historical Data'!161:174,8,FALSE))</f>
        <v/>
      </c>
      <c r="AB13" s="824">
        <f>IF(AB$5&gt;$AG13,"",HLOOKUP(AB$6,'Historical Data'!161:174,8,FALSE))</f>
        <v/>
      </c>
      <c r="AC13" s="824">
        <f>IF(AC$5&gt;$AG13,"",HLOOKUP(AC$6,'Historical Data'!161:174,8,FALSE))</f>
        <v/>
      </c>
      <c r="AD13" s="824">
        <f>IF(AD$5&gt;$AG13,"",HLOOKUP(AD$6,'Historical Data'!161:174,8,FALSE))</f>
        <v/>
      </c>
      <c r="AE13" s="824">
        <f>IF(AE$5&gt;$AG13,"",HLOOKUP(AE$6,'Historical Data'!161:174,8,FALSE))</f>
        <v/>
      </c>
      <c r="AF13" s="411">
        <f>'Industry Data'!B9</f>
        <v/>
      </c>
      <c r="AG13" s="412">
        <f>ROUNDUP(AF13/3,0)</f>
        <v/>
      </c>
      <c r="AH13" s="825">
        <f>SUMIF($B$5:$AE$5,AG13,B30:AE30)/AG13</f>
        <v/>
      </c>
      <c r="AI13" s="826" t="n"/>
      <c r="AJ13" s="826" t="n"/>
    </row>
    <row r="14" ht="30" customHeight="1" s="685">
      <c r="A14" s="4">
        <f>'Scale Calculation'!C16</f>
        <v/>
      </c>
      <c r="B14" s="823">
        <f>IF(B$5&gt;$AG14,"",HLOOKUP(B$6,'Historical Data'!161:174,9,FALSE))</f>
        <v/>
      </c>
      <c r="C14" s="823">
        <f>IF(C$5&gt;$AG14,"",HLOOKUP(C$6,'Historical Data'!161:174,9,FALSE))</f>
        <v/>
      </c>
      <c r="D14" s="824">
        <f>IF(D$5&gt;$AG14,"",HLOOKUP(D$6,'Historical Data'!161:174,9,FALSE))</f>
        <v/>
      </c>
      <c r="E14" s="824">
        <f>IF(E$5&gt;$AG14,"",HLOOKUP(E$6,'Historical Data'!161:174,9,FALSE))</f>
        <v/>
      </c>
      <c r="F14" s="824">
        <f>IF(F$5&gt;$AG14,"",HLOOKUP(F$6,'Historical Data'!161:174,9,FALSE))</f>
        <v/>
      </c>
      <c r="G14" s="824">
        <f>IF(G$5&gt;$AG14,"",HLOOKUP(G$6,'Historical Data'!161:174,9,FALSE))</f>
        <v/>
      </c>
      <c r="H14" s="824">
        <f>IF(H$5&gt;$AG14,"",HLOOKUP(H$6,'Historical Data'!161:174,9,FALSE))</f>
        <v/>
      </c>
      <c r="I14" s="824">
        <f>IF(I$5&gt;$AG14,"",HLOOKUP(I$6,'Historical Data'!161:174,9,FALSE))</f>
        <v/>
      </c>
      <c r="J14" s="824">
        <f>IF(J$5&gt;$AG14,"",HLOOKUP(J$6,'Historical Data'!161:174,9,FALSE))</f>
        <v/>
      </c>
      <c r="K14" s="824">
        <f>IF(K$5&gt;$AG14,"",HLOOKUP(K$6,'Historical Data'!161:174,9,FALSE))</f>
        <v/>
      </c>
      <c r="L14" s="824">
        <f>IF(L$5&gt;$AG14,"",HLOOKUP(L$6,'Historical Data'!161:174,9,FALSE))</f>
        <v/>
      </c>
      <c r="M14" s="824">
        <f>IF(M$5&gt;$AG14,"",HLOOKUP(M$6,'Historical Data'!161:174,9,FALSE))</f>
        <v/>
      </c>
      <c r="N14" s="824">
        <f>IF(N$5&gt;$AG14,"",HLOOKUP(N$6,'Historical Data'!161:174,9,FALSE))</f>
        <v/>
      </c>
      <c r="O14" s="824">
        <f>IF(O$5&gt;$AG14,"",HLOOKUP(O$6,'Historical Data'!161:174,9,FALSE))</f>
        <v/>
      </c>
      <c r="P14" s="824">
        <f>IF(P$5&gt;$AG14,"",HLOOKUP(P$6,'Historical Data'!161:174,9,FALSE))</f>
        <v/>
      </c>
      <c r="Q14" s="824">
        <f>IF(Q$5&gt;$AG14,"",HLOOKUP(Q$6,'Historical Data'!161:174,9,FALSE))</f>
        <v/>
      </c>
      <c r="R14" s="824">
        <f>IF(R$5&gt;$AG14,"",HLOOKUP(R$6,'Historical Data'!161:174,9,FALSE))</f>
        <v/>
      </c>
      <c r="S14" s="824">
        <f>IF(S$5&gt;$AG14,"",HLOOKUP(S$6,'Historical Data'!161:174,9,FALSE))</f>
        <v/>
      </c>
      <c r="T14" s="824">
        <f>IF(T$5&gt;$AG14,"",HLOOKUP(T$6,'Historical Data'!161:174,9,FALSE))</f>
        <v/>
      </c>
      <c r="U14" s="824">
        <f>IF(U$5&gt;$AG14,"",HLOOKUP(U$6,'Historical Data'!161:174,9,FALSE))</f>
        <v/>
      </c>
      <c r="V14" s="824">
        <f>IF(V$5&gt;$AG14,"",HLOOKUP(V$6,'Historical Data'!161:174,9,FALSE))</f>
        <v/>
      </c>
      <c r="W14" s="824">
        <f>IF(W$5&gt;$AG14,"",HLOOKUP(W$6,'Historical Data'!161:174,9,FALSE))</f>
        <v/>
      </c>
      <c r="X14" s="824">
        <f>IF(X$5&gt;$AG14,"",HLOOKUP(X$6,'Historical Data'!161:174,9,FALSE))</f>
        <v/>
      </c>
      <c r="Y14" s="824">
        <f>IF(Y$5&gt;$AG14,"",HLOOKUP(Y$6,'Historical Data'!161:174,9,FALSE))</f>
        <v/>
      </c>
      <c r="Z14" s="824">
        <f>IF(Z$5&gt;$AG14,"",HLOOKUP(Z$6,'Historical Data'!161:174,9,FALSE))</f>
        <v/>
      </c>
      <c r="AA14" s="824">
        <f>IF(AA$5&gt;$AG14,"",HLOOKUP(AA$6,'Historical Data'!161:174,9,FALSE))</f>
        <v/>
      </c>
      <c r="AB14" s="824">
        <f>IF(AB$5&gt;$AG14,"",HLOOKUP(AB$6,'Historical Data'!161:174,9,FALSE))</f>
        <v/>
      </c>
      <c r="AC14" s="824">
        <f>IF(AC$5&gt;$AG14,"",HLOOKUP(AC$6,'Historical Data'!161:174,9,FALSE))</f>
        <v/>
      </c>
      <c r="AD14" s="824">
        <f>IF(AD$5&gt;$AG14,"",HLOOKUP(AD$6,'Historical Data'!161:174,9,FALSE))</f>
        <v/>
      </c>
      <c r="AE14" s="824">
        <f>IF(AE$5&gt;$AG14,"",HLOOKUP(AE$6,'Historical Data'!161:174,9,FALSE))</f>
        <v/>
      </c>
      <c r="AF14" s="411">
        <f>'Industry Data'!B10</f>
        <v/>
      </c>
      <c r="AG14" s="412">
        <f>ROUNDUP(AF14/3,0)</f>
        <v/>
      </c>
      <c r="AH14" s="825">
        <f>SUMIF($B$5:$AE$5,AG14,B31:AE31)/AG14</f>
        <v/>
      </c>
      <c r="AI14" s="826" t="n"/>
      <c r="AJ14" s="826" t="n"/>
    </row>
    <row r="15" ht="30" customHeight="1" s="685">
      <c r="A15" s="4">
        <f>'Scale Calculation'!C17</f>
        <v/>
      </c>
      <c r="B15" s="823">
        <f>IF(B$5&gt;$AG15,"",HLOOKUP(B$6,'Historical Data'!161:174,10,FALSE))</f>
        <v/>
      </c>
      <c r="C15" s="823">
        <f>IF(C$5&gt;$AG15,"",HLOOKUP(C$6,'Historical Data'!161:174,10,FALSE))</f>
        <v/>
      </c>
      <c r="D15" s="824">
        <f>IF(D$5&gt;$AG15,"",HLOOKUP(D$6,'Historical Data'!161:174,10,FALSE))</f>
        <v/>
      </c>
      <c r="E15" s="824">
        <f>IF(E$5&gt;$AG15,"",HLOOKUP(E$6,'Historical Data'!161:174,10,FALSE))</f>
        <v/>
      </c>
      <c r="F15" s="824">
        <f>IF(F$5&gt;$AG15,"",HLOOKUP(F$6,'Historical Data'!161:174,10,FALSE))</f>
        <v/>
      </c>
      <c r="G15" s="824">
        <f>IF(G$5&gt;$AG15,"",HLOOKUP(G$6,'Historical Data'!161:174,10,FALSE))</f>
        <v/>
      </c>
      <c r="H15" s="824">
        <f>IF(H$5&gt;$AG15,"",HLOOKUP(H$6,'Historical Data'!161:174,10,FALSE))</f>
        <v/>
      </c>
      <c r="I15" s="824">
        <f>IF(I$5&gt;$AG15,"",HLOOKUP(I$6,'Historical Data'!161:174,10,FALSE))</f>
        <v/>
      </c>
      <c r="J15" s="824">
        <f>IF(J$5&gt;$AG15,"",HLOOKUP(J$6,'Historical Data'!161:174,10,FALSE))</f>
        <v/>
      </c>
      <c r="K15" s="824">
        <f>IF(K$5&gt;$AG15,"",HLOOKUP(K$6,'Historical Data'!161:174,10,FALSE))</f>
        <v/>
      </c>
      <c r="L15" s="824">
        <f>IF(L$5&gt;$AG15,"",HLOOKUP(L$6,'Historical Data'!161:174,10,FALSE))</f>
        <v/>
      </c>
      <c r="M15" s="824">
        <f>IF(M$5&gt;$AG15,"",HLOOKUP(M$6,'Historical Data'!161:174,10,FALSE))</f>
        <v/>
      </c>
      <c r="N15" s="824">
        <f>IF(N$5&gt;$AG15,"",HLOOKUP(N$6,'Historical Data'!161:174,10,FALSE))</f>
        <v/>
      </c>
      <c r="O15" s="824">
        <f>IF(O$5&gt;$AG15,"",HLOOKUP(O$6,'Historical Data'!161:174,10,FALSE))</f>
        <v/>
      </c>
      <c r="P15" s="824">
        <f>IF(P$5&gt;$AG15,"",HLOOKUP(P$6,'Historical Data'!161:174,10,FALSE))</f>
        <v/>
      </c>
      <c r="Q15" s="824">
        <f>IF(Q$5&gt;$AG15,"",HLOOKUP(Q$6,'Historical Data'!161:174,10,FALSE))</f>
        <v/>
      </c>
      <c r="R15" s="824">
        <f>IF(R$5&gt;$AG15,"",HLOOKUP(R$6,'Historical Data'!161:174,10,FALSE))</f>
        <v/>
      </c>
      <c r="S15" s="824">
        <f>IF(S$5&gt;$AG15,"",HLOOKUP(S$6,'Historical Data'!161:174,10,FALSE))</f>
        <v/>
      </c>
      <c r="T15" s="824">
        <f>IF(T$5&gt;$AG15,"",HLOOKUP(T$6,'Historical Data'!161:174,10,FALSE))</f>
        <v/>
      </c>
      <c r="U15" s="824">
        <f>IF(U$5&gt;$AG15,"",HLOOKUP(U$6,'Historical Data'!161:174,10,FALSE))</f>
        <v/>
      </c>
      <c r="V15" s="824">
        <f>IF(V$5&gt;$AG15,"",HLOOKUP(V$6,'Historical Data'!161:174,10,FALSE))</f>
        <v/>
      </c>
      <c r="W15" s="824">
        <f>IF(W$5&gt;$AG15,"",HLOOKUP(W$6,'Historical Data'!161:174,10,FALSE))</f>
        <v/>
      </c>
      <c r="X15" s="824">
        <f>IF(X$5&gt;$AG15,"",HLOOKUP(X$6,'Historical Data'!161:174,10,FALSE))</f>
        <v/>
      </c>
      <c r="Y15" s="824">
        <f>IF(Y$5&gt;$AG15,"",HLOOKUP(Y$6,'Historical Data'!161:174,10,FALSE))</f>
        <v/>
      </c>
      <c r="Z15" s="824">
        <f>IF(Z$5&gt;$AG15,"",HLOOKUP(Z$6,'Historical Data'!161:174,10,FALSE))</f>
        <v/>
      </c>
      <c r="AA15" s="824">
        <f>IF(AA$5&gt;$AG15,"",HLOOKUP(AA$6,'Historical Data'!161:174,10,FALSE))</f>
        <v/>
      </c>
      <c r="AB15" s="824">
        <f>IF(AB$5&gt;$AG15,"",HLOOKUP(AB$6,'Historical Data'!161:174,10,FALSE))</f>
        <v/>
      </c>
      <c r="AC15" s="824">
        <f>IF(AC$5&gt;$AG15,"",HLOOKUP(AC$6,'Historical Data'!161:174,10,FALSE))</f>
        <v/>
      </c>
      <c r="AD15" s="824">
        <f>IF(AD$5&gt;$AG15,"",HLOOKUP(AD$6,'Historical Data'!161:174,10,FALSE))</f>
        <v/>
      </c>
      <c r="AE15" s="824">
        <f>IF(AE$5&gt;$AG15,"",HLOOKUP(AE$6,'Historical Data'!161:174,10,FALSE))</f>
        <v/>
      </c>
      <c r="AF15" s="411">
        <f>'Industry Data'!B11</f>
        <v/>
      </c>
      <c r="AG15" s="412">
        <f>ROUNDUP(AF15/3,0)</f>
        <v/>
      </c>
      <c r="AH15" s="825">
        <f>SUMIF($B$5:$AE$5,AG15,B32:AE32)/AG15</f>
        <v/>
      </c>
      <c r="AI15" s="826" t="n"/>
      <c r="AJ15" s="826" t="n"/>
    </row>
    <row r="16" ht="30" customHeight="1" s="685">
      <c r="A16" s="4">
        <f>'Scale Calculation'!C18</f>
        <v/>
      </c>
      <c r="B16" s="823">
        <f>IF(B$5&gt;$AG16,"",HLOOKUP(B$6,'Historical Data'!161:174,11,FALSE))</f>
        <v/>
      </c>
      <c r="C16" s="823">
        <f>IF(C$5&gt;$AG16,"",HLOOKUP(C$6,'Historical Data'!161:174,11,FALSE))</f>
        <v/>
      </c>
      <c r="D16" s="824">
        <f>IF(D$5&gt;$AG16,"",HLOOKUP(D$6,'Historical Data'!161:174,11,FALSE))</f>
        <v/>
      </c>
      <c r="E16" s="824">
        <f>IF(E$5&gt;$AG16,"",HLOOKUP(E$6,'Historical Data'!161:174,11,FALSE))</f>
        <v/>
      </c>
      <c r="F16" s="824">
        <f>IF(F$5&gt;$AG16,"",HLOOKUP(F$6,'Historical Data'!161:174,11,FALSE))</f>
        <v/>
      </c>
      <c r="G16" s="824">
        <f>IF(G$5&gt;$AG16,"",HLOOKUP(G$6,'Historical Data'!161:174,11,FALSE))</f>
        <v/>
      </c>
      <c r="H16" s="824">
        <f>IF(H$5&gt;$AG16,"",HLOOKUP(H$6,'Historical Data'!161:174,11,FALSE))</f>
        <v/>
      </c>
      <c r="I16" s="824">
        <f>IF(I$5&gt;$AG16,"",HLOOKUP(I$6,'Historical Data'!161:174,11,FALSE))</f>
        <v/>
      </c>
      <c r="J16" s="824">
        <f>IF(J$5&gt;$AG16,"",HLOOKUP(J$6,'Historical Data'!161:174,11,FALSE))</f>
        <v/>
      </c>
      <c r="K16" s="824">
        <f>IF(K$5&gt;$AG16,"",HLOOKUP(K$6,'Historical Data'!161:174,11,FALSE))</f>
        <v/>
      </c>
      <c r="L16" s="824">
        <f>IF(L$5&gt;$AG16,"",HLOOKUP(L$6,'Historical Data'!161:174,11,FALSE))</f>
        <v/>
      </c>
      <c r="M16" s="824">
        <f>IF(M$5&gt;$AG16,"",HLOOKUP(M$6,'Historical Data'!161:174,11,FALSE))</f>
        <v/>
      </c>
      <c r="N16" s="824">
        <f>IF(N$5&gt;$AG16,"",HLOOKUP(N$6,'Historical Data'!161:174,11,FALSE))</f>
        <v/>
      </c>
      <c r="O16" s="824">
        <f>IF(O$5&gt;$AG16,"",HLOOKUP(O$6,'Historical Data'!161:174,11,FALSE))</f>
        <v/>
      </c>
      <c r="P16" s="824">
        <f>IF(P$5&gt;$AG16,"",HLOOKUP(P$6,'Historical Data'!161:174,11,FALSE))</f>
        <v/>
      </c>
      <c r="Q16" s="824">
        <f>IF(Q$5&gt;$AG16,"",HLOOKUP(Q$6,'Historical Data'!161:174,11,FALSE))</f>
        <v/>
      </c>
      <c r="R16" s="824">
        <f>IF(R$5&gt;$AG16,"",HLOOKUP(R$6,'Historical Data'!161:174,11,FALSE))</f>
        <v/>
      </c>
      <c r="S16" s="824">
        <f>IF(S$5&gt;$AG16,"",HLOOKUP(S$6,'Historical Data'!161:174,11,FALSE))</f>
        <v/>
      </c>
      <c r="T16" s="824">
        <f>IF(T$5&gt;$AG16,"",HLOOKUP(T$6,'Historical Data'!161:174,11,FALSE))</f>
        <v/>
      </c>
      <c r="U16" s="824">
        <f>IF(U$5&gt;$AG16,"",HLOOKUP(U$6,'Historical Data'!161:174,11,FALSE))</f>
        <v/>
      </c>
      <c r="V16" s="824">
        <f>IF(V$5&gt;$AG16,"",HLOOKUP(V$6,'Historical Data'!161:174,11,FALSE))</f>
        <v/>
      </c>
      <c r="W16" s="824">
        <f>IF(W$5&gt;$AG16,"",HLOOKUP(W$6,'Historical Data'!161:174,11,FALSE))</f>
        <v/>
      </c>
      <c r="X16" s="824">
        <f>IF(X$5&gt;$AG16,"",HLOOKUP(X$6,'Historical Data'!161:174,11,FALSE))</f>
        <v/>
      </c>
      <c r="Y16" s="824">
        <f>IF(Y$5&gt;$AG16,"",HLOOKUP(Y$6,'Historical Data'!161:174,11,FALSE))</f>
        <v/>
      </c>
      <c r="Z16" s="824">
        <f>IF(Z$5&gt;$AG16,"",HLOOKUP(Z$6,'Historical Data'!161:174,11,FALSE))</f>
        <v/>
      </c>
      <c r="AA16" s="824">
        <f>IF(AA$5&gt;$AG16,"",HLOOKUP(AA$6,'Historical Data'!161:174,11,FALSE))</f>
        <v/>
      </c>
      <c r="AB16" s="824">
        <f>IF(AB$5&gt;$AG16,"",HLOOKUP(AB$6,'Historical Data'!161:174,11,FALSE))</f>
        <v/>
      </c>
      <c r="AC16" s="824">
        <f>IF(AC$5&gt;$AG16,"",HLOOKUP(AC$6,'Historical Data'!161:174,11,FALSE))</f>
        <v/>
      </c>
      <c r="AD16" s="824">
        <f>IF(AD$5&gt;$AG16,"",HLOOKUP(AD$6,'Historical Data'!161:174,11,FALSE))</f>
        <v/>
      </c>
      <c r="AE16" s="824">
        <f>IF(AE$5&gt;$AG16,"",HLOOKUP(AE$6,'Historical Data'!161:174,11,FALSE))</f>
        <v/>
      </c>
      <c r="AF16" s="411">
        <f>'Industry Data'!B12</f>
        <v/>
      </c>
      <c r="AG16" s="412">
        <f>ROUNDUP(AF16/3,0)</f>
        <v/>
      </c>
      <c r="AH16" s="825">
        <f>SUMIF($B$5:$AE$5,AG16,B33:AE33)/AG16</f>
        <v/>
      </c>
      <c r="AI16" s="826" t="n"/>
      <c r="AJ16" s="826" t="n"/>
    </row>
    <row r="17" ht="30" customHeight="1" s="685">
      <c r="A17" s="4">
        <f>'Scale Calculation'!C19</f>
        <v/>
      </c>
      <c r="B17" s="823">
        <f>IF(B$5&gt;$AG17,"",HLOOKUP(B$6,'Historical Data'!161:174,12,FALSE))</f>
        <v/>
      </c>
      <c r="C17" s="823">
        <f>IF(C$5&gt;$AG17,"",HLOOKUP(C$6,'Historical Data'!161:174,12,FALSE))</f>
        <v/>
      </c>
      <c r="D17" s="824">
        <f>IF(D$5&gt;$AG17,"",HLOOKUP(D$6,'Historical Data'!161:174,12,FALSE))</f>
        <v/>
      </c>
      <c r="E17" s="824">
        <f>IF(E$5&gt;$AG17,"",HLOOKUP(E$6,'Historical Data'!161:174,12,FALSE))</f>
        <v/>
      </c>
      <c r="F17" s="824">
        <f>IF(F$5&gt;$AG17,"",HLOOKUP(F$6,'Historical Data'!161:174,12,FALSE))</f>
        <v/>
      </c>
      <c r="G17" s="824">
        <f>IF(G$5&gt;$AG17,"",HLOOKUP(G$6,'Historical Data'!161:174,12,FALSE))</f>
        <v/>
      </c>
      <c r="H17" s="824">
        <f>IF(H$5&gt;$AG17,"",HLOOKUP(H$6,'Historical Data'!161:174,12,FALSE))</f>
        <v/>
      </c>
      <c r="I17" s="824">
        <f>IF(I$5&gt;$AG17,"",HLOOKUP(I$6,'Historical Data'!161:174,12,FALSE))</f>
        <v/>
      </c>
      <c r="J17" s="824">
        <f>IF(J$5&gt;$AG17,"",HLOOKUP(J$6,'Historical Data'!161:174,12,FALSE))</f>
        <v/>
      </c>
      <c r="K17" s="824">
        <f>IF(K$5&gt;$AG17,"",HLOOKUP(K$6,'Historical Data'!161:174,12,FALSE))</f>
        <v/>
      </c>
      <c r="L17" s="824">
        <f>IF(L$5&gt;$AG17,"",HLOOKUP(L$6,'Historical Data'!161:174,12,FALSE))</f>
        <v/>
      </c>
      <c r="M17" s="824">
        <f>IF(M$5&gt;$AG17,"",HLOOKUP(M$6,'Historical Data'!161:174,12,FALSE))</f>
        <v/>
      </c>
      <c r="N17" s="824">
        <f>IF(N$5&gt;$AG17,"",HLOOKUP(N$6,'Historical Data'!161:174,12,FALSE))</f>
        <v/>
      </c>
      <c r="O17" s="824">
        <f>IF(O$5&gt;$AG17,"",HLOOKUP(O$6,'Historical Data'!161:174,12,FALSE))</f>
        <v/>
      </c>
      <c r="P17" s="824">
        <f>IF(P$5&gt;$AG17,"",HLOOKUP(P$6,'Historical Data'!161:174,12,FALSE))</f>
        <v/>
      </c>
      <c r="Q17" s="824">
        <f>IF(Q$5&gt;$AG17,"",HLOOKUP(Q$6,'Historical Data'!161:174,12,FALSE))</f>
        <v/>
      </c>
      <c r="R17" s="824">
        <f>IF(R$5&gt;$AG17,"",HLOOKUP(R$6,'Historical Data'!161:174,12,FALSE))</f>
        <v/>
      </c>
      <c r="S17" s="824">
        <f>IF(S$5&gt;$AG17,"",HLOOKUP(S$6,'Historical Data'!161:174,12,FALSE))</f>
        <v/>
      </c>
      <c r="T17" s="824">
        <f>IF(T$5&gt;$AG17,"",HLOOKUP(T$6,'Historical Data'!161:174,12,FALSE))</f>
        <v/>
      </c>
      <c r="U17" s="824">
        <f>IF(U$5&gt;$AG17,"",HLOOKUP(U$6,'Historical Data'!161:174,12,FALSE))</f>
        <v/>
      </c>
      <c r="V17" s="824">
        <f>IF(V$5&gt;$AG17,"",HLOOKUP(V$6,'Historical Data'!161:174,12,FALSE))</f>
        <v/>
      </c>
      <c r="W17" s="824">
        <f>IF(W$5&gt;$AG17,"",HLOOKUP(W$6,'Historical Data'!161:174,12,FALSE))</f>
        <v/>
      </c>
      <c r="X17" s="824">
        <f>IF(X$5&gt;$AG17,"",HLOOKUP(X$6,'Historical Data'!161:174,12,FALSE))</f>
        <v/>
      </c>
      <c r="Y17" s="824">
        <f>IF(Y$5&gt;$AG17,"",HLOOKUP(Y$6,'Historical Data'!161:174,12,FALSE))</f>
        <v/>
      </c>
      <c r="Z17" s="824">
        <f>IF(Z$5&gt;$AG17,"",HLOOKUP(Z$6,'Historical Data'!161:174,12,FALSE))</f>
        <v/>
      </c>
      <c r="AA17" s="824">
        <f>IF(AA$5&gt;$AG17,"",HLOOKUP(AA$6,'Historical Data'!161:174,12,FALSE))</f>
        <v/>
      </c>
      <c r="AB17" s="824">
        <f>IF(AB$5&gt;$AG17,"",HLOOKUP(AB$6,'Historical Data'!161:174,12,FALSE))</f>
        <v/>
      </c>
      <c r="AC17" s="824">
        <f>IF(AC$5&gt;$AG17,"",HLOOKUP(AC$6,'Historical Data'!161:174,12,FALSE))</f>
        <v/>
      </c>
      <c r="AD17" s="824">
        <f>IF(AD$5&gt;$AG17,"",HLOOKUP(AD$6,'Historical Data'!161:174,12,FALSE))</f>
        <v/>
      </c>
      <c r="AE17" s="824">
        <f>IF(AE$5&gt;$AG17,"",HLOOKUP(AE$6,'Historical Data'!161:174,12,FALSE))</f>
        <v/>
      </c>
      <c r="AF17" s="411">
        <f>'Industry Data'!B13</f>
        <v/>
      </c>
      <c r="AG17" s="412">
        <f>ROUNDUP(AF17/3,0)</f>
        <v/>
      </c>
      <c r="AH17" s="825">
        <f>SUMIF($B$5:$AE$5,AG17,B34:AE34)/AG17</f>
        <v/>
      </c>
      <c r="AI17" s="826" t="n"/>
      <c r="AJ17" s="826" t="n"/>
    </row>
    <row r="18" ht="30" customHeight="1" s="685">
      <c r="A18" s="4">
        <f>'Scale Calculation'!C20</f>
        <v/>
      </c>
      <c r="B18" s="823">
        <f>IF(B$5&gt;$AG18,"",HLOOKUP(B$6,'Historical Data'!161:174,13,FALSE))</f>
        <v/>
      </c>
      <c r="C18" s="823">
        <f>IF(C$5&gt;$AG18,"",HLOOKUP(C$6,'Historical Data'!161:174,13,FALSE))</f>
        <v/>
      </c>
      <c r="D18" s="824">
        <f>IF(D$5&gt;$AG18,"",HLOOKUP(D$6,'Historical Data'!161:174,13,FALSE))</f>
        <v/>
      </c>
      <c r="E18" s="824">
        <f>IF(E$5&gt;$AG18,"",HLOOKUP(E$6,'Historical Data'!161:174,13,FALSE))</f>
        <v/>
      </c>
      <c r="F18" s="824">
        <f>IF(F$5&gt;$AG18,"",HLOOKUP(F$6,'Historical Data'!161:174,13,FALSE))</f>
        <v/>
      </c>
      <c r="G18" s="824">
        <f>IF(G$5&gt;$AG18,"",HLOOKUP(G$6,'Historical Data'!161:174,13,FALSE))</f>
        <v/>
      </c>
      <c r="H18" s="824">
        <f>IF(H$5&gt;$AG18,"",HLOOKUP(H$6,'Historical Data'!161:174,13,FALSE))</f>
        <v/>
      </c>
      <c r="I18" s="824">
        <f>IF(I$5&gt;$AG18,"",HLOOKUP(I$6,'Historical Data'!161:174,13,FALSE))</f>
        <v/>
      </c>
      <c r="J18" s="824">
        <f>IF(J$5&gt;$AG18,"",HLOOKUP(J$6,'Historical Data'!161:174,13,FALSE))</f>
        <v/>
      </c>
      <c r="K18" s="824">
        <f>IF(K$5&gt;$AG18,"",HLOOKUP(K$6,'Historical Data'!161:174,13,FALSE))</f>
        <v/>
      </c>
      <c r="L18" s="824">
        <f>IF(L$5&gt;$AG18,"",HLOOKUP(L$6,'Historical Data'!161:174,13,FALSE))</f>
        <v/>
      </c>
      <c r="M18" s="824">
        <f>IF(M$5&gt;$AG18,"",HLOOKUP(M$6,'Historical Data'!161:174,13,FALSE))</f>
        <v/>
      </c>
      <c r="N18" s="824">
        <f>IF(N$5&gt;$AG18,"",HLOOKUP(N$6,'Historical Data'!161:174,13,FALSE))</f>
        <v/>
      </c>
      <c r="O18" s="824">
        <f>IF(O$5&gt;$AG18,"",HLOOKUP(O$6,'Historical Data'!161:174,13,FALSE))</f>
        <v/>
      </c>
      <c r="P18" s="824">
        <f>IF(P$5&gt;$AG18,"",HLOOKUP(P$6,'Historical Data'!161:174,13,FALSE))</f>
        <v/>
      </c>
      <c r="Q18" s="824">
        <f>IF(Q$5&gt;$AG18,"",HLOOKUP(Q$6,'Historical Data'!161:174,13,FALSE))</f>
        <v/>
      </c>
      <c r="R18" s="824">
        <f>IF(R$5&gt;$AG18,"",HLOOKUP(R$6,'Historical Data'!161:174,13,FALSE))</f>
        <v/>
      </c>
      <c r="S18" s="824">
        <f>IF(S$5&gt;$AG18,"",HLOOKUP(S$6,'Historical Data'!161:174,13,FALSE))</f>
        <v/>
      </c>
      <c r="T18" s="824">
        <f>IF(T$5&gt;$AG18,"",HLOOKUP(T$6,'Historical Data'!161:174,13,FALSE))</f>
        <v/>
      </c>
      <c r="U18" s="824">
        <f>IF(U$5&gt;$AG18,"",HLOOKUP(U$6,'Historical Data'!161:174,13,FALSE))</f>
        <v/>
      </c>
      <c r="V18" s="824">
        <f>IF(V$5&gt;$AG18,"",HLOOKUP(V$6,'Historical Data'!161:174,13,FALSE))</f>
        <v/>
      </c>
      <c r="W18" s="824">
        <f>IF(W$5&gt;$AG18,"",HLOOKUP(W$6,'Historical Data'!161:174,13,FALSE))</f>
        <v/>
      </c>
      <c r="X18" s="824">
        <f>IF(X$5&gt;$AG18,"",HLOOKUP(X$6,'Historical Data'!161:174,13,FALSE))</f>
        <v/>
      </c>
      <c r="Y18" s="824">
        <f>IF(Y$5&gt;$AG18,"",HLOOKUP(Y$6,'Historical Data'!161:174,13,FALSE))</f>
        <v/>
      </c>
      <c r="Z18" s="824">
        <f>IF(Z$5&gt;$AG18,"",HLOOKUP(Z$6,'Historical Data'!161:174,13,FALSE))</f>
        <v/>
      </c>
      <c r="AA18" s="824">
        <f>IF(AA$5&gt;$AG18,"",HLOOKUP(AA$6,'Historical Data'!161:174,13,FALSE))</f>
        <v/>
      </c>
      <c r="AB18" s="824">
        <f>IF(AB$5&gt;$AG18,"",HLOOKUP(AB$6,'Historical Data'!161:174,13,FALSE))</f>
        <v/>
      </c>
      <c r="AC18" s="824">
        <f>IF(AC$5&gt;$AG18,"",HLOOKUP(AC$6,'Historical Data'!161:174,13,FALSE))</f>
        <v/>
      </c>
      <c r="AD18" s="824">
        <f>IF(AD$5&gt;$AG18,"",HLOOKUP(AD$6,'Historical Data'!161:174,13,FALSE))</f>
        <v/>
      </c>
      <c r="AE18" s="824">
        <f>IF(AE$5&gt;$AG18,"",HLOOKUP(AE$6,'Historical Data'!161:174,13,FALSE))</f>
        <v/>
      </c>
      <c r="AF18" s="411">
        <f>'Industry Data'!B14</f>
        <v/>
      </c>
      <c r="AG18" s="412">
        <f>ROUNDUP(AF18/3,0)</f>
        <v/>
      </c>
      <c r="AH18" s="825">
        <f>SUMIF($B$5:$AE$5,AG18,B35:AE35)/AG18</f>
        <v/>
      </c>
      <c r="AI18" s="826" t="n"/>
      <c r="AJ18" s="826" t="n"/>
    </row>
    <row r="19" ht="30" customHeight="1" s="685">
      <c r="A19" s="4">
        <f>'Scale Calculation'!C21</f>
        <v/>
      </c>
      <c r="B19" s="823">
        <f>IF(B$5&gt;$AG19,"",HLOOKUP(B$6,'Historical Data'!161:174,14,FALSE))</f>
        <v/>
      </c>
      <c r="C19" s="823">
        <f>IF(C$5&gt;$AG19,"",HLOOKUP(C$6,'Historical Data'!161:174,14,FALSE))</f>
        <v/>
      </c>
      <c r="D19" s="824">
        <f>IF(D$5&gt;$AG19,"",HLOOKUP(D$6,'Historical Data'!161:174,14,FALSE))</f>
        <v/>
      </c>
      <c r="E19" s="824">
        <f>IF(E$5&gt;$AG19,"",HLOOKUP(E$6,'Historical Data'!161:174,14,FALSE))</f>
        <v/>
      </c>
      <c r="F19" s="824">
        <f>IF(F$5&gt;$AG19,"",HLOOKUP(F$6,'Historical Data'!161:174,14,FALSE))</f>
        <v/>
      </c>
      <c r="G19" s="824">
        <f>IF(G$5&gt;$AG19,"",HLOOKUP(G$6,'Historical Data'!161:174,14,FALSE))</f>
        <v/>
      </c>
      <c r="H19" s="824">
        <f>IF(H$5&gt;$AG19,"",HLOOKUP(H$6,'Historical Data'!161:174,14,FALSE))</f>
        <v/>
      </c>
      <c r="I19" s="824">
        <f>IF(I$5&gt;$AG19,"",HLOOKUP(I$6,'Historical Data'!161:174,14,FALSE))</f>
        <v/>
      </c>
      <c r="J19" s="824">
        <f>IF(J$5&gt;$AG19,"",HLOOKUP(J$6,'Historical Data'!161:174,14,FALSE))</f>
        <v/>
      </c>
      <c r="K19" s="824">
        <f>IF(K$5&gt;$AG19,"",HLOOKUP(K$6,'Historical Data'!161:174,14,FALSE))</f>
        <v/>
      </c>
      <c r="L19" s="824">
        <f>IF(L$5&gt;$AG19,"",HLOOKUP(L$6,'Historical Data'!161:174,14,FALSE))</f>
        <v/>
      </c>
      <c r="M19" s="824">
        <f>IF(M$5&gt;$AG19,"",HLOOKUP(M$6,'Historical Data'!161:174,14,FALSE))</f>
        <v/>
      </c>
      <c r="N19" s="824">
        <f>IF(N$5&gt;$AG19,"",HLOOKUP(N$6,'Historical Data'!161:174,14,FALSE))</f>
        <v/>
      </c>
      <c r="O19" s="824">
        <f>IF(O$5&gt;$AG19,"",HLOOKUP(O$6,'Historical Data'!161:174,14,FALSE))</f>
        <v/>
      </c>
      <c r="P19" s="824">
        <f>IF(P$5&gt;$AG19,"",HLOOKUP(P$6,'Historical Data'!161:174,14,FALSE))</f>
        <v/>
      </c>
      <c r="Q19" s="824">
        <f>IF(Q$5&gt;$AG19,"",HLOOKUP(Q$6,'Historical Data'!161:174,14,FALSE))</f>
        <v/>
      </c>
      <c r="R19" s="824">
        <f>IF(R$5&gt;$AG19,"",HLOOKUP(R$6,'Historical Data'!161:174,14,FALSE))</f>
        <v/>
      </c>
      <c r="S19" s="824">
        <f>IF(S$5&gt;$AG19,"",HLOOKUP(S$6,'Historical Data'!161:174,14,FALSE))</f>
        <v/>
      </c>
      <c r="T19" s="824">
        <f>IF(T$5&gt;$AG19,"",HLOOKUP(T$6,'Historical Data'!161:174,14,FALSE))</f>
        <v/>
      </c>
      <c r="U19" s="824">
        <f>IF(U$5&gt;$AG19,"",HLOOKUP(U$6,'Historical Data'!161:174,14,FALSE))</f>
        <v/>
      </c>
      <c r="V19" s="824">
        <f>IF(V$5&gt;$AG19,"",HLOOKUP(V$6,'Historical Data'!161:174,14,FALSE))</f>
        <v/>
      </c>
      <c r="W19" s="824">
        <f>IF(W$5&gt;$AG19,"",HLOOKUP(W$6,'Historical Data'!161:174,14,FALSE))</f>
        <v/>
      </c>
      <c r="X19" s="824">
        <f>IF(X$5&gt;$AG19,"",HLOOKUP(X$6,'Historical Data'!161:174,14,FALSE))</f>
        <v/>
      </c>
      <c r="Y19" s="824">
        <f>IF(Y$5&gt;$AG19,"",HLOOKUP(Y$6,'Historical Data'!161:174,14,FALSE))</f>
        <v/>
      </c>
      <c r="Z19" s="824">
        <f>IF(Z$5&gt;$AG19,"",HLOOKUP(Z$6,'Historical Data'!161:174,14,FALSE))</f>
        <v/>
      </c>
      <c r="AA19" s="824">
        <f>IF(AA$5&gt;$AG19,"",HLOOKUP(AA$6,'Historical Data'!161:174,14,FALSE))</f>
        <v/>
      </c>
      <c r="AB19" s="824">
        <f>IF(AB$5&gt;$AG19,"",HLOOKUP(AB$6,'Historical Data'!161:174,14,FALSE))</f>
        <v/>
      </c>
      <c r="AC19" s="824">
        <f>IF(AC$5&gt;$AG19,"",HLOOKUP(AC$6,'Historical Data'!161:174,14,FALSE))</f>
        <v/>
      </c>
      <c r="AD19" s="824">
        <f>IF(AD$5&gt;$AG19,"",HLOOKUP(AD$6,'Historical Data'!161:174,14,FALSE))</f>
        <v/>
      </c>
      <c r="AE19" s="824">
        <f>IF(AE$5&gt;$AG19,"",HLOOKUP(AE$6,'Historical Data'!161:174,14,FALSE))</f>
        <v/>
      </c>
      <c r="AF19" s="413">
        <f>'Industry Data'!B15</f>
        <v/>
      </c>
      <c r="AG19" s="391">
        <f>ROUNDUP(AF19/3,0)</f>
        <v/>
      </c>
      <c r="AH19" s="827">
        <f>SUMIF($B$5:$AE$5,AG19,B36:AE36)/AG19</f>
        <v/>
      </c>
      <c r="AI19" s="826" t="n"/>
      <c r="AJ19" s="826" t="n"/>
    </row>
    <row r="20">
      <c r="A20" s="392" t="inlineStr">
        <is>
          <t>Total Loans</t>
        </is>
      </c>
      <c r="B20" s="828">
        <f>SUM(B7:B19)</f>
        <v/>
      </c>
      <c r="C20" s="828">
        <f>SUM(C7:C19)</f>
        <v/>
      </c>
      <c r="D20" s="829">
        <f>SUM(D7:D19)</f>
        <v/>
      </c>
      <c r="E20" s="829">
        <f>SUM(E7:E19)</f>
        <v/>
      </c>
      <c r="F20" s="829">
        <f>SUM(F7:F19)</f>
        <v/>
      </c>
      <c r="G20" s="829">
        <f>SUM(G7:G19)</f>
        <v/>
      </c>
      <c r="H20" s="829">
        <f>SUM(H7:H19)</f>
        <v/>
      </c>
      <c r="I20" s="829">
        <f>SUM(I7:I19)</f>
        <v/>
      </c>
      <c r="J20" s="829">
        <f>SUM(J7:J19)</f>
        <v/>
      </c>
      <c r="K20" s="829">
        <f>SUM(K7:K19)</f>
        <v/>
      </c>
      <c r="L20" s="829">
        <f>SUM(L7:L19)</f>
        <v/>
      </c>
      <c r="M20" s="829">
        <f>SUM(M7:M19)</f>
        <v/>
      </c>
      <c r="N20" s="829">
        <f>SUM(N7:N19)</f>
        <v/>
      </c>
      <c r="O20" s="829">
        <f>SUM(O7:O19)</f>
        <v/>
      </c>
      <c r="P20" s="829">
        <f>SUM(P7:P19)</f>
        <v/>
      </c>
      <c r="Q20" s="829">
        <f>SUM(Q7:Q19)</f>
        <v/>
      </c>
      <c r="R20" s="829">
        <f>SUM(R7:R19)</f>
        <v/>
      </c>
      <c r="S20" s="829">
        <f>SUM(S7:S19)</f>
        <v/>
      </c>
      <c r="T20" s="829">
        <f>SUM(T7:T19)</f>
        <v/>
      </c>
      <c r="U20" s="829">
        <f>SUM(U7:U19)</f>
        <v/>
      </c>
      <c r="V20" s="829">
        <f>SUM(V7:V19)</f>
        <v/>
      </c>
      <c r="W20" s="829">
        <f>SUM(W7:W19)</f>
        <v/>
      </c>
      <c r="X20" s="829">
        <f>SUM(X7:X19)</f>
        <v/>
      </c>
      <c r="Y20" s="829">
        <f>SUM(Y7:Y19)</f>
        <v/>
      </c>
      <c r="Z20" s="829">
        <f>SUM(Z7:Z19)</f>
        <v/>
      </c>
      <c r="AA20" s="829">
        <f>SUM(AA7:AA19)</f>
        <v/>
      </c>
      <c r="AB20" s="829">
        <f>SUM(AB7:AB19)</f>
        <v/>
      </c>
      <c r="AC20" s="829">
        <f>SUM(AC7:AC19)</f>
        <v/>
      </c>
      <c r="AD20" s="829">
        <f>SUM(AD7:AD19)</f>
        <v/>
      </c>
      <c r="AE20" s="829">
        <f>SUM(AE7:AE19)</f>
        <v/>
      </c>
      <c r="AF20" s="411" t="n"/>
      <c r="AG20" s="412">
        <f>ROUNDUP(AF20/3,0)</f>
        <v/>
      </c>
      <c r="AH20" s="822" t="n"/>
    </row>
    <row r="22" hidden="1" s="685"/>
    <row r="23" hidden="1" customFormat="1" s="194">
      <c r="A23" s="393" t="inlineStr">
        <is>
          <t>Cumlative Loan Balance Totals</t>
        </is>
      </c>
      <c r="B23" s="193">
        <f>B6</f>
        <v/>
      </c>
      <c r="C23" s="193">
        <f>C6</f>
        <v/>
      </c>
      <c r="D23" s="193">
        <f>D6</f>
        <v/>
      </c>
      <c r="E23" s="193">
        <f>E6</f>
        <v/>
      </c>
      <c r="F23" s="193">
        <f>F6</f>
        <v/>
      </c>
      <c r="G23" s="193">
        <f>G6</f>
        <v/>
      </c>
      <c r="H23" s="193">
        <f>H6</f>
        <v/>
      </c>
      <c r="I23" s="193">
        <f>I6</f>
        <v/>
      </c>
      <c r="J23" s="193">
        <f>J6</f>
        <v/>
      </c>
      <c r="K23" s="193">
        <f>K6</f>
        <v/>
      </c>
      <c r="L23" s="193">
        <f>L6</f>
        <v/>
      </c>
      <c r="M23" s="193">
        <f>M6</f>
        <v/>
      </c>
      <c r="N23" s="193">
        <f>N6</f>
        <v/>
      </c>
      <c r="O23" s="193">
        <f>O6</f>
        <v/>
      </c>
      <c r="P23" s="193">
        <f>P6</f>
        <v/>
      </c>
      <c r="Q23" s="193">
        <f>Q6</f>
        <v/>
      </c>
      <c r="R23" s="193">
        <f>R6</f>
        <v/>
      </c>
      <c r="S23" s="193">
        <f>S6</f>
        <v/>
      </c>
      <c r="T23" s="193">
        <f>T6</f>
        <v/>
      </c>
      <c r="U23" s="193">
        <f>U6</f>
        <v/>
      </c>
      <c r="V23" s="193">
        <f>V6</f>
        <v/>
      </c>
      <c r="W23" s="193">
        <f>W6</f>
        <v/>
      </c>
      <c r="X23" s="193">
        <f>X6</f>
        <v/>
      </c>
      <c r="Y23" s="193">
        <f>Y6</f>
        <v/>
      </c>
      <c r="Z23" s="193">
        <f>Z6</f>
        <v/>
      </c>
      <c r="AA23" s="193">
        <f>AA6</f>
        <v/>
      </c>
      <c r="AB23" s="193">
        <f>AB6</f>
        <v/>
      </c>
      <c r="AC23" s="193">
        <f>AC6</f>
        <v/>
      </c>
      <c r="AD23" s="193">
        <f>AD6</f>
        <v/>
      </c>
      <c r="AE23" s="193">
        <f>AE6</f>
        <v/>
      </c>
      <c r="AF23" s="394" t="n"/>
      <c r="AG23" s="394" t="n"/>
      <c r="AH23" s="830" t="n"/>
    </row>
    <row r="24" hidden="1" customFormat="1" s="194">
      <c r="A24" s="394">
        <f>A7</f>
        <v/>
      </c>
      <c r="B24" s="823">
        <f>IFERROR(B7+C24,0)</f>
        <v/>
      </c>
      <c r="C24" s="823">
        <f>IFERROR(C7+D24,0)</f>
        <v/>
      </c>
      <c r="D24" s="823">
        <f>IFERROR(D7+E24,0)</f>
        <v/>
      </c>
      <c r="E24" s="823">
        <f>IFERROR(E7+F24,0)</f>
        <v/>
      </c>
      <c r="F24" s="823">
        <f>IFERROR(F7+G24,0)</f>
        <v/>
      </c>
      <c r="G24" s="823">
        <f>IFERROR(G7+H24,0)</f>
        <v/>
      </c>
      <c r="H24" s="823">
        <f>IFERROR(H7+I24,0)</f>
        <v/>
      </c>
      <c r="I24" s="823">
        <f>IFERROR(I7+J24,0)</f>
        <v/>
      </c>
      <c r="J24" s="823">
        <f>IFERROR(J7+K24,0)</f>
        <v/>
      </c>
      <c r="K24" s="823">
        <f>IFERROR(K7+L24,0)</f>
        <v/>
      </c>
      <c r="L24" s="823">
        <f>IFERROR(L7+M24,0)</f>
        <v/>
      </c>
      <c r="M24" s="823">
        <f>IFERROR(M7+N24,0)</f>
        <v/>
      </c>
      <c r="N24" s="823">
        <f>IFERROR(N7+O24,0)</f>
        <v/>
      </c>
      <c r="O24" s="823">
        <f>IFERROR(O7+P24,0)</f>
        <v/>
      </c>
      <c r="P24" s="823">
        <f>IFERROR(P7+Q24,0)</f>
        <v/>
      </c>
      <c r="Q24" s="823">
        <f>IFERROR(Q7+R24,0)</f>
        <v/>
      </c>
      <c r="R24" s="823">
        <f>IFERROR(R7+S24,0)</f>
        <v/>
      </c>
      <c r="S24" s="823">
        <f>IFERROR(S7+T24,0)</f>
        <v/>
      </c>
      <c r="T24" s="823">
        <f>IFERROR(T7+U24,0)</f>
        <v/>
      </c>
      <c r="U24" s="823">
        <f>IFERROR(U7+V24,0)</f>
        <v/>
      </c>
      <c r="V24" s="823">
        <f>IFERROR(V7+W24,0)</f>
        <v/>
      </c>
      <c r="W24" s="823">
        <f>IFERROR(W7+X24,0)</f>
        <v/>
      </c>
      <c r="X24" s="823">
        <f>IFERROR(X7+Y24,0)</f>
        <v/>
      </c>
      <c r="Y24" s="823">
        <f>IFERROR(Y7+Z24,0)</f>
        <v/>
      </c>
      <c r="Z24" s="823">
        <f>IFERROR(Z7+AA24,0)</f>
        <v/>
      </c>
      <c r="AA24" s="823">
        <f>IFERROR(AA7+AB24,0)</f>
        <v/>
      </c>
      <c r="AB24" s="823">
        <f>IFERROR(AB7+AC24,0)</f>
        <v/>
      </c>
      <c r="AC24" s="823">
        <f>IFERROR(AC7+AD24,0)</f>
        <v/>
      </c>
      <c r="AD24" s="823">
        <f>IFERROR(AD7+AE24,0)</f>
        <v/>
      </c>
      <c r="AE24" s="823">
        <f>IFERROR(AE7+AF24,0)</f>
        <v/>
      </c>
      <c r="AF24" s="394" t="n"/>
      <c r="AG24" s="394" t="n"/>
      <c r="AH24" s="830" t="n"/>
    </row>
    <row r="25" hidden="1" customFormat="1" s="194">
      <c r="A25" s="394">
        <f>A8</f>
        <v/>
      </c>
      <c r="B25" s="823">
        <f>IFERROR(B8+C25,0)</f>
        <v/>
      </c>
      <c r="C25" s="823">
        <f>IFERROR(C8+D25,0)</f>
        <v/>
      </c>
      <c r="D25" s="823">
        <f>IFERROR(D8+E25,0)</f>
        <v/>
      </c>
      <c r="E25" s="823">
        <f>IFERROR(E8+F25,0)</f>
        <v/>
      </c>
      <c r="F25" s="823">
        <f>IFERROR(F8+G25,0)</f>
        <v/>
      </c>
      <c r="G25" s="823">
        <f>IFERROR(G8+H25,0)</f>
        <v/>
      </c>
      <c r="H25" s="823">
        <f>IFERROR(H8+I25,0)</f>
        <v/>
      </c>
      <c r="I25" s="823">
        <f>IFERROR(I8+J25,0)</f>
        <v/>
      </c>
      <c r="J25" s="823">
        <f>IFERROR(J8+K25,0)</f>
        <v/>
      </c>
      <c r="K25" s="823">
        <f>IFERROR(K8+L25,0)</f>
        <v/>
      </c>
      <c r="L25" s="823">
        <f>IFERROR(L8+M25,0)</f>
        <v/>
      </c>
      <c r="M25" s="823">
        <f>IFERROR(M8+N25,0)</f>
        <v/>
      </c>
      <c r="N25" s="823">
        <f>IFERROR(N8+O25,0)</f>
        <v/>
      </c>
      <c r="O25" s="823">
        <f>IFERROR(O8+P25,0)</f>
        <v/>
      </c>
      <c r="P25" s="823">
        <f>IFERROR(P8+Q25,0)</f>
        <v/>
      </c>
      <c r="Q25" s="823">
        <f>IFERROR(Q8+R25,0)</f>
        <v/>
      </c>
      <c r="R25" s="823">
        <f>IFERROR(R8+S25,0)</f>
        <v/>
      </c>
      <c r="S25" s="823">
        <f>IFERROR(S8+T25,0)</f>
        <v/>
      </c>
      <c r="T25" s="823">
        <f>IFERROR(T8+U25,0)</f>
        <v/>
      </c>
      <c r="U25" s="823">
        <f>IFERROR(U8+V25,0)</f>
        <v/>
      </c>
      <c r="V25" s="823">
        <f>IFERROR(V8+W25,0)</f>
        <v/>
      </c>
      <c r="W25" s="823">
        <f>IFERROR(W8+X25,0)</f>
        <v/>
      </c>
      <c r="X25" s="823">
        <f>IFERROR(X8+Y25,0)</f>
        <v/>
      </c>
      <c r="Y25" s="823">
        <f>IFERROR(Y8+Z25,0)</f>
        <v/>
      </c>
      <c r="Z25" s="823">
        <f>IFERROR(Z8+AA25,0)</f>
        <v/>
      </c>
      <c r="AA25" s="823">
        <f>IFERROR(AA8+AB25,0)</f>
        <v/>
      </c>
      <c r="AB25" s="823">
        <f>IFERROR(AB8+AC25,0)</f>
        <v/>
      </c>
      <c r="AC25" s="823">
        <f>IFERROR(AC8+AD25,0)</f>
        <v/>
      </c>
      <c r="AD25" s="823">
        <f>IFERROR(AD8+AE25,0)</f>
        <v/>
      </c>
      <c r="AE25" s="823">
        <f>IFERROR(AE8+AF25,0)</f>
        <v/>
      </c>
      <c r="AF25" s="394" t="n"/>
      <c r="AG25" s="394" t="n"/>
      <c r="AH25" s="830" t="n"/>
    </row>
    <row r="26" hidden="1" customFormat="1" s="194">
      <c r="A26" s="394">
        <f>A9</f>
        <v/>
      </c>
      <c r="B26" s="823">
        <f>IFERROR(B9+C26,0)</f>
        <v/>
      </c>
      <c r="C26" s="823">
        <f>IFERROR(C9+D26,0)</f>
        <v/>
      </c>
      <c r="D26" s="823">
        <f>IFERROR(D9+E26,0)</f>
        <v/>
      </c>
      <c r="E26" s="823">
        <f>IFERROR(E9+F26,0)</f>
        <v/>
      </c>
      <c r="F26" s="823">
        <f>IFERROR(F9+G26,0)</f>
        <v/>
      </c>
      <c r="G26" s="823">
        <f>IFERROR(G9+H26,0)</f>
        <v/>
      </c>
      <c r="H26" s="823">
        <f>IFERROR(H9+I26,0)</f>
        <v/>
      </c>
      <c r="I26" s="823">
        <f>IFERROR(I9+J26,0)</f>
        <v/>
      </c>
      <c r="J26" s="823">
        <f>IFERROR(J9+K26,0)</f>
        <v/>
      </c>
      <c r="K26" s="823">
        <f>IFERROR(K9+L26,0)</f>
        <v/>
      </c>
      <c r="L26" s="823">
        <f>IFERROR(L9+M26,0)</f>
        <v/>
      </c>
      <c r="M26" s="823">
        <f>IFERROR(M9+N26,0)</f>
        <v/>
      </c>
      <c r="N26" s="823">
        <f>IFERROR(N9+O26,0)</f>
        <v/>
      </c>
      <c r="O26" s="823">
        <f>IFERROR(O9+P26,0)</f>
        <v/>
      </c>
      <c r="P26" s="823">
        <f>IFERROR(P9+Q26,0)</f>
        <v/>
      </c>
      <c r="Q26" s="823">
        <f>IFERROR(Q9+R26,0)</f>
        <v/>
      </c>
      <c r="R26" s="823">
        <f>IFERROR(R9+S26,0)</f>
        <v/>
      </c>
      <c r="S26" s="823">
        <f>IFERROR(S9+T26,0)</f>
        <v/>
      </c>
      <c r="T26" s="823">
        <f>IFERROR(T9+U26,0)</f>
        <v/>
      </c>
      <c r="U26" s="823">
        <f>IFERROR(U9+V26,0)</f>
        <v/>
      </c>
      <c r="V26" s="823">
        <f>IFERROR(V9+W26,0)</f>
        <v/>
      </c>
      <c r="W26" s="823">
        <f>IFERROR(W9+X26,0)</f>
        <v/>
      </c>
      <c r="X26" s="823">
        <f>IFERROR(X9+Y26,0)</f>
        <v/>
      </c>
      <c r="Y26" s="823">
        <f>IFERROR(Y9+Z26,0)</f>
        <v/>
      </c>
      <c r="Z26" s="823">
        <f>IFERROR(Z9+AA26,0)</f>
        <v/>
      </c>
      <c r="AA26" s="823">
        <f>IFERROR(AA9+AB26,0)</f>
        <v/>
      </c>
      <c r="AB26" s="823">
        <f>IFERROR(AB9+AC26,0)</f>
        <v/>
      </c>
      <c r="AC26" s="823">
        <f>IFERROR(AC9+AD26,0)</f>
        <v/>
      </c>
      <c r="AD26" s="823">
        <f>IFERROR(AD9+AE26,0)</f>
        <v/>
      </c>
      <c r="AE26" s="823">
        <f>IFERROR(AE9+AF26,0)</f>
        <v/>
      </c>
      <c r="AF26" s="394" t="n"/>
      <c r="AG26" s="394" t="n"/>
      <c r="AH26" s="830" t="n"/>
    </row>
    <row r="27" hidden="1" customFormat="1" s="194">
      <c r="A27" s="394">
        <f>A10</f>
        <v/>
      </c>
      <c r="B27" s="823">
        <f>IFERROR(B10+C27,0)</f>
        <v/>
      </c>
      <c r="C27" s="823">
        <f>IFERROR(C10+D27,0)</f>
        <v/>
      </c>
      <c r="D27" s="823">
        <f>IFERROR(D10+E27,0)</f>
        <v/>
      </c>
      <c r="E27" s="823">
        <f>IFERROR(E10+F27,0)</f>
        <v/>
      </c>
      <c r="F27" s="823">
        <f>IFERROR(F10+G27,0)</f>
        <v/>
      </c>
      <c r="G27" s="823">
        <f>IFERROR(G10+H27,0)</f>
        <v/>
      </c>
      <c r="H27" s="823">
        <f>IFERROR(H10+I27,0)</f>
        <v/>
      </c>
      <c r="I27" s="823">
        <f>IFERROR(I10+J27,0)</f>
        <v/>
      </c>
      <c r="J27" s="823">
        <f>IFERROR(J10+K27,0)</f>
        <v/>
      </c>
      <c r="K27" s="823">
        <f>IFERROR(K10+L27,0)</f>
        <v/>
      </c>
      <c r="L27" s="823">
        <f>IFERROR(L10+M27,0)</f>
        <v/>
      </c>
      <c r="M27" s="823">
        <f>IFERROR(M10+N27,0)</f>
        <v/>
      </c>
      <c r="N27" s="823">
        <f>IFERROR(N10+O27,0)</f>
        <v/>
      </c>
      <c r="O27" s="823">
        <f>IFERROR(O10+P27,0)</f>
        <v/>
      </c>
      <c r="P27" s="823">
        <f>IFERROR(P10+Q27,0)</f>
        <v/>
      </c>
      <c r="Q27" s="823">
        <f>IFERROR(Q10+R27,0)</f>
        <v/>
      </c>
      <c r="R27" s="823">
        <f>IFERROR(R10+S27,0)</f>
        <v/>
      </c>
      <c r="S27" s="823">
        <f>IFERROR(S10+T27,0)</f>
        <v/>
      </c>
      <c r="T27" s="823">
        <f>IFERROR(T10+U27,0)</f>
        <v/>
      </c>
      <c r="U27" s="823">
        <f>IFERROR(U10+V27,0)</f>
        <v/>
      </c>
      <c r="V27" s="823">
        <f>IFERROR(V10+W27,0)</f>
        <v/>
      </c>
      <c r="W27" s="823">
        <f>IFERROR(W10+X27,0)</f>
        <v/>
      </c>
      <c r="X27" s="823">
        <f>IFERROR(X10+Y27,0)</f>
        <v/>
      </c>
      <c r="Y27" s="823">
        <f>IFERROR(Y10+Z27,0)</f>
        <v/>
      </c>
      <c r="Z27" s="823">
        <f>IFERROR(Z10+AA27,0)</f>
        <v/>
      </c>
      <c r="AA27" s="823">
        <f>IFERROR(AA10+AB27,0)</f>
        <v/>
      </c>
      <c r="AB27" s="823">
        <f>IFERROR(AB10+AC27,0)</f>
        <v/>
      </c>
      <c r="AC27" s="823">
        <f>IFERROR(AC10+AD27,0)</f>
        <v/>
      </c>
      <c r="AD27" s="823">
        <f>IFERROR(AD10+AE27,0)</f>
        <v/>
      </c>
      <c r="AE27" s="823">
        <f>IFERROR(AE10+AF27,0)</f>
        <v/>
      </c>
      <c r="AF27" s="394" t="n"/>
      <c r="AG27" s="394" t="n"/>
      <c r="AH27" s="830" t="n"/>
    </row>
    <row r="28" hidden="1" customFormat="1" s="194">
      <c r="A28" s="394">
        <f>A11</f>
        <v/>
      </c>
      <c r="B28" s="823">
        <f>IFERROR(B11+C28,0)</f>
        <v/>
      </c>
      <c r="C28" s="823">
        <f>IFERROR(C11+D28,0)</f>
        <v/>
      </c>
      <c r="D28" s="823">
        <f>IFERROR(D11+E28,0)</f>
        <v/>
      </c>
      <c r="E28" s="823">
        <f>IFERROR(E11+F28,0)</f>
        <v/>
      </c>
      <c r="F28" s="823">
        <f>IFERROR(F11+G28,0)</f>
        <v/>
      </c>
      <c r="G28" s="823">
        <f>IFERROR(G11+H28,0)</f>
        <v/>
      </c>
      <c r="H28" s="823">
        <f>IFERROR(H11+I28,0)</f>
        <v/>
      </c>
      <c r="I28" s="823">
        <f>IFERROR(I11+J28,0)</f>
        <v/>
      </c>
      <c r="J28" s="823">
        <f>IFERROR(J11+K28,0)</f>
        <v/>
      </c>
      <c r="K28" s="823">
        <f>IFERROR(K11+L28,0)</f>
        <v/>
      </c>
      <c r="L28" s="823">
        <f>IFERROR(L11+M28,0)</f>
        <v/>
      </c>
      <c r="M28" s="823">
        <f>IFERROR(M11+N28,0)</f>
        <v/>
      </c>
      <c r="N28" s="823">
        <f>IFERROR(N11+O28,0)</f>
        <v/>
      </c>
      <c r="O28" s="823">
        <f>IFERROR(O11+P28,0)</f>
        <v/>
      </c>
      <c r="P28" s="823">
        <f>IFERROR(P11+Q28,0)</f>
        <v/>
      </c>
      <c r="Q28" s="823">
        <f>IFERROR(Q11+R28,0)</f>
        <v/>
      </c>
      <c r="R28" s="823">
        <f>IFERROR(R11+S28,0)</f>
        <v/>
      </c>
      <c r="S28" s="823">
        <f>IFERROR(S11+T28,0)</f>
        <v/>
      </c>
      <c r="T28" s="823">
        <f>IFERROR(T11+U28,0)</f>
        <v/>
      </c>
      <c r="U28" s="823">
        <f>IFERROR(U11+V28,0)</f>
        <v/>
      </c>
      <c r="V28" s="823">
        <f>IFERROR(V11+W28,0)</f>
        <v/>
      </c>
      <c r="W28" s="823">
        <f>IFERROR(W11+X28,0)</f>
        <v/>
      </c>
      <c r="X28" s="823">
        <f>IFERROR(X11+Y28,0)</f>
        <v/>
      </c>
      <c r="Y28" s="823">
        <f>IFERROR(Y11+Z28,0)</f>
        <v/>
      </c>
      <c r="Z28" s="823">
        <f>IFERROR(Z11+AA28,0)</f>
        <v/>
      </c>
      <c r="AA28" s="823">
        <f>IFERROR(AA11+AB28,0)</f>
        <v/>
      </c>
      <c r="AB28" s="823">
        <f>IFERROR(AB11+AC28,0)</f>
        <v/>
      </c>
      <c r="AC28" s="823">
        <f>IFERROR(AC11+AD28,0)</f>
        <v/>
      </c>
      <c r="AD28" s="823">
        <f>IFERROR(AD11+AE28,0)</f>
        <v/>
      </c>
      <c r="AE28" s="823">
        <f>IFERROR(AE11+AF28,0)</f>
        <v/>
      </c>
      <c r="AF28" s="394" t="n"/>
      <c r="AG28" s="394" t="n"/>
      <c r="AH28" s="830" t="n"/>
    </row>
    <row r="29" hidden="1" customFormat="1" s="194">
      <c r="A29" s="394">
        <f>A12</f>
        <v/>
      </c>
      <c r="B29" s="823">
        <f>IFERROR(B12+C29,0)</f>
        <v/>
      </c>
      <c r="C29" s="823">
        <f>IFERROR(C12+D29,0)</f>
        <v/>
      </c>
      <c r="D29" s="823">
        <f>IFERROR(D12+E29,0)</f>
        <v/>
      </c>
      <c r="E29" s="823">
        <f>IFERROR(E12+F29,0)</f>
        <v/>
      </c>
      <c r="F29" s="823">
        <f>IFERROR(F12+G29,0)</f>
        <v/>
      </c>
      <c r="G29" s="823">
        <f>IFERROR(G12+H29,0)</f>
        <v/>
      </c>
      <c r="H29" s="823">
        <f>IFERROR(H12+I29,0)</f>
        <v/>
      </c>
      <c r="I29" s="823">
        <f>IFERROR(I12+J29,0)</f>
        <v/>
      </c>
      <c r="J29" s="823">
        <f>IFERROR(J12+K29,0)</f>
        <v/>
      </c>
      <c r="K29" s="823">
        <f>IFERROR(K12+L29,0)</f>
        <v/>
      </c>
      <c r="L29" s="823">
        <f>IFERROR(L12+M29,0)</f>
        <v/>
      </c>
      <c r="M29" s="823">
        <f>IFERROR(M12+N29,0)</f>
        <v/>
      </c>
      <c r="N29" s="823">
        <f>IFERROR(N12+O29,0)</f>
        <v/>
      </c>
      <c r="O29" s="823">
        <f>IFERROR(O12+P29,0)</f>
        <v/>
      </c>
      <c r="P29" s="823">
        <f>IFERROR(P12+Q29,0)</f>
        <v/>
      </c>
      <c r="Q29" s="823">
        <f>IFERROR(Q12+R29,0)</f>
        <v/>
      </c>
      <c r="R29" s="823">
        <f>IFERROR(R12+S29,0)</f>
        <v/>
      </c>
      <c r="S29" s="823">
        <f>IFERROR(S12+T29,0)</f>
        <v/>
      </c>
      <c r="T29" s="823">
        <f>IFERROR(T12+U29,0)</f>
        <v/>
      </c>
      <c r="U29" s="823">
        <f>IFERROR(U12+V29,0)</f>
        <v/>
      </c>
      <c r="V29" s="823">
        <f>IFERROR(V12+W29,0)</f>
        <v/>
      </c>
      <c r="W29" s="823">
        <f>IFERROR(W12+X29,0)</f>
        <v/>
      </c>
      <c r="X29" s="823">
        <f>IFERROR(X12+Y29,0)</f>
        <v/>
      </c>
      <c r="Y29" s="823">
        <f>IFERROR(Y12+Z29,0)</f>
        <v/>
      </c>
      <c r="Z29" s="823">
        <f>IFERROR(Z12+AA29,0)</f>
        <v/>
      </c>
      <c r="AA29" s="823">
        <f>IFERROR(AA12+AB29,0)</f>
        <v/>
      </c>
      <c r="AB29" s="823">
        <f>IFERROR(AB12+AC29,0)</f>
        <v/>
      </c>
      <c r="AC29" s="823">
        <f>IFERROR(AC12+AD29,0)</f>
        <v/>
      </c>
      <c r="AD29" s="823">
        <f>IFERROR(AD12+AE29,0)</f>
        <v/>
      </c>
      <c r="AE29" s="823">
        <f>IFERROR(AE12+AF29,0)</f>
        <v/>
      </c>
      <c r="AF29" s="394" t="n"/>
      <c r="AG29" s="394" t="n"/>
      <c r="AH29" s="830" t="n"/>
    </row>
    <row r="30" hidden="1" customFormat="1" s="194">
      <c r="A30" s="394">
        <f>A13</f>
        <v/>
      </c>
      <c r="B30" s="823">
        <f>IFERROR(B13+C30,0)</f>
        <v/>
      </c>
      <c r="C30" s="823">
        <f>IFERROR(C13+D30,0)</f>
        <v/>
      </c>
      <c r="D30" s="823">
        <f>IFERROR(D13+E30,0)</f>
        <v/>
      </c>
      <c r="E30" s="823">
        <f>IFERROR(E13+F30,0)</f>
        <v/>
      </c>
      <c r="F30" s="823">
        <f>IFERROR(F13+G30,0)</f>
        <v/>
      </c>
      <c r="G30" s="823">
        <f>IFERROR(G13+H30,0)</f>
        <v/>
      </c>
      <c r="H30" s="823">
        <f>IFERROR(H13+I30,0)</f>
        <v/>
      </c>
      <c r="I30" s="823">
        <f>IFERROR(I13+J30,0)</f>
        <v/>
      </c>
      <c r="J30" s="823">
        <f>IFERROR(J13+K30,0)</f>
        <v/>
      </c>
      <c r="K30" s="823">
        <f>IFERROR(K13+L30,0)</f>
        <v/>
      </c>
      <c r="L30" s="823">
        <f>IFERROR(L13+M30,0)</f>
        <v/>
      </c>
      <c r="M30" s="823">
        <f>IFERROR(M13+N30,0)</f>
        <v/>
      </c>
      <c r="N30" s="823">
        <f>IFERROR(N13+O30,0)</f>
        <v/>
      </c>
      <c r="O30" s="823">
        <f>IFERROR(O13+P30,0)</f>
        <v/>
      </c>
      <c r="P30" s="823">
        <f>IFERROR(P13+Q30,0)</f>
        <v/>
      </c>
      <c r="Q30" s="823">
        <f>IFERROR(Q13+R30,0)</f>
        <v/>
      </c>
      <c r="R30" s="823">
        <f>IFERROR(R13+S30,0)</f>
        <v/>
      </c>
      <c r="S30" s="823">
        <f>IFERROR(S13+T30,0)</f>
        <v/>
      </c>
      <c r="T30" s="823">
        <f>IFERROR(T13+U30,0)</f>
        <v/>
      </c>
      <c r="U30" s="823">
        <f>IFERROR(U13+V30,0)</f>
        <v/>
      </c>
      <c r="V30" s="823">
        <f>IFERROR(V13+W30,0)</f>
        <v/>
      </c>
      <c r="W30" s="823">
        <f>IFERROR(W13+X30,0)</f>
        <v/>
      </c>
      <c r="X30" s="823">
        <f>IFERROR(X13+Y30,0)</f>
        <v/>
      </c>
      <c r="Y30" s="823">
        <f>IFERROR(Y13+Z30,0)</f>
        <v/>
      </c>
      <c r="Z30" s="823">
        <f>IFERROR(Z13+AA30,0)</f>
        <v/>
      </c>
      <c r="AA30" s="823">
        <f>IFERROR(AA13+AB30,0)</f>
        <v/>
      </c>
      <c r="AB30" s="823">
        <f>IFERROR(AB13+AC30,0)</f>
        <v/>
      </c>
      <c r="AC30" s="823">
        <f>IFERROR(AC13+AD30,0)</f>
        <v/>
      </c>
      <c r="AD30" s="823">
        <f>IFERROR(AD13+AE30,0)</f>
        <v/>
      </c>
      <c r="AE30" s="823">
        <f>IFERROR(AE13+AF30,0)</f>
        <v/>
      </c>
      <c r="AF30" s="394" t="n"/>
      <c r="AG30" s="394" t="n"/>
      <c r="AH30" s="830" t="n"/>
    </row>
    <row r="31" hidden="1" ht="30" customFormat="1" customHeight="1" s="194">
      <c r="A31" s="394">
        <f>A14</f>
        <v/>
      </c>
      <c r="B31" s="823">
        <f>IFERROR(B14+C31,0)</f>
        <v/>
      </c>
      <c r="C31" s="823">
        <f>IFERROR(C14+D31,0)</f>
        <v/>
      </c>
      <c r="D31" s="823">
        <f>IFERROR(D14+E31,0)</f>
        <v/>
      </c>
      <c r="E31" s="823">
        <f>IFERROR(E14+F31,0)</f>
        <v/>
      </c>
      <c r="F31" s="823">
        <f>IFERROR(F14+G31,0)</f>
        <v/>
      </c>
      <c r="G31" s="823">
        <f>IFERROR(G14+H31,0)</f>
        <v/>
      </c>
      <c r="H31" s="823">
        <f>IFERROR(H14+I31,0)</f>
        <v/>
      </c>
      <c r="I31" s="823">
        <f>IFERROR(I14+J31,0)</f>
        <v/>
      </c>
      <c r="J31" s="823">
        <f>IFERROR(J14+K31,0)</f>
        <v/>
      </c>
      <c r="K31" s="823">
        <f>IFERROR(K14+L31,0)</f>
        <v/>
      </c>
      <c r="L31" s="823">
        <f>IFERROR(L14+M31,0)</f>
        <v/>
      </c>
      <c r="M31" s="823">
        <f>IFERROR(M14+N31,0)</f>
        <v/>
      </c>
      <c r="N31" s="823">
        <f>IFERROR(N14+O31,0)</f>
        <v/>
      </c>
      <c r="O31" s="823">
        <f>IFERROR(O14+P31,0)</f>
        <v/>
      </c>
      <c r="P31" s="823">
        <f>IFERROR(P14+Q31,0)</f>
        <v/>
      </c>
      <c r="Q31" s="823">
        <f>IFERROR(Q14+R31,0)</f>
        <v/>
      </c>
      <c r="R31" s="823">
        <f>IFERROR(R14+S31,0)</f>
        <v/>
      </c>
      <c r="S31" s="823">
        <f>IFERROR(S14+T31,0)</f>
        <v/>
      </c>
      <c r="T31" s="823">
        <f>IFERROR(T14+U31,0)</f>
        <v/>
      </c>
      <c r="U31" s="823">
        <f>IFERROR(U14+V31,0)</f>
        <v/>
      </c>
      <c r="V31" s="823">
        <f>IFERROR(V14+W31,0)</f>
        <v/>
      </c>
      <c r="W31" s="823">
        <f>IFERROR(W14+X31,0)</f>
        <v/>
      </c>
      <c r="X31" s="823">
        <f>IFERROR(X14+Y31,0)</f>
        <v/>
      </c>
      <c r="Y31" s="823">
        <f>IFERROR(Y14+Z31,0)</f>
        <v/>
      </c>
      <c r="Z31" s="823">
        <f>IFERROR(Z14+AA31,0)</f>
        <v/>
      </c>
      <c r="AA31" s="823">
        <f>IFERROR(AA14+AB31,0)</f>
        <v/>
      </c>
      <c r="AB31" s="823">
        <f>IFERROR(AB14+AC31,0)</f>
        <v/>
      </c>
      <c r="AC31" s="823">
        <f>IFERROR(AC14+AD31,0)</f>
        <v/>
      </c>
      <c r="AD31" s="823">
        <f>IFERROR(AD14+AE31,0)</f>
        <v/>
      </c>
      <c r="AE31" s="823">
        <f>IFERROR(AE14+AF31,0)</f>
        <v/>
      </c>
      <c r="AF31" s="394" t="n"/>
      <c r="AG31" s="394" t="n"/>
      <c r="AH31" s="830" t="n"/>
    </row>
    <row r="32" hidden="1" ht="30" customFormat="1" customHeight="1" s="194">
      <c r="A32" s="394">
        <f>A15</f>
        <v/>
      </c>
      <c r="B32" s="823">
        <f>IFERROR(B15+C32,0)</f>
        <v/>
      </c>
      <c r="C32" s="823">
        <f>IFERROR(C15+D32,0)</f>
        <v/>
      </c>
      <c r="D32" s="823">
        <f>IFERROR(D15+E32,0)</f>
        <v/>
      </c>
      <c r="E32" s="823">
        <f>IFERROR(E15+F32,0)</f>
        <v/>
      </c>
      <c r="F32" s="823">
        <f>IFERROR(F15+G32,0)</f>
        <v/>
      </c>
      <c r="G32" s="823">
        <f>IFERROR(G15+H32,0)</f>
        <v/>
      </c>
      <c r="H32" s="823">
        <f>IFERROR(H15+I32,0)</f>
        <v/>
      </c>
      <c r="I32" s="823">
        <f>IFERROR(I15+J32,0)</f>
        <v/>
      </c>
      <c r="J32" s="823">
        <f>IFERROR(J15+K32,0)</f>
        <v/>
      </c>
      <c r="K32" s="823">
        <f>IFERROR(K15+L32,0)</f>
        <v/>
      </c>
      <c r="L32" s="823">
        <f>IFERROR(L15+M32,0)</f>
        <v/>
      </c>
      <c r="M32" s="823">
        <f>IFERROR(M15+N32,0)</f>
        <v/>
      </c>
      <c r="N32" s="823">
        <f>IFERROR(N15+O32,0)</f>
        <v/>
      </c>
      <c r="O32" s="823">
        <f>IFERROR(O15+P32,0)</f>
        <v/>
      </c>
      <c r="P32" s="823">
        <f>IFERROR(P15+Q32,0)</f>
        <v/>
      </c>
      <c r="Q32" s="823">
        <f>IFERROR(Q15+R32,0)</f>
        <v/>
      </c>
      <c r="R32" s="823">
        <f>IFERROR(R15+S32,0)</f>
        <v/>
      </c>
      <c r="S32" s="823">
        <f>IFERROR(S15+T32,0)</f>
        <v/>
      </c>
      <c r="T32" s="823">
        <f>IFERROR(T15+U32,0)</f>
        <v/>
      </c>
      <c r="U32" s="823">
        <f>IFERROR(U15+V32,0)</f>
        <v/>
      </c>
      <c r="V32" s="823">
        <f>IFERROR(V15+W32,0)</f>
        <v/>
      </c>
      <c r="W32" s="823">
        <f>IFERROR(W15+X32,0)</f>
        <v/>
      </c>
      <c r="X32" s="823">
        <f>IFERROR(X15+Y32,0)</f>
        <v/>
      </c>
      <c r="Y32" s="823">
        <f>IFERROR(Y15+Z32,0)</f>
        <v/>
      </c>
      <c r="Z32" s="823">
        <f>IFERROR(Z15+AA32,0)</f>
        <v/>
      </c>
      <c r="AA32" s="823">
        <f>IFERROR(AA15+AB32,0)</f>
        <v/>
      </c>
      <c r="AB32" s="823">
        <f>IFERROR(AB15+AC32,0)</f>
        <v/>
      </c>
      <c r="AC32" s="823">
        <f>IFERROR(AC15+AD32,0)</f>
        <v/>
      </c>
      <c r="AD32" s="823">
        <f>IFERROR(AD15+AE32,0)</f>
        <v/>
      </c>
      <c r="AE32" s="823">
        <f>IFERROR(AE15+AF32,0)</f>
        <v/>
      </c>
      <c r="AF32" s="394" t="n"/>
      <c r="AG32" s="394" t="n"/>
      <c r="AH32" s="830" t="n"/>
    </row>
    <row r="33" hidden="1" ht="30" customFormat="1" customHeight="1" s="194">
      <c r="A33" s="394">
        <f>A16</f>
        <v/>
      </c>
      <c r="B33" s="823">
        <f>IFERROR(B16+C33,0)</f>
        <v/>
      </c>
      <c r="C33" s="823">
        <f>IFERROR(C16+D33,0)</f>
        <v/>
      </c>
      <c r="D33" s="823">
        <f>IFERROR(D16+E33,0)</f>
        <v/>
      </c>
      <c r="E33" s="823">
        <f>IFERROR(E16+F33,0)</f>
        <v/>
      </c>
      <c r="F33" s="823">
        <f>IFERROR(F16+G33,0)</f>
        <v/>
      </c>
      <c r="G33" s="823">
        <f>IFERROR(G16+H33,0)</f>
        <v/>
      </c>
      <c r="H33" s="823">
        <f>IFERROR(H16+I33,0)</f>
        <v/>
      </c>
      <c r="I33" s="823">
        <f>IFERROR(I16+J33,0)</f>
        <v/>
      </c>
      <c r="J33" s="823">
        <f>IFERROR(J16+K33,0)</f>
        <v/>
      </c>
      <c r="K33" s="823">
        <f>IFERROR(K16+L33,0)</f>
        <v/>
      </c>
      <c r="L33" s="823">
        <f>IFERROR(L16+M33,0)</f>
        <v/>
      </c>
      <c r="M33" s="823">
        <f>IFERROR(M16+N33,0)</f>
        <v/>
      </c>
      <c r="N33" s="823">
        <f>IFERROR(N16+O33,0)</f>
        <v/>
      </c>
      <c r="O33" s="823">
        <f>IFERROR(O16+P33,0)</f>
        <v/>
      </c>
      <c r="P33" s="823">
        <f>IFERROR(P16+Q33,0)</f>
        <v/>
      </c>
      <c r="Q33" s="823">
        <f>IFERROR(Q16+R33,0)</f>
        <v/>
      </c>
      <c r="R33" s="823">
        <f>IFERROR(R16+S33,0)</f>
        <v/>
      </c>
      <c r="S33" s="823">
        <f>IFERROR(S16+T33,0)</f>
        <v/>
      </c>
      <c r="T33" s="823">
        <f>IFERROR(T16+U33,0)</f>
        <v/>
      </c>
      <c r="U33" s="823">
        <f>IFERROR(U16+V33,0)</f>
        <v/>
      </c>
      <c r="V33" s="823">
        <f>IFERROR(V16+W33,0)</f>
        <v/>
      </c>
      <c r="W33" s="823">
        <f>IFERROR(W16+X33,0)</f>
        <v/>
      </c>
      <c r="X33" s="823">
        <f>IFERROR(X16+Y33,0)</f>
        <v/>
      </c>
      <c r="Y33" s="823">
        <f>IFERROR(Y16+Z33,0)</f>
        <v/>
      </c>
      <c r="Z33" s="823">
        <f>IFERROR(Z16+AA33,0)</f>
        <v/>
      </c>
      <c r="AA33" s="823">
        <f>IFERROR(AA16+AB33,0)</f>
        <v/>
      </c>
      <c r="AB33" s="823">
        <f>IFERROR(AB16+AC33,0)</f>
        <v/>
      </c>
      <c r="AC33" s="823">
        <f>IFERROR(AC16+AD33,0)</f>
        <v/>
      </c>
      <c r="AD33" s="823">
        <f>IFERROR(AD16+AE33,0)</f>
        <v/>
      </c>
      <c r="AE33" s="823">
        <f>IFERROR(AE16+AF33,0)</f>
        <v/>
      </c>
      <c r="AF33" s="394" t="n"/>
      <c r="AG33" s="394" t="n"/>
      <c r="AH33" s="830" t="n"/>
    </row>
    <row r="34" hidden="1" ht="30" customFormat="1" customHeight="1" s="194">
      <c r="A34" s="394">
        <f>A17</f>
        <v/>
      </c>
      <c r="B34" s="823">
        <f>IFERROR(B17+C34,0)</f>
        <v/>
      </c>
      <c r="C34" s="823">
        <f>IFERROR(C17+D34,0)</f>
        <v/>
      </c>
      <c r="D34" s="823">
        <f>IFERROR(D17+E34,0)</f>
        <v/>
      </c>
      <c r="E34" s="823">
        <f>IFERROR(E17+F34,0)</f>
        <v/>
      </c>
      <c r="F34" s="823">
        <f>IFERROR(F17+G34,0)</f>
        <v/>
      </c>
      <c r="G34" s="823">
        <f>IFERROR(G17+H34,0)</f>
        <v/>
      </c>
      <c r="H34" s="823">
        <f>IFERROR(H17+I34,0)</f>
        <v/>
      </c>
      <c r="I34" s="823">
        <f>IFERROR(I17+J34,0)</f>
        <v/>
      </c>
      <c r="J34" s="823">
        <f>IFERROR(J17+K34,0)</f>
        <v/>
      </c>
      <c r="K34" s="823">
        <f>IFERROR(K17+L34,0)</f>
        <v/>
      </c>
      <c r="L34" s="823">
        <f>IFERROR(L17+M34,0)</f>
        <v/>
      </c>
      <c r="M34" s="823">
        <f>IFERROR(M17+N34,0)</f>
        <v/>
      </c>
      <c r="N34" s="823">
        <f>IFERROR(N17+O34,0)</f>
        <v/>
      </c>
      <c r="O34" s="823">
        <f>IFERROR(O17+P34,0)</f>
        <v/>
      </c>
      <c r="P34" s="823">
        <f>IFERROR(P17+Q34,0)</f>
        <v/>
      </c>
      <c r="Q34" s="823">
        <f>IFERROR(Q17+R34,0)</f>
        <v/>
      </c>
      <c r="R34" s="823">
        <f>IFERROR(R17+S34,0)</f>
        <v/>
      </c>
      <c r="S34" s="823">
        <f>IFERROR(S17+T34,0)</f>
        <v/>
      </c>
      <c r="T34" s="823">
        <f>IFERROR(T17+U34,0)</f>
        <v/>
      </c>
      <c r="U34" s="823">
        <f>IFERROR(U17+V34,0)</f>
        <v/>
      </c>
      <c r="V34" s="823">
        <f>IFERROR(V17+W34,0)</f>
        <v/>
      </c>
      <c r="W34" s="823">
        <f>IFERROR(W17+X34,0)</f>
        <v/>
      </c>
      <c r="X34" s="823">
        <f>IFERROR(X17+Y34,0)</f>
        <v/>
      </c>
      <c r="Y34" s="823">
        <f>IFERROR(Y17+Z34,0)</f>
        <v/>
      </c>
      <c r="Z34" s="823">
        <f>IFERROR(Z17+AA34,0)</f>
        <v/>
      </c>
      <c r="AA34" s="823">
        <f>IFERROR(AA17+AB34,0)</f>
        <v/>
      </c>
      <c r="AB34" s="823">
        <f>IFERROR(AB17+AC34,0)</f>
        <v/>
      </c>
      <c r="AC34" s="823">
        <f>IFERROR(AC17+AD34,0)</f>
        <v/>
      </c>
      <c r="AD34" s="823">
        <f>IFERROR(AD17+AE34,0)</f>
        <v/>
      </c>
      <c r="AE34" s="823">
        <f>IFERROR(AE17+AF34,0)</f>
        <v/>
      </c>
      <c r="AF34" s="394" t="n"/>
      <c r="AG34" s="394" t="n"/>
      <c r="AH34" s="830" t="n"/>
    </row>
    <row r="35" hidden="1" ht="30" customFormat="1" customHeight="1" s="194">
      <c r="A35" s="394">
        <f>A18</f>
        <v/>
      </c>
      <c r="B35" s="823">
        <f>IFERROR(B18+C35,0)</f>
        <v/>
      </c>
      <c r="C35" s="823">
        <f>IFERROR(C18+D35,0)</f>
        <v/>
      </c>
      <c r="D35" s="823">
        <f>IFERROR(D18+E35,0)</f>
        <v/>
      </c>
      <c r="E35" s="823">
        <f>IFERROR(E18+F35,0)</f>
        <v/>
      </c>
      <c r="F35" s="823">
        <f>IFERROR(F18+G35,0)</f>
        <v/>
      </c>
      <c r="G35" s="823">
        <f>IFERROR(G18+H35,0)</f>
        <v/>
      </c>
      <c r="H35" s="823">
        <f>IFERROR(H18+I35,0)</f>
        <v/>
      </c>
      <c r="I35" s="823">
        <f>IFERROR(I18+J35,0)</f>
        <v/>
      </c>
      <c r="J35" s="823">
        <f>IFERROR(J18+K35,0)</f>
        <v/>
      </c>
      <c r="K35" s="823">
        <f>IFERROR(K18+L35,0)</f>
        <v/>
      </c>
      <c r="L35" s="823">
        <f>IFERROR(L18+M35,0)</f>
        <v/>
      </c>
      <c r="M35" s="823">
        <f>IFERROR(M18+N35,0)</f>
        <v/>
      </c>
      <c r="N35" s="823">
        <f>IFERROR(N18+O35,0)</f>
        <v/>
      </c>
      <c r="O35" s="823">
        <f>IFERROR(O18+P35,0)</f>
        <v/>
      </c>
      <c r="P35" s="823">
        <f>IFERROR(P18+Q35,0)</f>
        <v/>
      </c>
      <c r="Q35" s="823">
        <f>IFERROR(Q18+R35,0)</f>
        <v/>
      </c>
      <c r="R35" s="823">
        <f>IFERROR(R18+S35,0)</f>
        <v/>
      </c>
      <c r="S35" s="823">
        <f>IFERROR(S18+T35,0)</f>
        <v/>
      </c>
      <c r="T35" s="823">
        <f>IFERROR(T18+U35,0)</f>
        <v/>
      </c>
      <c r="U35" s="823">
        <f>IFERROR(U18+V35,0)</f>
        <v/>
      </c>
      <c r="V35" s="823">
        <f>IFERROR(V18+W35,0)</f>
        <v/>
      </c>
      <c r="W35" s="823">
        <f>IFERROR(W18+X35,0)</f>
        <v/>
      </c>
      <c r="X35" s="823">
        <f>IFERROR(X18+Y35,0)</f>
        <v/>
      </c>
      <c r="Y35" s="823">
        <f>IFERROR(Y18+Z35,0)</f>
        <v/>
      </c>
      <c r="Z35" s="823">
        <f>IFERROR(Z18+AA35,0)</f>
        <v/>
      </c>
      <c r="AA35" s="823">
        <f>IFERROR(AA18+AB35,0)</f>
        <v/>
      </c>
      <c r="AB35" s="823">
        <f>IFERROR(AB18+AC35,0)</f>
        <v/>
      </c>
      <c r="AC35" s="823">
        <f>IFERROR(AC18+AD35,0)</f>
        <v/>
      </c>
      <c r="AD35" s="823">
        <f>IFERROR(AD18+AE35,0)</f>
        <v/>
      </c>
      <c r="AE35" s="823">
        <f>IFERROR(AE18+AF35,0)</f>
        <v/>
      </c>
      <c r="AF35" s="394" t="n"/>
      <c r="AG35" s="394" t="n"/>
      <c r="AH35" s="830" t="n"/>
    </row>
    <row r="36" hidden="1" ht="30" customFormat="1" customHeight="1" s="194">
      <c r="A36" s="394">
        <f>A19</f>
        <v/>
      </c>
      <c r="B36" s="823">
        <f>IFERROR(B19+C36,0)</f>
        <v/>
      </c>
      <c r="C36" s="823">
        <f>IFERROR(C19+D36,0)</f>
        <v/>
      </c>
      <c r="D36" s="823">
        <f>IFERROR(D19+E36,0)</f>
        <v/>
      </c>
      <c r="E36" s="823">
        <f>IFERROR(E19+F36,0)</f>
        <v/>
      </c>
      <c r="F36" s="823">
        <f>IFERROR(F19+G36,0)</f>
        <v/>
      </c>
      <c r="G36" s="823">
        <f>IFERROR(G19+H36,0)</f>
        <v/>
      </c>
      <c r="H36" s="823">
        <f>IFERROR(H19+I36,0)</f>
        <v/>
      </c>
      <c r="I36" s="823">
        <f>IFERROR(I19+J36,0)</f>
        <v/>
      </c>
      <c r="J36" s="823">
        <f>IFERROR(J19+K36,0)</f>
        <v/>
      </c>
      <c r="K36" s="823">
        <f>IFERROR(K19+L36,0)</f>
        <v/>
      </c>
      <c r="L36" s="823">
        <f>IFERROR(L19+M36,0)</f>
        <v/>
      </c>
      <c r="M36" s="823">
        <f>IFERROR(M19+N36,0)</f>
        <v/>
      </c>
      <c r="N36" s="823">
        <f>IFERROR(N19+O36,0)</f>
        <v/>
      </c>
      <c r="O36" s="823">
        <f>IFERROR(O19+P36,0)</f>
        <v/>
      </c>
      <c r="P36" s="823">
        <f>IFERROR(P19+Q36,0)</f>
        <v/>
      </c>
      <c r="Q36" s="823">
        <f>IFERROR(Q19+R36,0)</f>
        <v/>
      </c>
      <c r="R36" s="823">
        <f>IFERROR(R19+S36,0)</f>
        <v/>
      </c>
      <c r="S36" s="823">
        <f>IFERROR(S19+T36,0)</f>
        <v/>
      </c>
      <c r="T36" s="823">
        <f>IFERROR(T19+U36,0)</f>
        <v/>
      </c>
      <c r="U36" s="823">
        <f>IFERROR(U19+V36,0)</f>
        <v/>
      </c>
      <c r="V36" s="823">
        <f>IFERROR(V19+W36,0)</f>
        <v/>
      </c>
      <c r="W36" s="823">
        <f>IFERROR(W19+X36,0)</f>
        <v/>
      </c>
      <c r="X36" s="823">
        <f>IFERROR(X19+Y36,0)</f>
        <v/>
      </c>
      <c r="Y36" s="823">
        <f>IFERROR(Y19+Z36,0)</f>
        <v/>
      </c>
      <c r="Z36" s="823">
        <f>IFERROR(Z19+AA36,0)</f>
        <v/>
      </c>
      <c r="AA36" s="823">
        <f>IFERROR(AA19+AB36,0)</f>
        <v/>
      </c>
      <c r="AB36" s="823">
        <f>IFERROR(AB19+AC36,0)</f>
        <v/>
      </c>
      <c r="AC36" s="823">
        <f>IFERROR(AC19+AD36,0)</f>
        <v/>
      </c>
      <c r="AD36" s="823">
        <f>IFERROR(AD19+AE36,0)</f>
        <v/>
      </c>
      <c r="AE36" s="823">
        <f>IFERROR(AE19+AF36,0)</f>
        <v/>
      </c>
      <c r="AF36" s="394" t="n"/>
      <c r="AG36" s="394" t="n"/>
      <c r="AH36" s="830" t="n"/>
    </row>
    <row r="37" hidden="1" customFormat="1" s="197">
      <c r="A37" s="395" t="inlineStr">
        <is>
          <t>Total Loans</t>
        </is>
      </c>
      <c r="B37" s="831">
        <f>SUM(B24:B36)</f>
        <v/>
      </c>
      <c r="C37" s="831">
        <f>SUM(C24:C36)</f>
        <v/>
      </c>
      <c r="D37" s="831">
        <f>SUM(D24:D36)</f>
        <v/>
      </c>
      <c r="E37" s="831">
        <f>SUM(E24:E36)</f>
        <v/>
      </c>
      <c r="F37" s="831">
        <f>SUM(F24:F36)</f>
        <v/>
      </c>
      <c r="G37" s="831">
        <f>SUM(G24:G36)</f>
        <v/>
      </c>
      <c r="H37" s="831">
        <f>SUM(H24:H36)</f>
        <v/>
      </c>
      <c r="I37" s="831">
        <f>SUM(I24:I36)</f>
        <v/>
      </c>
      <c r="J37" s="831">
        <f>SUM(J24:J36)</f>
        <v/>
      </c>
      <c r="K37" s="831">
        <f>SUM(K24:K36)</f>
        <v/>
      </c>
      <c r="L37" s="831">
        <f>SUM(L24:L36)</f>
        <v/>
      </c>
      <c r="M37" s="831">
        <f>SUM(M24:M36)</f>
        <v/>
      </c>
      <c r="N37" s="831">
        <f>SUM(N24:N36)</f>
        <v/>
      </c>
      <c r="O37" s="831">
        <f>SUM(O24:O36)</f>
        <v/>
      </c>
      <c r="P37" s="831">
        <f>SUM(P24:P36)</f>
        <v/>
      </c>
      <c r="Q37" s="831">
        <f>SUM(Q24:Q36)</f>
        <v/>
      </c>
      <c r="R37" s="831">
        <f>SUM(R24:R36)</f>
        <v/>
      </c>
      <c r="S37" s="831">
        <f>SUM(S24:S36)</f>
        <v/>
      </c>
      <c r="T37" s="831">
        <f>SUM(T24:T36)</f>
        <v/>
      </c>
      <c r="U37" s="831">
        <f>SUM(U24:U36)</f>
        <v/>
      </c>
      <c r="V37" s="831">
        <f>SUM(V24:V36)</f>
        <v/>
      </c>
      <c r="W37" s="831">
        <f>SUM(W24:W36)</f>
        <v/>
      </c>
      <c r="X37" s="831">
        <f>SUM(X24:X36)</f>
        <v/>
      </c>
      <c r="Y37" s="831">
        <f>SUM(Y24:Y36)</f>
        <v/>
      </c>
      <c r="Z37" s="831">
        <f>SUM(Z24:Z36)</f>
        <v/>
      </c>
      <c r="AA37" s="831">
        <f>SUM(AA24:AA36)</f>
        <v/>
      </c>
      <c r="AB37" s="831">
        <f>SUM(AB24:AB36)</f>
        <v/>
      </c>
      <c r="AC37" s="831">
        <f>SUM(AC24:AC36)</f>
        <v/>
      </c>
      <c r="AD37" s="831">
        <f>SUM(AD24:AD36)</f>
        <v/>
      </c>
      <c r="AE37" s="831">
        <f>SUM(AE24:AE36)</f>
        <v/>
      </c>
      <c r="AF37" s="200" t="n"/>
      <c r="AG37" s="200" t="n"/>
      <c r="AH37" s="832" t="n"/>
    </row>
    <row r="38" hidden="1" s="685"/>
    <row r="40" ht="30" customHeight="1" s="685">
      <c r="A40" s="396" t="inlineStr">
        <is>
          <t>Net Charge offs</t>
        </is>
      </c>
      <c r="B40" s="193">
        <f>B6</f>
        <v/>
      </c>
      <c r="C40" s="193">
        <f>C6</f>
        <v/>
      </c>
      <c r="D40" s="188">
        <f>D6</f>
        <v/>
      </c>
      <c r="E40" s="188">
        <f>E6</f>
        <v/>
      </c>
      <c r="F40" s="188">
        <f>F6</f>
        <v/>
      </c>
      <c r="G40" s="188">
        <f>G6</f>
        <v/>
      </c>
      <c r="H40" s="188">
        <f>H6</f>
        <v/>
      </c>
      <c r="I40" s="188">
        <f>I6</f>
        <v/>
      </c>
      <c r="J40" s="188">
        <f>J6</f>
        <v/>
      </c>
      <c r="K40" s="188">
        <f>K6</f>
        <v/>
      </c>
      <c r="L40" s="188">
        <f>L6</f>
        <v/>
      </c>
      <c r="M40" s="188">
        <f>M6</f>
        <v/>
      </c>
      <c r="N40" s="188">
        <f>N6</f>
        <v/>
      </c>
      <c r="O40" s="188">
        <f>O6</f>
        <v/>
      </c>
      <c r="P40" s="188">
        <f>P6</f>
        <v/>
      </c>
      <c r="Q40" s="188">
        <f>Q6</f>
        <v/>
      </c>
      <c r="R40" s="188">
        <f>R6</f>
        <v/>
      </c>
      <c r="S40" s="188">
        <f>S6</f>
        <v/>
      </c>
      <c r="T40" s="188">
        <f>T6</f>
        <v/>
      </c>
      <c r="U40" s="188">
        <f>U6</f>
        <v/>
      </c>
      <c r="V40" s="188">
        <f>V6</f>
        <v/>
      </c>
      <c r="W40" s="188">
        <f>W6</f>
        <v/>
      </c>
      <c r="X40" s="188">
        <f>X6</f>
        <v/>
      </c>
      <c r="Y40" s="188">
        <f>Y6</f>
        <v/>
      </c>
      <c r="Z40" s="188">
        <f>Z6</f>
        <v/>
      </c>
      <c r="AA40" s="188">
        <f>AA6</f>
        <v/>
      </c>
      <c r="AB40" s="188">
        <f>AB6</f>
        <v/>
      </c>
      <c r="AC40" s="188">
        <f>AC6</f>
        <v/>
      </c>
      <c r="AD40" s="188">
        <f>AD6</f>
        <v/>
      </c>
      <c r="AE40" s="188">
        <f>AE6</f>
        <v/>
      </c>
      <c r="AF40" s="413" t="inlineStr">
        <is>
          <t>ACL Lifetime Months</t>
        </is>
      </c>
      <c r="AG40" s="413" t="inlineStr">
        <is>
          <t>ACL Lifetime Quarters</t>
        </is>
      </c>
      <c r="AH40" s="833" t="inlineStr">
        <is>
          <t>Total ACL Lifetime Net Charge off</t>
        </is>
      </c>
      <c r="AI40" s="385" t="inlineStr">
        <is>
          <t>ACL Loss Rate</t>
        </is>
      </c>
    </row>
    <row r="41">
      <c r="A41" s="4">
        <f>A7</f>
        <v/>
      </c>
      <c r="B41" s="823">
        <f>IF(B7="","",B58)</f>
        <v/>
      </c>
      <c r="C41" s="823">
        <f>IF(C7="","",C58)</f>
        <v/>
      </c>
      <c r="D41" s="824">
        <f>IF(D7="","",D58)</f>
        <v/>
      </c>
      <c r="E41" s="824">
        <f>IF(E7="","",E58)</f>
        <v/>
      </c>
      <c r="F41" s="824">
        <f>IF(F7="","",F58)</f>
        <v/>
      </c>
      <c r="G41" s="824">
        <f>IF(G7="","",G58)</f>
        <v/>
      </c>
      <c r="H41" s="824">
        <f>IF(H7="","",H58)</f>
        <v/>
      </c>
      <c r="I41" s="824">
        <f>IF(I7="","",I58)</f>
        <v/>
      </c>
      <c r="J41" s="824">
        <f>IF(J7="","",J58)</f>
        <v/>
      </c>
      <c r="K41" s="824">
        <f>IF(K7="","",K58)</f>
        <v/>
      </c>
      <c r="L41" s="824">
        <f>IF(L7="","",L58)</f>
        <v/>
      </c>
      <c r="M41" s="824">
        <f>IF(M7="","",M58)</f>
        <v/>
      </c>
      <c r="N41" s="824">
        <f>IF(N7="","",N58)</f>
        <v/>
      </c>
      <c r="O41" s="824">
        <f>IF(O7="","",O58)</f>
        <v/>
      </c>
      <c r="P41" s="824">
        <f>IF(P7="","",P58)</f>
        <v/>
      </c>
      <c r="Q41" s="824">
        <f>IF(Q7="","",Q58)</f>
        <v/>
      </c>
      <c r="R41" s="824">
        <f>IF(R7="","",R58)</f>
        <v/>
      </c>
      <c r="S41" s="824">
        <f>IF(S7="","",S58)</f>
        <v/>
      </c>
      <c r="T41" s="824">
        <f>IF(T7="","",T58)</f>
        <v/>
      </c>
      <c r="U41" s="824">
        <f>IF(U7="","",U58)</f>
        <v/>
      </c>
      <c r="V41" s="824">
        <f>IF(V7="","",V58)</f>
        <v/>
      </c>
      <c r="W41" s="824">
        <f>IF(W7="","",W58)</f>
        <v/>
      </c>
      <c r="X41" s="824">
        <f>IF(X7="","",X58)</f>
        <v/>
      </c>
      <c r="Y41" s="824">
        <f>IF(Y7="","",Y58)</f>
        <v/>
      </c>
      <c r="Z41" s="824">
        <f>IF(Z7="","",Z58)</f>
        <v/>
      </c>
      <c r="AA41" s="824">
        <f>IF(AA7="","",AA58)</f>
        <v/>
      </c>
      <c r="AB41" s="824">
        <f>IF(AB7="","",AB58)</f>
        <v/>
      </c>
      <c r="AC41" s="824">
        <f>IF(AC7="","",AC58)</f>
        <v/>
      </c>
      <c r="AD41" s="824">
        <f>IF(AD7="","",AD58)</f>
        <v/>
      </c>
      <c r="AE41" s="824">
        <f>IF(AE7="","",AE58)</f>
        <v/>
      </c>
      <c r="AF41" s="412">
        <f>AF58</f>
        <v/>
      </c>
      <c r="AG41" s="412">
        <f>AG58</f>
        <v/>
      </c>
      <c r="AH41" s="825">
        <f>AH58</f>
        <v/>
      </c>
      <c r="AI41" s="246">
        <f>AI58</f>
        <v/>
      </c>
    </row>
    <row r="42">
      <c r="A42" s="4">
        <f>A8</f>
        <v/>
      </c>
      <c r="B42" s="823">
        <f>IF(B8="","",B59)</f>
        <v/>
      </c>
      <c r="C42" s="823">
        <f>IF(C8="","",C59)</f>
        <v/>
      </c>
      <c r="D42" s="824">
        <f>IF(D8="","",D59)</f>
        <v/>
      </c>
      <c r="E42" s="824">
        <f>IF(E8="","",E59)</f>
        <v/>
      </c>
      <c r="F42" s="824">
        <f>IF(F8="","",F59)</f>
        <v/>
      </c>
      <c r="G42" s="824">
        <f>IF(G8="","",G59)</f>
        <v/>
      </c>
      <c r="H42" s="824">
        <f>IF(H8="","",H59)</f>
        <v/>
      </c>
      <c r="I42" s="824">
        <f>IF(I8="","",I59)</f>
        <v/>
      </c>
      <c r="J42" s="824">
        <f>IF(J8="","",J59)</f>
        <v/>
      </c>
      <c r="K42" s="824">
        <f>IF(K8="","",K59)</f>
        <v/>
      </c>
      <c r="L42" s="824">
        <f>IF(L8="","",L59)</f>
        <v/>
      </c>
      <c r="M42" s="824">
        <f>IF(M8="","",M59)</f>
        <v/>
      </c>
      <c r="N42" s="824">
        <f>IF(N8="","",N59)</f>
        <v/>
      </c>
      <c r="O42" s="824">
        <f>IF(O8="","",O59)</f>
        <v/>
      </c>
      <c r="P42" s="824">
        <f>IF(P8="","",P59)</f>
        <v/>
      </c>
      <c r="Q42" s="824">
        <f>IF(Q8="","",Q59)</f>
        <v/>
      </c>
      <c r="R42" s="824">
        <f>IF(R8="","",R59)</f>
        <v/>
      </c>
      <c r="S42" s="824">
        <f>IF(S8="","",S59)</f>
        <v/>
      </c>
      <c r="T42" s="824">
        <f>IF(T8="","",T59)</f>
        <v/>
      </c>
      <c r="U42" s="824">
        <f>IF(U8="","",U59)</f>
        <v/>
      </c>
      <c r="V42" s="824">
        <f>IF(V8="","",V59)</f>
        <v/>
      </c>
      <c r="W42" s="824">
        <f>IF(W8="","",W59)</f>
        <v/>
      </c>
      <c r="X42" s="824">
        <f>IF(X8="","",X59)</f>
        <v/>
      </c>
      <c r="Y42" s="824">
        <f>IF(Y8="","",Y59)</f>
        <v/>
      </c>
      <c r="Z42" s="824">
        <f>IF(Z8="","",Z59)</f>
        <v/>
      </c>
      <c r="AA42" s="824">
        <f>IF(AA8="","",AA59)</f>
        <v/>
      </c>
      <c r="AB42" s="824">
        <f>IF(AB8="","",AB59)</f>
        <v/>
      </c>
      <c r="AC42" s="824">
        <f>IF(AC8="","",AC59)</f>
        <v/>
      </c>
      <c r="AD42" s="824">
        <f>IF(AD8="","",AD59)</f>
        <v/>
      </c>
      <c r="AE42" s="824">
        <f>IF(AE8="","",AE59)</f>
        <v/>
      </c>
      <c r="AF42" s="412">
        <f>AF59</f>
        <v/>
      </c>
      <c r="AG42" s="412">
        <f>AG59</f>
        <v/>
      </c>
      <c r="AH42" s="825">
        <f>AH59</f>
        <v/>
      </c>
      <c r="AI42" s="246">
        <f>AI59</f>
        <v/>
      </c>
    </row>
    <row r="43">
      <c r="A43" s="4">
        <f>A9</f>
        <v/>
      </c>
      <c r="B43" s="823">
        <f>IF(B9="","",B60)</f>
        <v/>
      </c>
      <c r="C43" s="823">
        <f>IF(C9="","",C60)</f>
        <v/>
      </c>
      <c r="D43" s="824">
        <f>IF(D9="","",D60)</f>
        <v/>
      </c>
      <c r="E43" s="824">
        <f>IF(E9="","",E60)</f>
        <v/>
      </c>
      <c r="F43" s="824">
        <f>IF(F9="","",F60)</f>
        <v/>
      </c>
      <c r="G43" s="824">
        <f>IF(G9="","",G60)</f>
        <v/>
      </c>
      <c r="H43" s="824">
        <f>IF(H9="","",H60)</f>
        <v/>
      </c>
      <c r="I43" s="824">
        <f>IF(I9="","",I60)</f>
        <v/>
      </c>
      <c r="J43" s="824">
        <f>IF(J9="","",J60)</f>
        <v/>
      </c>
      <c r="K43" s="824">
        <f>IF(K9="","",K60)</f>
        <v/>
      </c>
      <c r="L43" s="824">
        <f>IF(L9="","",L60)</f>
        <v/>
      </c>
      <c r="M43" s="824">
        <f>IF(M9="","",M60)</f>
        <v/>
      </c>
      <c r="N43" s="824">
        <f>IF(N9="","",N60)</f>
        <v/>
      </c>
      <c r="O43" s="824">
        <f>IF(O9="","",O60)</f>
        <v/>
      </c>
      <c r="P43" s="824">
        <f>IF(P9="","",P60)</f>
        <v/>
      </c>
      <c r="Q43" s="824">
        <f>IF(Q9="","",Q60)</f>
        <v/>
      </c>
      <c r="R43" s="824">
        <f>IF(R9="","",R60)</f>
        <v/>
      </c>
      <c r="S43" s="824">
        <f>IF(S9="","",S60)</f>
        <v/>
      </c>
      <c r="T43" s="824">
        <f>IF(T9="","",T60)</f>
        <v/>
      </c>
      <c r="U43" s="824">
        <f>IF(U9="","",U60)</f>
        <v/>
      </c>
      <c r="V43" s="824">
        <f>IF(V9="","",V60)</f>
        <v/>
      </c>
      <c r="W43" s="824">
        <f>IF(W9="","",W60)</f>
        <v/>
      </c>
      <c r="X43" s="824">
        <f>IF(X9="","",X60)</f>
        <v/>
      </c>
      <c r="Y43" s="824">
        <f>IF(Y9="","",Y60)</f>
        <v/>
      </c>
      <c r="Z43" s="824">
        <f>IF(Z9="","",Z60)</f>
        <v/>
      </c>
      <c r="AA43" s="824">
        <f>IF(AA9="","",AA60)</f>
        <v/>
      </c>
      <c r="AB43" s="824">
        <f>IF(AB9="","",AB60)</f>
        <v/>
      </c>
      <c r="AC43" s="824">
        <f>IF(AC9="","",AC60)</f>
        <v/>
      </c>
      <c r="AD43" s="824">
        <f>IF(AD9="","",AD60)</f>
        <v/>
      </c>
      <c r="AE43" s="824">
        <f>IF(AE9="","",AE60)</f>
        <v/>
      </c>
      <c r="AF43" s="412">
        <f>AF60</f>
        <v/>
      </c>
      <c r="AG43" s="412">
        <f>AG60</f>
        <v/>
      </c>
      <c r="AH43" s="825">
        <f>AH60</f>
        <v/>
      </c>
      <c r="AI43" s="246">
        <f>AI60</f>
        <v/>
      </c>
    </row>
    <row r="44">
      <c r="A44" s="4">
        <f>A10</f>
        <v/>
      </c>
      <c r="B44" s="823">
        <f>IF(B10="","",B61)</f>
        <v/>
      </c>
      <c r="C44" s="823">
        <f>IF(C10="","",C61)</f>
        <v/>
      </c>
      <c r="D44" s="824">
        <f>IF(D10="","",D61)</f>
        <v/>
      </c>
      <c r="E44" s="824">
        <f>IF(E10="","",E61)</f>
        <v/>
      </c>
      <c r="F44" s="824">
        <f>IF(F10="","",F61)</f>
        <v/>
      </c>
      <c r="G44" s="824">
        <f>IF(G10="","",G61)</f>
        <v/>
      </c>
      <c r="H44" s="824">
        <f>IF(H10="","",H61)</f>
        <v/>
      </c>
      <c r="I44" s="824">
        <f>IF(I10="","",I61)</f>
        <v/>
      </c>
      <c r="J44" s="824">
        <f>IF(J10="","",J61)</f>
        <v/>
      </c>
      <c r="K44" s="824">
        <f>IF(K10="","",K61)</f>
        <v/>
      </c>
      <c r="L44" s="824">
        <f>IF(L10="","",L61)</f>
        <v/>
      </c>
      <c r="M44" s="824">
        <f>IF(M10="","",M61)</f>
        <v/>
      </c>
      <c r="N44" s="824">
        <f>IF(N10="","",N61)</f>
        <v/>
      </c>
      <c r="O44" s="824">
        <f>IF(O10="","",O61)</f>
        <v/>
      </c>
      <c r="P44" s="824">
        <f>IF(P10="","",P61)</f>
        <v/>
      </c>
      <c r="Q44" s="824">
        <f>IF(Q10="","",Q61)</f>
        <v/>
      </c>
      <c r="R44" s="824">
        <f>IF(R10="","",R61)</f>
        <v/>
      </c>
      <c r="S44" s="824">
        <f>IF(S10="","",S61)</f>
        <v/>
      </c>
      <c r="T44" s="824">
        <f>IF(T10="","",T61)</f>
        <v/>
      </c>
      <c r="U44" s="824">
        <f>IF(U10="","",U61)</f>
        <v/>
      </c>
      <c r="V44" s="824">
        <f>IF(V10="","",V61)</f>
        <v/>
      </c>
      <c r="W44" s="824">
        <f>IF(W10="","",W61)</f>
        <v/>
      </c>
      <c r="X44" s="824">
        <f>IF(X10="","",X61)</f>
        <v/>
      </c>
      <c r="Y44" s="824">
        <f>IF(Y10="","",Y61)</f>
        <v/>
      </c>
      <c r="Z44" s="824">
        <f>IF(Z10="","",Z61)</f>
        <v/>
      </c>
      <c r="AA44" s="824">
        <f>IF(AA10="","",AA61)</f>
        <v/>
      </c>
      <c r="AB44" s="824">
        <f>IF(AB10="","",AB61)</f>
        <v/>
      </c>
      <c r="AC44" s="824">
        <f>IF(AC10="","",AC61)</f>
        <v/>
      </c>
      <c r="AD44" s="824">
        <f>IF(AD10="","",AD61)</f>
        <v/>
      </c>
      <c r="AE44" s="824">
        <f>IF(AE10="","",AE61)</f>
        <v/>
      </c>
      <c r="AF44" s="412">
        <f>AF61</f>
        <v/>
      </c>
      <c r="AG44" s="412">
        <f>AG61</f>
        <v/>
      </c>
      <c r="AH44" s="825">
        <f>AH61</f>
        <v/>
      </c>
      <c r="AI44" s="246">
        <f>AI61</f>
        <v/>
      </c>
    </row>
    <row r="45">
      <c r="A45" s="4">
        <f>A11</f>
        <v/>
      </c>
      <c r="B45" s="823">
        <f>IF(B11="","",B62)</f>
        <v/>
      </c>
      <c r="C45" s="823">
        <f>IF(C11="","",C62)</f>
        <v/>
      </c>
      <c r="D45" s="824">
        <f>IF(D11="","",D62)</f>
        <v/>
      </c>
      <c r="E45" s="824">
        <f>IF(E11="","",E62)</f>
        <v/>
      </c>
      <c r="F45" s="824">
        <f>IF(F11="","",F62)</f>
        <v/>
      </c>
      <c r="G45" s="824">
        <f>IF(G11="","",G62)</f>
        <v/>
      </c>
      <c r="H45" s="824">
        <f>IF(H11="","",H62)</f>
        <v/>
      </c>
      <c r="I45" s="824">
        <f>IF(I11="","",I62)</f>
        <v/>
      </c>
      <c r="J45" s="824">
        <f>IF(J11="","",J62)</f>
        <v/>
      </c>
      <c r="K45" s="824">
        <f>IF(K11="","",K62)</f>
        <v/>
      </c>
      <c r="L45" s="824">
        <f>IF(L11="","",L62)</f>
        <v/>
      </c>
      <c r="M45" s="824">
        <f>IF(M11="","",M62)</f>
        <v/>
      </c>
      <c r="N45" s="824">
        <f>IF(N11="","",N62)</f>
        <v/>
      </c>
      <c r="O45" s="824">
        <f>IF(O11="","",O62)</f>
        <v/>
      </c>
      <c r="P45" s="824">
        <f>IF(P11="","",P62)</f>
        <v/>
      </c>
      <c r="Q45" s="824">
        <f>IF(Q11="","",Q62)</f>
        <v/>
      </c>
      <c r="R45" s="824">
        <f>IF(R11="","",R62)</f>
        <v/>
      </c>
      <c r="S45" s="824">
        <f>IF(S11="","",S62)</f>
        <v/>
      </c>
      <c r="T45" s="824">
        <f>IF(T11="","",T62)</f>
        <v/>
      </c>
      <c r="U45" s="824">
        <f>IF(U11="","",U62)</f>
        <v/>
      </c>
      <c r="V45" s="824">
        <f>IF(V11="","",V62)</f>
        <v/>
      </c>
      <c r="W45" s="824">
        <f>IF(W11="","",W62)</f>
        <v/>
      </c>
      <c r="X45" s="824">
        <f>IF(X11="","",X62)</f>
        <v/>
      </c>
      <c r="Y45" s="824">
        <f>IF(Y11="","",Y62)</f>
        <v/>
      </c>
      <c r="Z45" s="824">
        <f>IF(Z11="","",Z62)</f>
        <v/>
      </c>
      <c r="AA45" s="824">
        <f>IF(AA11="","",AA62)</f>
        <v/>
      </c>
      <c r="AB45" s="824">
        <f>IF(AB11="","",AB62)</f>
        <v/>
      </c>
      <c r="AC45" s="824">
        <f>IF(AC11="","",AC62)</f>
        <v/>
      </c>
      <c r="AD45" s="824">
        <f>IF(AD11="","",AD62)</f>
        <v/>
      </c>
      <c r="AE45" s="824">
        <f>IF(AE11="","",AE62)</f>
        <v/>
      </c>
      <c r="AF45" s="412">
        <f>AF62</f>
        <v/>
      </c>
      <c r="AG45" s="412">
        <f>AG62</f>
        <v/>
      </c>
      <c r="AH45" s="825">
        <f>AH62</f>
        <v/>
      </c>
      <c r="AI45" s="246">
        <f>AI62</f>
        <v/>
      </c>
    </row>
    <row r="46">
      <c r="A46" s="4">
        <f>A12</f>
        <v/>
      </c>
      <c r="B46" s="823">
        <f>IF(B12="","",B63)</f>
        <v/>
      </c>
      <c r="C46" s="823">
        <f>IF(C12="","",C63)</f>
        <v/>
      </c>
      <c r="D46" s="824">
        <f>IF(D12="","",D63)</f>
        <v/>
      </c>
      <c r="E46" s="824">
        <f>IF(E12="","",E63)</f>
        <v/>
      </c>
      <c r="F46" s="824">
        <f>IF(F12="","",F63)</f>
        <v/>
      </c>
      <c r="G46" s="824">
        <f>IF(G12="","",G63)</f>
        <v/>
      </c>
      <c r="H46" s="824">
        <f>IF(H12="","",H63)</f>
        <v/>
      </c>
      <c r="I46" s="824">
        <f>IF(I12="","",I63)</f>
        <v/>
      </c>
      <c r="J46" s="824">
        <f>IF(J12="","",J63)</f>
        <v/>
      </c>
      <c r="K46" s="824">
        <f>IF(K12="","",K63)</f>
        <v/>
      </c>
      <c r="L46" s="824">
        <f>IF(L12="","",L63)</f>
        <v/>
      </c>
      <c r="M46" s="824">
        <f>IF(M12="","",M63)</f>
        <v/>
      </c>
      <c r="N46" s="824">
        <f>IF(N12="","",N63)</f>
        <v/>
      </c>
      <c r="O46" s="824">
        <f>IF(O12="","",O63)</f>
        <v/>
      </c>
      <c r="P46" s="824">
        <f>IF(P12="","",P63)</f>
        <v/>
      </c>
      <c r="Q46" s="824">
        <f>IF(Q12="","",Q63)</f>
        <v/>
      </c>
      <c r="R46" s="824">
        <f>IF(R12="","",R63)</f>
        <v/>
      </c>
      <c r="S46" s="824">
        <f>IF(S12="","",S63)</f>
        <v/>
      </c>
      <c r="T46" s="824">
        <f>IF(T12="","",T63)</f>
        <v/>
      </c>
      <c r="U46" s="824">
        <f>IF(U12="","",U63)</f>
        <v/>
      </c>
      <c r="V46" s="824">
        <f>IF(V12="","",V63)</f>
        <v/>
      </c>
      <c r="W46" s="824">
        <f>IF(W12="","",W63)</f>
        <v/>
      </c>
      <c r="X46" s="824">
        <f>IF(X12="","",X63)</f>
        <v/>
      </c>
      <c r="Y46" s="824">
        <f>IF(Y12="","",Y63)</f>
        <v/>
      </c>
      <c r="Z46" s="824">
        <f>IF(Z12="","",Z63)</f>
        <v/>
      </c>
      <c r="AA46" s="824">
        <f>IF(AA12="","",AA63)</f>
        <v/>
      </c>
      <c r="AB46" s="824">
        <f>IF(AB12="","",AB63)</f>
        <v/>
      </c>
      <c r="AC46" s="824">
        <f>IF(AC12="","",AC63)</f>
        <v/>
      </c>
      <c r="AD46" s="824">
        <f>IF(AD12="","",AD63)</f>
        <v/>
      </c>
      <c r="AE46" s="824">
        <f>IF(AE12="","",AE63)</f>
        <v/>
      </c>
      <c r="AF46" s="412">
        <f>AF63</f>
        <v/>
      </c>
      <c r="AG46" s="412">
        <f>AG63</f>
        <v/>
      </c>
      <c r="AH46" s="825">
        <f>AH63</f>
        <v/>
      </c>
      <c r="AI46" s="246">
        <f>AI63</f>
        <v/>
      </c>
    </row>
    <row r="47">
      <c r="A47" s="4">
        <f>A13</f>
        <v/>
      </c>
      <c r="B47" s="823">
        <f>IF(B13="","",B64)</f>
        <v/>
      </c>
      <c r="C47" s="823">
        <f>IF(C13="","",C64)</f>
        <v/>
      </c>
      <c r="D47" s="824">
        <f>IF(D13="","",D64)</f>
        <v/>
      </c>
      <c r="E47" s="824">
        <f>IF(E13="","",E64)</f>
        <v/>
      </c>
      <c r="F47" s="824">
        <f>IF(F13="","",F64)</f>
        <v/>
      </c>
      <c r="G47" s="824">
        <f>IF(G13="","",G64)</f>
        <v/>
      </c>
      <c r="H47" s="824">
        <f>IF(H13="","",H64)</f>
        <v/>
      </c>
      <c r="I47" s="824">
        <f>IF(I13="","",I64)</f>
        <v/>
      </c>
      <c r="J47" s="824">
        <f>IF(J13="","",J64)</f>
        <v/>
      </c>
      <c r="K47" s="824">
        <f>IF(K13="","",K64)</f>
        <v/>
      </c>
      <c r="L47" s="824">
        <f>IF(L13="","",L64)</f>
        <v/>
      </c>
      <c r="M47" s="824">
        <f>IF(M13="","",M64)</f>
        <v/>
      </c>
      <c r="N47" s="824">
        <f>IF(N13="","",N64)</f>
        <v/>
      </c>
      <c r="O47" s="824">
        <f>IF(O13="","",O64)</f>
        <v/>
      </c>
      <c r="P47" s="824">
        <f>IF(P13="","",P64)</f>
        <v/>
      </c>
      <c r="Q47" s="824">
        <f>IF(Q13="","",Q64)</f>
        <v/>
      </c>
      <c r="R47" s="824">
        <f>IF(R13="","",R64)</f>
        <v/>
      </c>
      <c r="S47" s="824">
        <f>IF(S13="","",S64)</f>
        <v/>
      </c>
      <c r="T47" s="824">
        <f>IF(T13="","",T64)</f>
        <v/>
      </c>
      <c r="U47" s="824">
        <f>IF(U13="","",U64)</f>
        <v/>
      </c>
      <c r="V47" s="824">
        <f>IF(V13="","",V64)</f>
        <v/>
      </c>
      <c r="W47" s="824">
        <f>IF(W13="","",W64)</f>
        <v/>
      </c>
      <c r="X47" s="824">
        <f>IF(X13="","",X64)</f>
        <v/>
      </c>
      <c r="Y47" s="824">
        <f>IF(Y13="","",Y64)</f>
        <v/>
      </c>
      <c r="Z47" s="824">
        <f>IF(Z13="","",Z64)</f>
        <v/>
      </c>
      <c r="AA47" s="824">
        <f>IF(AA13="","",AA64)</f>
        <v/>
      </c>
      <c r="AB47" s="824">
        <f>IF(AB13="","",AB64)</f>
        <v/>
      </c>
      <c r="AC47" s="824">
        <f>IF(AC13="","",AC64)</f>
        <v/>
      </c>
      <c r="AD47" s="824">
        <f>IF(AD13="","",AD64)</f>
        <v/>
      </c>
      <c r="AE47" s="824">
        <f>IF(AE13="","",AE64)</f>
        <v/>
      </c>
      <c r="AF47" s="412">
        <f>AF64</f>
        <v/>
      </c>
      <c r="AG47" s="412">
        <f>AG64</f>
        <v/>
      </c>
      <c r="AH47" s="825">
        <f>AH64</f>
        <v/>
      </c>
      <c r="AI47" s="246">
        <f>AI64</f>
        <v/>
      </c>
    </row>
    <row r="48" ht="30" customHeight="1" s="685">
      <c r="A48" s="4">
        <f>A14</f>
        <v/>
      </c>
      <c r="B48" s="823">
        <f>IF(B14="","",B65)</f>
        <v/>
      </c>
      <c r="C48" s="823">
        <f>IF(C14="","",C65)</f>
        <v/>
      </c>
      <c r="D48" s="824">
        <f>IF(D14="","",D65)</f>
        <v/>
      </c>
      <c r="E48" s="824">
        <f>IF(E14="","",E65)</f>
        <v/>
      </c>
      <c r="F48" s="824">
        <f>IF(F14="","",F65)</f>
        <v/>
      </c>
      <c r="G48" s="824">
        <f>IF(G14="","",G65)</f>
        <v/>
      </c>
      <c r="H48" s="824">
        <f>IF(H14="","",H65)</f>
        <v/>
      </c>
      <c r="I48" s="824">
        <f>IF(I14="","",I65)</f>
        <v/>
      </c>
      <c r="J48" s="824">
        <f>IF(J14="","",J65)</f>
        <v/>
      </c>
      <c r="K48" s="824">
        <f>IF(K14="","",K65)</f>
        <v/>
      </c>
      <c r="L48" s="824">
        <f>IF(L14="","",L65)</f>
        <v/>
      </c>
      <c r="M48" s="824">
        <f>IF(M14="","",M65)</f>
        <v/>
      </c>
      <c r="N48" s="824">
        <f>IF(N14="","",N65)</f>
        <v/>
      </c>
      <c r="O48" s="824">
        <f>IF(O14="","",O65)</f>
        <v/>
      </c>
      <c r="P48" s="824">
        <f>IF(P14="","",P65)</f>
        <v/>
      </c>
      <c r="Q48" s="824">
        <f>IF(Q14="","",Q65)</f>
        <v/>
      </c>
      <c r="R48" s="824">
        <f>IF(R14="","",R65)</f>
        <v/>
      </c>
      <c r="S48" s="824">
        <f>IF(S14="","",S65)</f>
        <v/>
      </c>
      <c r="T48" s="824">
        <f>IF(T14="","",T65)</f>
        <v/>
      </c>
      <c r="U48" s="824">
        <f>IF(U14="","",U65)</f>
        <v/>
      </c>
      <c r="V48" s="824">
        <f>IF(V14="","",V65)</f>
        <v/>
      </c>
      <c r="W48" s="824">
        <f>IF(W14="","",W65)</f>
        <v/>
      </c>
      <c r="X48" s="824">
        <f>IF(X14="","",X65)</f>
        <v/>
      </c>
      <c r="Y48" s="824">
        <f>IF(Y14="","",Y65)</f>
        <v/>
      </c>
      <c r="Z48" s="824">
        <f>IF(Z14="","",Z65)</f>
        <v/>
      </c>
      <c r="AA48" s="824">
        <f>IF(AA14="","",AA65)</f>
        <v/>
      </c>
      <c r="AB48" s="824">
        <f>IF(AB14="","",AB65)</f>
        <v/>
      </c>
      <c r="AC48" s="824">
        <f>IF(AC14="","",AC65)</f>
        <v/>
      </c>
      <c r="AD48" s="824">
        <f>IF(AD14="","",AD65)</f>
        <v/>
      </c>
      <c r="AE48" s="824">
        <f>IF(AE14="","",AE65)</f>
        <v/>
      </c>
      <c r="AF48" s="412">
        <f>AF65</f>
        <v/>
      </c>
      <c r="AG48" s="412">
        <f>AG65</f>
        <v/>
      </c>
      <c r="AH48" s="825">
        <f>AH65</f>
        <v/>
      </c>
      <c r="AI48" s="246">
        <f>AI65</f>
        <v/>
      </c>
    </row>
    <row r="49" ht="30" customHeight="1" s="685">
      <c r="A49" s="4">
        <f>A15</f>
        <v/>
      </c>
      <c r="B49" s="823">
        <f>IF(B15="","",B66)</f>
        <v/>
      </c>
      <c r="C49" s="823">
        <f>IF(C15="","",C66)</f>
        <v/>
      </c>
      <c r="D49" s="824">
        <f>IF(D15="","",D66)</f>
        <v/>
      </c>
      <c r="E49" s="824">
        <f>IF(E15="","",E66)</f>
        <v/>
      </c>
      <c r="F49" s="824">
        <f>IF(F15="","",F66)</f>
        <v/>
      </c>
      <c r="G49" s="824">
        <f>IF(G15="","",G66)</f>
        <v/>
      </c>
      <c r="H49" s="824">
        <f>IF(H15="","",H66)</f>
        <v/>
      </c>
      <c r="I49" s="824">
        <f>IF(I15="","",I66)</f>
        <v/>
      </c>
      <c r="J49" s="824">
        <f>IF(J15="","",J66)</f>
        <v/>
      </c>
      <c r="K49" s="824">
        <f>IF(K15="","",K66)</f>
        <v/>
      </c>
      <c r="L49" s="824">
        <f>IF(L15="","",L66)</f>
        <v/>
      </c>
      <c r="M49" s="824">
        <f>IF(M15="","",M66)</f>
        <v/>
      </c>
      <c r="N49" s="824">
        <f>IF(N15="","",N66)</f>
        <v/>
      </c>
      <c r="O49" s="824">
        <f>IF(O15="","",O66)</f>
        <v/>
      </c>
      <c r="P49" s="824">
        <f>IF(P15="","",P66)</f>
        <v/>
      </c>
      <c r="Q49" s="824">
        <f>IF(Q15="","",Q66)</f>
        <v/>
      </c>
      <c r="R49" s="824">
        <f>IF(R15="","",R66)</f>
        <v/>
      </c>
      <c r="S49" s="824">
        <f>IF(S15="","",S66)</f>
        <v/>
      </c>
      <c r="T49" s="824">
        <f>IF(T15="","",T66)</f>
        <v/>
      </c>
      <c r="U49" s="824">
        <f>IF(U15="","",U66)</f>
        <v/>
      </c>
      <c r="V49" s="824">
        <f>IF(V15="","",V66)</f>
        <v/>
      </c>
      <c r="W49" s="824">
        <f>IF(W15="","",W66)</f>
        <v/>
      </c>
      <c r="X49" s="824">
        <f>IF(X15="","",X66)</f>
        <v/>
      </c>
      <c r="Y49" s="824">
        <f>IF(Y15="","",Y66)</f>
        <v/>
      </c>
      <c r="Z49" s="824">
        <f>IF(Z15="","",Z66)</f>
        <v/>
      </c>
      <c r="AA49" s="824">
        <f>IF(AA15="","",AA66)</f>
        <v/>
      </c>
      <c r="AB49" s="824">
        <f>IF(AB15="","",AB66)</f>
        <v/>
      </c>
      <c r="AC49" s="824">
        <f>IF(AC15="","",AC66)</f>
        <v/>
      </c>
      <c r="AD49" s="824">
        <f>IF(AD15="","",AD66)</f>
        <v/>
      </c>
      <c r="AE49" s="824">
        <f>IF(AE15="","",AE66)</f>
        <v/>
      </c>
      <c r="AF49" s="412">
        <f>AF66</f>
        <v/>
      </c>
      <c r="AG49" s="412">
        <f>AG66</f>
        <v/>
      </c>
      <c r="AH49" s="825">
        <f>AH66</f>
        <v/>
      </c>
      <c r="AI49" s="246">
        <f>AI66</f>
        <v/>
      </c>
    </row>
    <row r="50" ht="30" customHeight="1" s="685">
      <c r="A50" s="4">
        <f>A16</f>
        <v/>
      </c>
      <c r="B50" s="823">
        <f>IF(B16="","",B67)</f>
        <v/>
      </c>
      <c r="C50" s="823">
        <f>IF(C16="","",C67)</f>
        <v/>
      </c>
      <c r="D50" s="824">
        <f>IF(D16="","",D67)</f>
        <v/>
      </c>
      <c r="E50" s="824">
        <f>IF(E16="","",E67)</f>
        <v/>
      </c>
      <c r="F50" s="824">
        <f>IF(F16="","",F67)</f>
        <v/>
      </c>
      <c r="G50" s="824">
        <f>IF(G16="","",G67)</f>
        <v/>
      </c>
      <c r="H50" s="824">
        <f>IF(H16="","",H67)</f>
        <v/>
      </c>
      <c r="I50" s="824">
        <f>IF(I16="","",I67)</f>
        <v/>
      </c>
      <c r="J50" s="824">
        <f>IF(J16="","",J67)</f>
        <v/>
      </c>
      <c r="K50" s="824">
        <f>IF(K16="","",K67)</f>
        <v/>
      </c>
      <c r="L50" s="824">
        <f>IF(L16="","",L67)</f>
        <v/>
      </c>
      <c r="M50" s="824">
        <f>IF(M16="","",M67)</f>
        <v/>
      </c>
      <c r="N50" s="824">
        <f>IF(N16="","",N67)</f>
        <v/>
      </c>
      <c r="O50" s="824">
        <f>IF(O16="","",O67)</f>
        <v/>
      </c>
      <c r="P50" s="824">
        <f>IF(P16="","",P67)</f>
        <v/>
      </c>
      <c r="Q50" s="824">
        <f>IF(Q16="","",Q67)</f>
        <v/>
      </c>
      <c r="R50" s="824">
        <f>IF(R16="","",R67)</f>
        <v/>
      </c>
      <c r="S50" s="824">
        <f>IF(S16="","",S67)</f>
        <v/>
      </c>
      <c r="T50" s="824">
        <f>IF(T16="","",T67)</f>
        <v/>
      </c>
      <c r="U50" s="824">
        <f>IF(U16="","",U67)</f>
        <v/>
      </c>
      <c r="V50" s="824">
        <f>IF(V16="","",V67)</f>
        <v/>
      </c>
      <c r="W50" s="824">
        <f>IF(W16="","",W67)</f>
        <v/>
      </c>
      <c r="X50" s="824">
        <f>IF(X16="","",X67)</f>
        <v/>
      </c>
      <c r="Y50" s="824">
        <f>IF(Y16="","",Y67)</f>
        <v/>
      </c>
      <c r="Z50" s="824">
        <f>IF(Z16="","",Z67)</f>
        <v/>
      </c>
      <c r="AA50" s="824">
        <f>IF(AA16="","",AA67)</f>
        <v/>
      </c>
      <c r="AB50" s="824">
        <f>IF(AB16="","",AB67)</f>
        <v/>
      </c>
      <c r="AC50" s="824">
        <f>IF(AC16="","",AC67)</f>
        <v/>
      </c>
      <c r="AD50" s="824">
        <f>IF(AD16="","",AD67)</f>
        <v/>
      </c>
      <c r="AE50" s="824">
        <f>IF(AE16="","",AE67)</f>
        <v/>
      </c>
      <c r="AF50" s="412">
        <f>AF67</f>
        <v/>
      </c>
      <c r="AG50" s="412">
        <f>AG67</f>
        <v/>
      </c>
      <c r="AH50" s="825">
        <f>AH67</f>
        <v/>
      </c>
      <c r="AI50" s="246">
        <f>AI67</f>
        <v/>
      </c>
    </row>
    <row r="51" ht="30" customHeight="1" s="685">
      <c r="A51" s="4">
        <f>A17</f>
        <v/>
      </c>
      <c r="B51" s="823">
        <f>IF(B17="","",B68)</f>
        <v/>
      </c>
      <c r="C51" s="823">
        <f>IF(C17="","",C68)</f>
        <v/>
      </c>
      <c r="D51" s="824">
        <f>IF(D17="","",D68)</f>
        <v/>
      </c>
      <c r="E51" s="824">
        <f>IF(E17="","",E68)</f>
        <v/>
      </c>
      <c r="F51" s="824">
        <f>IF(F17="","",F68)</f>
        <v/>
      </c>
      <c r="G51" s="824">
        <f>IF(G17="","",G68)</f>
        <v/>
      </c>
      <c r="H51" s="824">
        <f>IF(H17="","",H68)</f>
        <v/>
      </c>
      <c r="I51" s="824">
        <f>IF(I17="","",I68)</f>
        <v/>
      </c>
      <c r="J51" s="824">
        <f>IF(J17="","",J68)</f>
        <v/>
      </c>
      <c r="K51" s="824">
        <f>IF(K17="","",K68)</f>
        <v/>
      </c>
      <c r="L51" s="824">
        <f>IF(L17="","",L68)</f>
        <v/>
      </c>
      <c r="M51" s="824">
        <f>IF(M17="","",M68)</f>
        <v/>
      </c>
      <c r="N51" s="824">
        <f>IF(N17="","",N68)</f>
        <v/>
      </c>
      <c r="O51" s="824">
        <f>IF(O17="","",O68)</f>
        <v/>
      </c>
      <c r="P51" s="824">
        <f>IF(P17="","",P68)</f>
        <v/>
      </c>
      <c r="Q51" s="824">
        <f>IF(Q17="","",Q68)</f>
        <v/>
      </c>
      <c r="R51" s="824">
        <f>IF(R17="","",R68)</f>
        <v/>
      </c>
      <c r="S51" s="824">
        <f>IF(S17="","",S68)</f>
        <v/>
      </c>
      <c r="T51" s="824">
        <f>IF(T17="","",T68)</f>
        <v/>
      </c>
      <c r="U51" s="824">
        <f>IF(U17="","",U68)</f>
        <v/>
      </c>
      <c r="V51" s="824">
        <f>IF(V17="","",V68)</f>
        <v/>
      </c>
      <c r="W51" s="824">
        <f>IF(W17="","",W68)</f>
        <v/>
      </c>
      <c r="X51" s="824">
        <f>IF(X17="","",X68)</f>
        <v/>
      </c>
      <c r="Y51" s="824">
        <f>IF(Y17="","",Y68)</f>
        <v/>
      </c>
      <c r="Z51" s="824">
        <f>IF(Z17="","",Z68)</f>
        <v/>
      </c>
      <c r="AA51" s="824">
        <f>IF(AA17="","",AA68)</f>
        <v/>
      </c>
      <c r="AB51" s="824">
        <f>IF(AB17="","",AB68)</f>
        <v/>
      </c>
      <c r="AC51" s="824">
        <f>IF(AC17="","",AC68)</f>
        <v/>
      </c>
      <c r="AD51" s="824">
        <f>IF(AD17="","",AD68)</f>
        <v/>
      </c>
      <c r="AE51" s="824">
        <f>IF(AE17="","",AE68)</f>
        <v/>
      </c>
      <c r="AF51" s="412">
        <f>AF68</f>
        <v/>
      </c>
      <c r="AG51" s="412">
        <f>AG68</f>
        <v/>
      </c>
      <c r="AH51" s="825">
        <f>AH68</f>
        <v/>
      </c>
      <c r="AI51" s="246">
        <f>AI68</f>
        <v/>
      </c>
    </row>
    <row r="52" ht="30" customHeight="1" s="685">
      <c r="A52" s="4">
        <f>A18</f>
        <v/>
      </c>
      <c r="B52" s="823">
        <f>IF(B18="","",B69)</f>
        <v/>
      </c>
      <c r="C52" s="823">
        <f>IF(C18="","",C69)</f>
        <v/>
      </c>
      <c r="D52" s="824">
        <f>IF(D18="","",D69)</f>
        <v/>
      </c>
      <c r="E52" s="824">
        <f>IF(E18="","",E69)</f>
        <v/>
      </c>
      <c r="F52" s="824">
        <f>IF(F18="","",F69)</f>
        <v/>
      </c>
      <c r="G52" s="824">
        <f>IF(G18="","",G69)</f>
        <v/>
      </c>
      <c r="H52" s="824">
        <f>IF(H18="","",H69)</f>
        <v/>
      </c>
      <c r="I52" s="824">
        <f>IF(I18="","",I69)</f>
        <v/>
      </c>
      <c r="J52" s="824">
        <f>IF(J18="","",J69)</f>
        <v/>
      </c>
      <c r="K52" s="824">
        <f>IF(K18="","",K69)</f>
        <v/>
      </c>
      <c r="L52" s="824">
        <f>IF(L18="","",L69)</f>
        <v/>
      </c>
      <c r="M52" s="824">
        <f>IF(M18="","",M69)</f>
        <v/>
      </c>
      <c r="N52" s="824">
        <f>IF(N18="","",N69)</f>
        <v/>
      </c>
      <c r="O52" s="824">
        <f>IF(O18="","",O69)</f>
        <v/>
      </c>
      <c r="P52" s="824">
        <f>IF(P18="","",P69)</f>
        <v/>
      </c>
      <c r="Q52" s="824">
        <f>IF(Q18="","",Q69)</f>
        <v/>
      </c>
      <c r="R52" s="824">
        <f>IF(R18="","",R69)</f>
        <v/>
      </c>
      <c r="S52" s="824">
        <f>IF(S18="","",S69)</f>
        <v/>
      </c>
      <c r="T52" s="824">
        <f>IF(T18="","",T69)</f>
        <v/>
      </c>
      <c r="U52" s="824">
        <f>IF(U18="","",U69)</f>
        <v/>
      </c>
      <c r="V52" s="824">
        <f>IF(V18="","",V69)</f>
        <v/>
      </c>
      <c r="W52" s="824">
        <f>IF(W18="","",W69)</f>
        <v/>
      </c>
      <c r="X52" s="824">
        <f>IF(X18="","",X69)</f>
        <v/>
      </c>
      <c r="Y52" s="824">
        <f>IF(Y18="","",Y69)</f>
        <v/>
      </c>
      <c r="Z52" s="824">
        <f>IF(Z18="","",Z69)</f>
        <v/>
      </c>
      <c r="AA52" s="824">
        <f>IF(AA18="","",AA69)</f>
        <v/>
      </c>
      <c r="AB52" s="824">
        <f>IF(AB18="","",AB69)</f>
        <v/>
      </c>
      <c r="AC52" s="824">
        <f>IF(AC18="","",AC69)</f>
        <v/>
      </c>
      <c r="AD52" s="824">
        <f>IF(AD18="","",AD69)</f>
        <v/>
      </c>
      <c r="AE52" s="824">
        <f>IF(AE18="","",AE69)</f>
        <v/>
      </c>
      <c r="AF52" s="412">
        <f>AF69</f>
        <v/>
      </c>
      <c r="AG52" s="412">
        <f>AG69</f>
        <v/>
      </c>
      <c r="AH52" s="825">
        <f>AH69</f>
        <v/>
      </c>
      <c r="AI52" s="246">
        <f>AI69</f>
        <v/>
      </c>
    </row>
    <row r="53" ht="30" customHeight="1" s="685">
      <c r="A53" s="4">
        <f>A19</f>
        <v/>
      </c>
      <c r="B53" s="823">
        <f>IF(B19="","",B70)</f>
        <v/>
      </c>
      <c r="C53" s="823">
        <f>IF(C19="","",C70)</f>
        <v/>
      </c>
      <c r="D53" s="824">
        <f>IF(D19="","",D70)</f>
        <v/>
      </c>
      <c r="E53" s="824">
        <f>IF(E19="","",E70)</f>
        <v/>
      </c>
      <c r="F53" s="824">
        <f>IF(F19="","",F70)</f>
        <v/>
      </c>
      <c r="G53" s="824">
        <f>IF(G19="","",G70)</f>
        <v/>
      </c>
      <c r="H53" s="824">
        <f>IF(H19="","",H70)</f>
        <v/>
      </c>
      <c r="I53" s="824">
        <f>IF(I19="","",I70)</f>
        <v/>
      </c>
      <c r="J53" s="824">
        <f>IF(J19="","",J70)</f>
        <v/>
      </c>
      <c r="K53" s="824">
        <f>IF(K19="","",K70)</f>
        <v/>
      </c>
      <c r="L53" s="824">
        <f>IF(L19="","",L70)</f>
        <v/>
      </c>
      <c r="M53" s="824">
        <f>IF(M19="","",M70)</f>
        <v/>
      </c>
      <c r="N53" s="824">
        <f>IF(N19="","",N70)</f>
        <v/>
      </c>
      <c r="O53" s="824">
        <f>IF(O19="","",O70)</f>
        <v/>
      </c>
      <c r="P53" s="824">
        <f>IF(P19="","",P70)</f>
        <v/>
      </c>
      <c r="Q53" s="824">
        <f>IF(Q19="","",Q70)</f>
        <v/>
      </c>
      <c r="R53" s="824">
        <f>IF(R19="","",R70)</f>
        <v/>
      </c>
      <c r="S53" s="824">
        <f>IF(S19="","",S70)</f>
        <v/>
      </c>
      <c r="T53" s="824">
        <f>IF(T19="","",T70)</f>
        <v/>
      </c>
      <c r="U53" s="824">
        <f>IF(U19="","",U70)</f>
        <v/>
      </c>
      <c r="V53" s="824">
        <f>IF(V19="","",V70)</f>
        <v/>
      </c>
      <c r="W53" s="824">
        <f>IF(W19="","",W70)</f>
        <v/>
      </c>
      <c r="X53" s="824">
        <f>IF(X19="","",X70)</f>
        <v/>
      </c>
      <c r="Y53" s="824">
        <f>IF(Y19="","",Y70)</f>
        <v/>
      </c>
      <c r="Z53" s="824">
        <f>IF(Z19="","",Z70)</f>
        <v/>
      </c>
      <c r="AA53" s="824">
        <f>IF(AA19="","",AA70)</f>
        <v/>
      </c>
      <c r="AB53" s="824">
        <f>IF(AB19="","",AB70)</f>
        <v/>
      </c>
      <c r="AC53" s="824">
        <f>IF(AC19="","",AC70)</f>
        <v/>
      </c>
      <c r="AD53" s="824">
        <f>IF(AD19="","",AD70)</f>
        <v/>
      </c>
      <c r="AE53" s="824">
        <f>IF(AE19="","",AE70)</f>
        <v/>
      </c>
      <c r="AF53" s="391">
        <f>AF70</f>
        <v/>
      </c>
      <c r="AG53" s="391">
        <f>AG70</f>
        <v/>
      </c>
      <c r="AH53" s="827">
        <f>AH70</f>
        <v/>
      </c>
      <c r="AI53" s="386">
        <f>AI70</f>
        <v/>
      </c>
    </row>
    <row r="54">
      <c r="A54" s="392" t="inlineStr">
        <is>
          <t>Total Charge Offs</t>
        </is>
      </c>
      <c r="B54" s="828">
        <f>IF(B20="","",B71)</f>
        <v/>
      </c>
      <c r="C54" s="828">
        <f>IF(C20="","",C71)</f>
        <v/>
      </c>
      <c r="D54" s="829">
        <f>IF(D20="","",D71)</f>
        <v/>
      </c>
      <c r="E54" s="829">
        <f>IF(E20="","",E71)</f>
        <v/>
      </c>
      <c r="F54" s="829">
        <f>IF(F20="","",F71)</f>
        <v/>
      </c>
      <c r="G54" s="829">
        <f>IF(G20="","",G71)</f>
        <v/>
      </c>
      <c r="H54" s="829">
        <f>IF(H20="","",H71)</f>
        <v/>
      </c>
      <c r="I54" s="829">
        <f>IF(I20="","",I71)</f>
        <v/>
      </c>
      <c r="J54" s="829">
        <f>IF(J20="","",J71)</f>
        <v/>
      </c>
      <c r="K54" s="829">
        <f>IF(K20="","",K71)</f>
        <v/>
      </c>
      <c r="L54" s="829">
        <f>IF(L20="","",L71)</f>
        <v/>
      </c>
      <c r="M54" s="829">
        <f>IF(M20="","",M71)</f>
        <v/>
      </c>
      <c r="N54" s="829">
        <f>IF(N20="","",N71)</f>
        <v/>
      </c>
      <c r="O54" s="829">
        <f>IF(O20="","",O71)</f>
        <v/>
      </c>
      <c r="P54" s="829">
        <f>IF(P20="","",P71)</f>
        <v/>
      </c>
      <c r="Q54" s="829">
        <f>IF(Q20="","",Q71)</f>
        <v/>
      </c>
      <c r="R54" s="829">
        <f>IF(R20="","",R71)</f>
        <v/>
      </c>
      <c r="S54" s="829">
        <f>IF(S20="","",S71)</f>
        <v/>
      </c>
      <c r="T54" s="829">
        <f>IF(T20="","",T71)</f>
        <v/>
      </c>
      <c r="U54" s="829">
        <f>IF(U20="","",U71)</f>
        <v/>
      </c>
      <c r="V54" s="829">
        <f>IF(V20="","",V71)</f>
        <v/>
      </c>
      <c r="W54" s="829">
        <f>IF(W20="","",W71)</f>
        <v/>
      </c>
      <c r="X54" s="829">
        <f>IF(X20="","",X71)</f>
        <v/>
      </c>
      <c r="Y54" s="829">
        <f>IF(Y20="","",Y71)</f>
        <v/>
      </c>
      <c r="Z54" s="829">
        <f>IF(Z20="","",Z71)</f>
        <v/>
      </c>
      <c r="AA54" s="829">
        <f>IF(AA20="","",AA71)</f>
        <v/>
      </c>
      <c r="AB54" s="829">
        <f>IF(AB20="","",AB71)</f>
        <v/>
      </c>
      <c r="AC54" s="829">
        <f>IF(AC20="","",AC71)</f>
        <v/>
      </c>
      <c r="AD54" s="829">
        <f>IF(AD20="","",AD71)</f>
        <v/>
      </c>
      <c r="AE54" s="829">
        <f>IF(AE20="","",AE71)</f>
        <v/>
      </c>
      <c r="AF54" s="411" t="n"/>
      <c r="AG54" s="412" t="n"/>
      <c r="AH54" s="822" t="n"/>
      <c r="AI54" s="192" t="n"/>
    </row>
    <row r="56" hidden="1" s="685"/>
    <row r="57" hidden="1" ht="30" customFormat="1" customHeight="1" s="194">
      <c r="A57" s="393" t="inlineStr">
        <is>
          <t>Net Charge Offs</t>
        </is>
      </c>
      <c r="B57" s="193">
        <f>B6</f>
        <v/>
      </c>
      <c r="C57" s="193">
        <f>C6</f>
        <v/>
      </c>
      <c r="D57" s="193">
        <f>D6</f>
        <v/>
      </c>
      <c r="E57" s="193">
        <f>E6</f>
        <v/>
      </c>
      <c r="F57" s="193">
        <f>F6</f>
        <v/>
      </c>
      <c r="G57" s="193">
        <f>G6</f>
        <v/>
      </c>
      <c r="H57" s="193">
        <f>H6</f>
        <v/>
      </c>
      <c r="I57" s="193">
        <f>I6</f>
        <v/>
      </c>
      <c r="J57" s="193">
        <f>J6</f>
        <v/>
      </c>
      <c r="K57" s="193">
        <f>K6</f>
        <v/>
      </c>
      <c r="L57" s="193">
        <f>L6</f>
        <v/>
      </c>
      <c r="M57" s="193">
        <f>M6</f>
        <v/>
      </c>
      <c r="N57" s="193">
        <f>N6</f>
        <v/>
      </c>
      <c r="O57" s="193">
        <f>O6</f>
        <v/>
      </c>
      <c r="P57" s="193">
        <f>P6</f>
        <v/>
      </c>
      <c r="Q57" s="193">
        <f>Q6</f>
        <v/>
      </c>
      <c r="R57" s="193">
        <f>R6</f>
        <v/>
      </c>
      <c r="S57" s="193">
        <f>S6</f>
        <v/>
      </c>
      <c r="T57" s="193">
        <f>T6</f>
        <v/>
      </c>
      <c r="U57" s="193">
        <f>U6</f>
        <v/>
      </c>
      <c r="V57" s="193">
        <f>V6</f>
        <v/>
      </c>
      <c r="W57" s="193">
        <f>W6</f>
        <v/>
      </c>
      <c r="X57" s="193">
        <f>X6</f>
        <v/>
      </c>
      <c r="Y57" s="193">
        <f>Y6</f>
        <v/>
      </c>
      <c r="Z57" s="193">
        <f>Z6</f>
        <v/>
      </c>
      <c r="AA57" s="193">
        <f>AA6</f>
        <v/>
      </c>
      <c r="AB57" s="193">
        <f>AB6</f>
        <v/>
      </c>
      <c r="AC57" s="193">
        <f>AC6</f>
        <v/>
      </c>
      <c r="AD57" s="193">
        <f>AD6</f>
        <v/>
      </c>
      <c r="AE57" s="193">
        <f>AE6</f>
        <v/>
      </c>
      <c r="AF57" s="414" t="inlineStr">
        <is>
          <t>ACL Lifetime Months</t>
        </is>
      </c>
      <c r="AG57" s="414" t="inlineStr">
        <is>
          <t>ACL Lifetime Quarters</t>
        </is>
      </c>
      <c r="AH57" s="834" t="inlineStr">
        <is>
          <t>Total ACL Lifetime Net Charge off</t>
        </is>
      </c>
      <c r="AI57" s="387" t="inlineStr">
        <is>
          <t>ACL Loss Rate</t>
        </is>
      </c>
    </row>
    <row r="58" hidden="1" customFormat="1" s="194">
      <c r="A58" s="394">
        <f>A7</f>
        <v/>
      </c>
      <c r="B58" s="823" t="n"/>
      <c r="C58" s="823">
        <f>IF(C$2=3,HLOOKUP(C$57,'Historical Data'!196:209,2,FALSE),(HLOOKUP(C$57,'Historical Data'!196:209,2,FALSE)-B58))</f>
        <v/>
      </c>
      <c r="D58" s="823">
        <f>HLOOKUP(D$57,'Historical Data'!213:226,2,FALSE)</f>
        <v/>
      </c>
      <c r="E58" s="823">
        <f>HLOOKUP(E$57,'Historical Data'!213:226,2,FALSE)</f>
        <v/>
      </c>
      <c r="F58" s="823">
        <f>HLOOKUP(F$57,'Historical Data'!213:226,2,FALSE)</f>
        <v/>
      </c>
      <c r="G58" s="823">
        <f>HLOOKUP(G$57,'Historical Data'!213:226,2,FALSE)</f>
        <v/>
      </c>
      <c r="H58" s="823">
        <f>HLOOKUP(H$57,'Historical Data'!213:226,2,FALSE)</f>
        <v/>
      </c>
      <c r="I58" s="823">
        <f>HLOOKUP(I$57,'Historical Data'!213:226,2,FALSE)</f>
        <v/>
      </c>
      <c r="J58" s="823">
        <f>HLOOKUP(J$57,'Historical Data'!213:226,2,FALSE)</f>
        <v/>
      </c>
      <c r="K58" s="823">
        <f>HLOOKUP(K$57,'Historical Data'!213:226,2,FALSE)</f>
        <v/>
      </c>
      <c r="L58" s="823">
        <f>HLOOKUP(L$57,'Historical Data'!213:226,2,FALSE)</f>
        <v/>
      </c>
      <c r="M58" s="823">
        <f>HLOOKUP(M$57,'Historical Data'!213:226,2,FALSE)</f>
        <v/>
      </c>
      <c r="N58" s="823">
        <f>HLOOKUP(N$57,'Historical Data'!213:226,2,FALSE)</f>
        <v/>
      </c>
      <c r="O58" s="823">
        <f>HLOOKUP(O$57,'Historical Data'!213:226,2,FALSE)</f>
        <v/>
      </c>
      <c r="P58" s="823">
        <f>HLOOKUP(P$57,'Historical Data'!213:226,2,FALSE)</f>
        <v/>
      </c>
      <c r="Q58" s="823">
        <f>HLOOKUP(Q$57,'Historical Data'!213:226,2,FALSE)</f>
        <v/>
      </c>
      <c r="R58" s="823">
        <f>HLOOKUP(R$57,'Historical Data'!213:226,2,FALSE)</f>
        <v/>
      </c>
      <c r="S58" s="823">
        <f>HLOOKUP(S$57,'Historical Data'!213:226,2,FALSE)</f>
        <v/>
      </c>
      <c r="T58" s="823">
        <f>HLOOKUP(T$57,'Historical Data'!213:226,2,FALSE)</f>
        <v/>
      </c>
      <c r="U58" s="823">
        <f>HLOOKUP(U$57,'Historical Data'!213:226,2,FALSE)</f>
        <v/>
      </c>
      <c r="V58" s="823">
        <f>HLOOKUP(V$57,'Historical Data'!213:226,2,FALSE)</f>
        <v/>
      </c>
      <c r="W58" s="823">
        <f>HLOOKUP(W$57,'Historical Data'!213:226,2,FALSE)</f>
        <v/>
      </c>
      <c r="X58" s="823">
        <f>HLOOKUP(X$57,'Historical Data'!213:226,2,FALSE)</f>
        <v/>
      </c>
      <c r="Y58" s="823">
        <f>HLOOKUP(Y$57,'Historical Data'!213:226,2,FALSE)</f>
        <v/>
      </c>
      <c r="Z58" s="823">
        <f>HLOOKUP(Z$57,'Historical Data'!213:226,2,FALSE)</f>
        <v/>
      </c>
      <c r="AA58" s="823">
        <f>HLOOKUP(AA$57,'Historical Data'!213:226,2,FALSE)</f>
        <v/>
      </c>
      <c r="AB58" s="823">
        <f>HLOOKUP(AB$57,'Historical Data'!213:226,2,FALSE)</f>
        <v/>
      </c>
      <c r="AC58" s="823">
        <f>HLOOKUP(AC$57,'Historical Data'!213:226,2,FALSE)</f>
        <v/>
      </c>
      <c r="AD58" s="823">
        <f>HLOOKUP(AD$57,'Historical Data'!213:226,2,FALSE)</f>
        <v/>
      </c>
      <c r="AE58" s="823">
        <f>HLOOKUP(AE$57,'Historical Data'!213:226,2,FALSE)</f>
        <v/>
      </c>
      <c r="AF58" s="415">
        <f>AF7</f>
        <v/>
      </c>
      <c r="AG58" s="415">
        <f>ROUNDUP(AF58/3,0)</f>
        <v/>
      </c>
      <c r="AH58" s="835">
        <f>SUMIF($B$5:$AE$5,AG58,B75:AE75)</f>
        <v/>
      </c>
      <c r="AI58" s="388">
        <f>IFERROR(IF(AH58/AH7&lt;=0,0,AH58/AH7),0)</f>
        <v/>
      </c>
    </row>
    <row r="59" hidden="1" customFormat="1" s="194">
      <c r="A59" s="394">
        <f>A8</f>
        <v/>
      </c>
      <c r="B59" s="823" t="n"/>
      <c r="C59" s="823">
        <f>IF(C$2=3,HLOOKUP(C$57,'Historical Data'!196:209,3,FALSE),(HLOOKUP(C$57,'Historical Data'!196:209,3,FALSE)-B59))</f>
        <v/>
      </c>
      <c r="D59" s="823">
        <f>HLOOKUP(D$57,'Historical Data'!213:226,3,FALSE)</f>
        <v/>
      </c>
      <c r="E59" s="823">
        <f>HLOOKUP(E$57,'Historical Data'!213:226,3,FALSE)</f>
        <v/>
      </c>
      <c r="F59" s="823">
        <f>HLOOKUP(F$57,'Historical Data'!213:226,3,FALSE)</f>
        <v/>
      </c>
      <c r="G59" s="823">
        <f>HLOOKUP(G$57,'Historical Data'!213:226,3,FALSE)</f>
        <v/>
      </c>
      <c r="H59" s="823">
        <f>HLOOKUP(H$57,'Historical Data'!213:226,3,FALSE)</f>
        <v/>
      </c>
      <c r="I59" s="823">
        <f>HLOOKUP(I$57,'Historical Data'!213:226,3,FALSE)</f>
        <v/>
      </c>
      <c r="J59" s="823">
        <f>HLOOKUP(J$57,'Historical Data'!213:226,3,FALSE)</f>
        <v/>
      </c>
      <c r="K59" s="823">
        <f>HLOOKUP(K$57,'Historical Data'!213:226,3,FALSE)</f>
        <v/>
      </c>
      <c r="L59" s="823">
        <f>HLOOKUP(L$57,'Historical Data'!213:226,3,FALSE)</f>
        <v/>
      </c>
      <c r="M59" s="823">
        <f>HLOOKUP(M$57,'Historical Data'!213:226,3,FALSE)</f>
        <v/>
      </c>
      <c r="N59" s="823">
        <f>HLOOKUP(N$57,'Historical Data'!213:226,3,FALSE)</f>
        <v/>
      </c>
      <c r="O59" s="823">
        <f>HLOOKUP(O$57,'Historical Data'!213:226,3,FALSE)</f>
        <v/>
      </c>
      <c r="P59" s="823">
        <f>HLOOKUP(P$57,'Historical Data'!213:226,3,FALSE)</f>
        <v/>
      </c>
      <c r="Q59" s="823">
        <f>HLOOKUP(Q$57,'Historical Data'!213:226,3,FALSE)</f>
        <v/>
      </c>
      <c r="R59" s="823">
        <f>HLOOKUP(R$57,'Historical Data'!213:226,3,FALSE)</f>
        <v/>
      </c>
      <c r="S59" s="823">
        <f>HLOOKUP(S$57,'Historical Data'!213:226,3,FALSE)</f>
        <v/>
      </c>
      <c r="T59" s="823">
        <f>HLOOKUP(T$57,'Historical Data'!213:226,3,FALSE)</f>
        <v/>
      </c>
      <c r="U59" s="823">
        <f>HLOOKUP(U$57,'Historical Data'!213:226,3,FALSE)</f>
        <v/>
      </c>
      <c r="V59" s="823">
        <f>HLOOKUP(V$57,'Historical Data'!213:226,3,FALSE)</f>
        <v/>
      </c>
      <c r="W59" s="823">
        <f>HLOOKUP(W$57,'Historical Data'!213:226,3,FALSE)</f>
        <v/>
      </c>
      <c r="X59" s="823">
        <f>HLOOKUP(X$57,'Historical Data'!213:226,3,FALSE)</f>
        <v/>
      </c>
      <c r="Y59" s="823">
        <f>HLOOKUP(Y$57,'Historical Data'!213:226,3,FALSE)</f>
        <v/>
      </c>
      <c r="Z59" s="823">
        <f>HLOOKUP(Z$57,'Historical Data'!213:226,3,FALSE)</f>
        <v/>
      </c>
      <c r="AA59" s="823">
        <f>HLOOKUP(AA$57,'Historical Data'!213:226,3,FALSE)</f>
        <v/>
      </c>
      <c r="AB59" s="823">
        <f>HLOOKUP(AB$57,'Historical Data'!213:226,3,FALSE)</f>
        <v/>
      </c>
      <c r="AC59" s="823">
        <f>HLOOKUP(AC$57,'Historical Data'!213:226,3,FALSE)</f>
        <v/>
      </c>
      <c r="AD59" s="823">
        <f>HLOOKUP(AD$57,'Historical Data'!213:226,3,FALSE)</f>
        <v/>
      </c>
      <c r="AE59" s="823">
        <f>HLOOKUP(AE$57,'Historical Data'!213:226,3,FALSE)</f>
        <v/>
      </c>
      <c r="AF59" s="415">
        <f>AF8</f>
        <v/>
      </c>
      <c r="AG59" s="415">
        <f>ROUNDUP(AF59/3,0)</f>
        <v/>
      </c>
      <c r="AH59" s="835">
        <f>SUMIF($B$5:$AE$5,AG59,B76:AE76)</f>
        <v/>
      </c>
      <c r="AI59" s="388">
        <f>IFERROR(IF(AH59/AH8&lt;=0,0,AH59/AH8),0)</f>
        <v/>
      </c>
    </row>
    <row r="60" hidden="1" customFormat="1" s="194">
      <c r="A60" s="394">
        <f>A9</f>
        <v/>
      </c>
      <c r="B60" s="823" t="n"/>
      <c r="C60" s="823">
        <f>IF(C$2=3,HLOOKUP(C$57,'Historical Data'!196:209,4,FALSE),(HLOOKUP(C$57,'Historical Data'!196:209,4,FALSE)-B60))</f>
        <v/>
      </c>
      <c r="D60" s="823">
        <f>HLOOKUP(D$57,'Historical Data'!213:226,4,FALSE)</f>
        <v/>
      </c>
      <c r="E60" s="823">
        <f>HLOOKUP(E$57,'Historical Data'!213:226,4,FALSE)</f>
        <v/>
      </c>
      <c r="F60" s="823">
        <f>HLOOKUP(F$57,'Historical Data'!213:226,4,FALSE)</f>
        <v/>
      </c>
      <c r="G60" s="823">
        <f>HLOOKUP(G$57,'Historical Data'!213:226,4,FALSE)</f>
        <v/>
      </c>
      <c r="H60" s="823">
        <f>HLOOKUP(H$57,'Historical Data'!213:226,4,FALSE)</f>
        <v/>
      </c>
      <c r="I60" s="823">
        <f>HLOOKUP(I$57,'Historical Data'!213:226,4,FALSE)</f>
        <v/>
      </c>
      <c r="J60" s="823">
        <f>HLOOKUP(J$57,'Historical Data'!213:226,4,FALSE)</f>
        <v/>
      </c>
      <c r="K60" s="823">
        <f>HLOOKUP(K$57,'Historical Data'!213:226,4,FALSE)</f>
        <v/>
      </c>
      <c r="L60" s="823">
        <f>HLOOKUP(L$57,'Historical Data'!213:226,4,FALSE)</f>
        <v/>
      </c>
      <c r="M60" s="823">
        <f>HLOOKUP(M$57,'Historical Data'!213:226,4,FALSE)</f>
        <v/>
      </c>
      <c r="N60" s="823">
        <f>HLOOKUP(N$57,'Historical Data'!213:226,4,FALSE)</f>
        <v/>
      </c>
      <c r="O60" s="823">
        <f>HLOOKUP(O$57,'Historical Data'!213:226,4,FALSE)</f>
        <v/>
      </c>
      <c r="P60" s="823">
        <f>HLOOKUP(P$57,'Historical Data'!213:226,4,FALSE)</f>
        <v/>
      </c>
      <c r="Q60" s="823">
        <f>HLOOKUP(Q$57,'Historical Data'!213:226,4,FALSE)</f>
        <v/>
      </c>
      <c r="R60" s="823">
        <f>HLOOKUP(R$57,'Historical Data'!213:226,4,FALSE)</f>
        <v/>
      </c>
      <c r="S60" s="823">
        <f>HLOOKUP(S$57,'Historical Data'!213:226,4,FALSE)</f>
        <v/>
      </c>
      <c r="T60" s="823">
        <f>HLOOKUP(T$57,'Historical Data'!213:226,4,FALSE)</f>
        <v/>
      </c>
      <c r="U60" s="823">
        <f>HLOOKUP(U$57,'Historical Data'!213:226,4,FALSE)</f>
        <v/>
      </c>
      <c r="V60" s="823">
        <f>HLOOKUP(V$57,'Historical Data'!213:226,4,FALSE)</f>
        <v/>
      </c>
      <c r="W60" s="823">
        <f>HLOOKUP(W$57,'Historical Data'!213:226,4,FALSE)</f>
        <v/>
      </c>
      <c r="X60" s="823">
        <f>HLOOKUP(X$57,'Historical Data'!213:226,4,FALSE)</f>
        <v/>
      </c>
      <c r="Y60" s="823">
        <f>HLOOKUP(Y$57,'Historical Data'!213:226,4,FALSE)</f>
        <v/>
      </c>
      <c r="Z60" s="823">
        <f>HLOOKUP(Z$57,'Historical Data'!213:226,4,FALSE)</f>
        <v/>
      </c>
      <c r="AA60" s="823">
        <f>HLOOKUP(AA$57,'Historical Data'!213:226,4,FALSE)</f>
        <v/>
      </c>
      <c r="AB60" s="823">
        <f>HLOOKUP(AB$57,'Historical Data'!213:226,4,FALSE)</f>
        <v/>
      </c>
      <c r="AC60" s="823">
        <f>HLOOKUP(AC$57,'Historical Data'!213:226,4,FALSE)</f>
        <v/>
      </c>
      <c r="AD60" s="823">
        <f>HLOOKUP(AD$57,'Historical Data'!213:226,4,FALSE)</f>
        <v/>
      </c>
      <c r="AE60" s="823">
        <f>HLOOKUP(AE$57,'Historical Data'!213:226,4,FALSE)</f>
        <v/>
      </c>
      <c r="AF60" s="415">
        <f>AF9</f>
        <v/>
      </c>
      <c r="AG60" s="415">
        <f>ROUNDUP(AF60/3,0)</f>
        <v/>
      </c>
      <c r="AH60" s="835">
        <f>SUMIF($B$5:$AE$5,AG60,B77:AE77)</f>
        <v/>
      </c>
      <c r="AI60" s="388">
        <f>IFERROR(IF(AH60/AH9&lt;=0,0,AH60/AH9),0)</f>
        <v/>
      </c>
    </row>
    <row r="61" hidden="1" customFormat="1" s="194">
      <c r="A61" s="394">
        <f>A10</f>
        <v/>
      </c>
      <c r="B61" s="823" t="n"/>
      <c r="C61" s="823">
        <f>IF(C$2=3,HLOOKUP(C$57,'Historical Data'!196:209,5,FALSE),(HLOOKUP(C$57,'Historical Data'!196:209,5,FALSE)-B61))</f>
        <v/>
      </c>
      <c r="D61" s="823">
        <f>HLOOKUP(D$57,'Historical Data'!213:226,5,FALSE)</f>
        <v/>
      </c>
      <c r="E61" s="823">
        <f>HLOOKUP(E$57,'Historical Data'!213:226,5,FALSE)</f>
        <v/>
      </c>
      <c r="F61" s="823">
        <f>HLOOKUP(F$57,'Historical Data'!213:226,5,FALSE)</f>
        <v/>
      </c>
      <c r="G61" s="823">
        <f>HLOOKUP(G$57,'Historical Data'!213:226,5,FALSE)</f>
        <v/>
      </c>
      <c r="H61" s="823">
        <f>HLOOKUP(H$57,'Historical Data'!213:226,5,FALSE)</f>
        <v/>
      </c>
      <c r="I61" s="823">
        <f>HLOOKUP(I$57,'Historical Data'!213:226,5,FALSE)</f>
        <v/>
      </c>
      <c r="J61" s="823">
        <f>HLOOKUP(J$57,'Historical Data'!213:226,5,FALSE)</f>
        <v/>
      </c>
      <c r="K61" s="823">
        <f>HLOOKUP(K$57,'Historical Data'!213:226,5,FALSE)</f>
        <v/>
      </c>
      <c r="L61" s="823">
        <f>HLOOKUP(L$57,'Historical Data'!213:226,5,FALSE)</f>
        <v/>
      </c>
      <c r="M61" s="823">
        <f>HLOOKUP(M$57,'Historical Data'!213:226,5,FALSE)</f>
        <v/>
      </c>
      <c r="N61" s="823">
        <f>HLOOKUP(N$57,'Historical Data'!213:226,5,FALSE)</f>
        <v/>
      </c>
      <c r="O61" s="823">
        <f>HLOOKUP(O$57,'Historical Data'!213:226,5,FALSE)</f>
        <v/>
      </c>
      <c r="P61" s="823">
        <f>HLOOKUP(P$57,'Historical Data'!213:226,5,FALSE)</f>
        <v/>
      </c>
      <c r="Q61" s="823">
        <f>HLOOKUP(Q$57,'Historical Data'!213:226,5,FALSE)</f>
        <v/>
      </c>
      <c r="R61" s="823">
        <f>HLOOKUP(R$57,'Historical Data'!213:226,5,FALSE)</f>
        <v/>
      </c>
      <c r="S61" s="823">
        <f>HLOOKUP(S$57,'Historical Data'!213:226,5,FALSE)</f>
        <v/>
      </c>
      <c r="T61" s="823">
        <f>HLOOKUP(T$57,'Historical Data'!213:226,5,FALSE)</f>
        <v/>
      </c>
      <c r="U61" s="823">
        <f>HLOOKUP(U$57,'Historical Data'!213:226,5,FALSE)</f>
        <v/>
      </c>
      <c r="V61" s="823">
        <f>HLOOKUP(V$57,'Historical Data'!213:226,5,FALSE)</f>
        <v/>
      </c>
      <c r="W61" s="823">
        <f>HLOOKUP(W$57,'Historical Data'!213:226,5,FALSE)</f>
        <v/>
      </c>
      <c r="X61" s="823">
        <f>HLOOKUP(X$57,'Historical Data'!213:226,5,FALSE)</f>
        <v/>
      </c>
      <c r="Y61" s="823">
        <f>HLOOKUP(Y$57,'Historical Data'!213:226,5,FALSE)</f>
        <v/>
      </c>
      <c r="Z61" s="823">
        <f>HLOOKUP(Z$57,'Historical Data'!213:226,5,FALSE)</f>
        <v/>
      </c>
      <c r="AA61" s="823">
        <f>HLOOKUP(AA$57,'Historical Data'!213:226,5,FALSE)</f>
        <v/>
      </c>
      <c r="AB61" s="823">
        <f>HLOOKUP(AB$57,'Historical Data'!213:226,5,FALSE)</f>
        <v/>
      </c>
      <c r="AC61" s="823">
        <f>HLOOKUP(AC$57,'Historical Data'!213:226,5,FALSE)</f>
        <v/>
      </c>
      <c r="AD61" s="823">
        <f>HLOOKUP(AD$57,'Historical Data'!213:226,5,FALSE)</f>
        <v/>
      </c>
      <c r="AE61" s="823">
        <f>HLOOKUP(AE$57,'Historical Data'!213:226,5,FALSE)</f>
        <v/>
      </c>
      <c r="AF61" s="415">
        <f>AF10</f>
        <v/>
      </c>
      <c r="AG61" s="415">
        <f>ROUNDUP(AF61/3,0)</f>
        <v/>
      </c>
      <c r="AH61" s="835">
        <f>SUMIF($B$5:$AE$5,AG61,B78:AE78)</f>
        <v/>
      </c>
      <c r="AI61" s="388">
        <f>IFERROR(IF(AH61/AH10&lt;=0,0,AH61/AH10),0)</f>
        <v/>
      </c>
    </row>
    <row r="62" hidden="1" customFormat="1" s="194">
      <c r="A62" s="394">
        <f>A11</f>
        <v/>
      </c>
      <c r="B62" s="823" t="n"/>
      <c r="C62" s="823">
        <f>IF(C$2=3,HLOOKUP(C$57,'Historical Data'!196:209,6,FALSE),(HLOOKUP(C$57,'Historical Data'!196:209,6,FALSE)-B62))</f>
        <v/>
      </c>
      <c r="D62" s="823">
        <f>HLOOKUP(D$57,'Historical Data'!213:226,6,FALSE)</f>
        <v/>
      </c>
      <c r="E62" s="823">
        <f>HLOOKUP(E$57,'Historical Data'!213:226,6,FALSE)</f>
        <v/>
      </c>
      <c r="F62" s="823">
        <f>HLOOKUP(F$57,'Historical Data'!213:226,6,FALSE)</f>
        <v/>
      </c>
      <c r="G62" s="823">
        <f>HLOOKUP(G$57,'Historical Data'!213:226,6,FALSE)</f>
        <v/>
      </c>
      <c r="H62" s="823">
        <f>HLOOKUP(H$57,'Historical Data'!213:226,6,FALSE)</f>
        <v/>
      </c>
      <c r="I62" s="823">
        <f>HLOOKUP(I$57,'Historical Data'!213:226,6,FALSE)</f>
        <v/>
      </c>
      <c r="J62" s="823">
        <f>HLOOKUP(J$57,'Historical Data'!213:226,6,FALSE)</f>
        <v/>
      </c>
      <c r="K62" s="823">
        <f>HLOOKUP(K$57,'Historical Data'!213:226,6,FALSE)</f>
        <v/>
      </c>
      <c r="L62" s="823">
        <f>HLOOKUP(L$57,'Historical Data'!213:226,6,FALSE)</f>
        <v/>
      </c>
      <c r="M62" s="823">
        <f>HLOOKUP(M$57,'Historical Data'!213:226,6,FALSE)</f>
        <v/>
      </c>
      <c r="N62" s="823">
        <f>HLOOKUP(N$57,'Historical Data'!213:226,6,FALSE)</f>
        <v/>
      </c>
      <c r="O62" s="823">
        <f>HLOOKUP(O$57,'Historical Data'!213:226,6,FALSE)</f>
        <v/>
      </c>
      <c r="P62" s="823">
        <f>HLOOKUP(P$57,'Historical Data'!213:226,6,FALSE)</f>
        <v/>
      </c>
      <c r="Q62" s="823">
        <f>HLOOKUP(Q$57,'Historical Data'!213:226,6,FALSE)</f>
        <v/>
      </c>
      <c r="R62" s="823">
        <f>HLOOKUP(R$57,'Historical Data'!213:226,6,FALSE)</f>
        <v/>
      </c>
      <c r="S62" s="823">
        <f>HLOOKUP(S$57,'Historical Data'!213:226,6,FALSE)</f>
        <v/>
      </c>
      <c r="T62" s="823">
        <f>HLOOKUP(T$57,'Historical Data'!213:226,6,FALSE)</f>
        <v/>
      </c>
      <c r="U62" s="823">
        <f>HLOOKUP(U$57,'Historical Data'!213:226,6,FALSE)</f>
        <v/>
      </c>
      <c r="V62" s="823">
        <f>HLOOKUP(V$57,'Historical Data'!213:226,6,FALSE)</f>
        <v/>
      </c>
      <c r="W62" s="823">
        <f>HLOOKUP(W$57,'Historical Data'!213:226,6,FALSE)</f>
        <v/>
      </c>
      <c r="X62" s="823">
        <f>HLOOKUP(X$57,'Historical Data'!213:226,6,FALSE)</f>
        <v/>
      </c>
      <c r="Y62" s="823">
        <f>HLOOKUP(Y$57,'Historical Data'!213:226,6,FALSE)</f>
        <v/>
      </c>
      <c r="Z62" s="823">
        <f>HLOOKUP(Z$57,'Historical Data'!213:226,6,FALSE)</f>
        <v/>
      </c>
      <c r="AA62" s="823">
        <f>HLOOKUP(AA$57,'Historical Data'!213:226,6,FALSE)</f>
        <v/>
      </c>
      <c r="AB62" s="823">
        <f>HLOOKUP(AB$57,'Historical Data'!213:226,6,FALSE)</f>
        <v/>
      </c>
      <c r="AC62" s="823">
        <f>HLOOKUP(AC$57,'Historical Data'!213:226,6,FALSE)</f>
        <v/>
      </c>
      <c r="AD62" s="823">
        <f>HLOOKUP(AD$57,'Historical Data'!213:226,6,FALSE)</f>
        <v/>
      </c>
      <c r="AE62" s="823">
        <f>HLOOKUP(AE$57,'Historical Data'!213:226,6,FALSE)</f>
        <v/>
      </c>
      <c r="AF62" s="415">
        <f>AF11</f>
        <v/>
      </c>
      <c r="AG62" s="415">
        <f>ROUNDUP(AF62/3,0)</f>
        <v/>
      </c>
      <c r="AH62" s="835">
        <f>SUMIF($B$5:$AE$5,AG62,B79:AE79)</f>
        <v/>
      </c>
      <c r="AI62" s="388">
        <f>IFERROR(IF(AH62/AH11&lt;=0,0,AH62/AH11),0)</f>
        <v/>
      </c>
    </row>
    <row r="63" hidden="1" customFormat="1" s="194">
      <c r="A63" s="394">
        <f>A12</f>
        <v/>
      </c>
      <c r="B63" s="823" t="n"/>
      <c r="C63" s="823">
        <f>IF(C$2=3,HLOOKUP(C$57,'Historical Data'!196:209,7,FALSE),(HLOOKUP(C$57,'Historical Data'!196:209,7,FALSE)-B63))</f>
        <v/>
      </c>
      <c r="D63" s="823">
        <f>HLOOKUP(D$57,'Historical Data'!213:226,7,FALSE)</f>
        <v/>
      </c>
      <c r="E63" s="823">
        <f>HLOOKUP(E$57,'Historical Data'!213:226,7,FALSE)</f>
        <v/>
      </c>
      <c r="F63" s="823">
        <f>HLOOKUP(F$57,'Historical Data'!213:226,7,FALSE)</f>
        <v/>
      </c>
      <c r="G63" s="823">
        <f>HLOOKUP(G$57,'Historical Data'!213:226,7,FALSE)</f>
        <v/>
      </c>
      <c r="H63" s="823">
        <f>HLOOKUP(H$57,'Historical Data'!213:226,7,FALSE)</f>
        <v/>
      </c>
      <c r="I63" s="823">
        <f>HLOOKUP(I$57,'Historical Data'!213:226,7,FALSE)</f>
        <v/>
      </c>
      <c r="J63" s="823">
        <f>HLOOKUP(J$57,'Historical Data'!213:226,7,FALSE)</f>
        <v/>
      </c>
      <c r="K63" s="823">
        <f>HLOOKUP(K$57,'Historical Data'!213:226,7,FALSE)</f>
        <v/>
      </c>
      <c r="L63" s="823">
        <f>HLOOKUP(L$57,'Historical Data'!213:226,7,FALSE)</f>
        <v/>
      </c>
      <c r="M63" s="823">
        <f>HLOOKUP(M$57,'Historical Data'!213:226,7,FALSE)</f>
        <v/>
      </c>
      <c r="N63" s="823">
        <f>HLOOKUP(N$57,'Historical Data'!213:226,7,FALSE)</f>
        <v/>
      </c>
      <c r="O63" s="823">
        <f>HLOOKUP(O$57,'Historical Data'!213:226,7,FALSE)</f>
        <v/>
      </c>
      <c r="P63" s="823">
        <f>HLOOKUP(P$57,'Historical Data'!213:226,7,FALSE)</f>
        <v/>
      </c>
      <c r="Q63" s="823">
        <f>HLOOKUP(Q$57,'Historical Data'!213:226,7,FALSE)</f>
        <v/>
      </c>
      <c r="R63" s="823">
        <f>HLOOKUP(R$57,'Historical Data'!213:226,7,FALSE)</f>
        <v/>
      </c>
      <c r="S63" s="823">
        <f>HLOOKUP(S$57,'Historical Data'!213:226,7,FALSE)</f>
        <v/>
      </c>
      <c r="T63" s="823">
        <f>HLOOKUP(T$57,'Historical Data'!213:226,7,FALSE)</f>
        <v/>
      </c>
      <c r="U63" s="823">
        <f>HLOOKUP(U$57,'Historical Data'!213:226,7,FALSE)</f>
        <v/>
      </c>
      <c r="V63" s="823">
        <f>HLOOKUP(V$57,'Historical Data'!213:226,7,FALSE)</f>
        <v/>
      </c>
      <c r="W63" s="823">
        <f>HLOOKUP(W$57,'Historical Data'!213:226,7,FALSE)</f>
        <v/>
      </c>
      <c r="X63" s="823">
        <f>HLOOKUP(X$57,'Historical Data'!213:226,7,FALSE)</f>
        <v/>
      </c>
      <c r="Y63" s="823">
        <f>HLOOKUP(Y$57,'Historical Data'!213:226,7,FALSE)</f>
        <v/>
      </c>
      <c r="Z63" s="823">
        <f>HLOOKUP(Z$57,'Historical Data'!213:226,7,FALSE)</f>
        <v/>
      </c>
      <c r="AA63" s="823">
        <f>HLOOKUP(AA$57,'Historical Data'!213:226,7,FALSE)</f>
        <v/>
      </c>
      <c r="AB63" s="823">
        <f>HLOOKUP(AB$57,'Historical Data'!213:226,7,FALSE)</f>
        <v/>
      </c>
      <c r="AC63" s="823">
        <f>HLOOKUP(AC$57,'Historical Data'!213:226,7,FALSE)</f>
        <v/>
      </c>
      <c r="AD63" s="823">
        <f>HLOOKUP(AD$57,'Historical Data'!213:226,7,FALSE)</f>
        <v/>
      </c>
      <c r="AE63" s="823">
        <f>HLOOKUP(AE$57,'Historical Data'!213:226,7,FALSE)</f>
        <v/>
      </c>
      <c r="AF63" s="415">
        <f>AF12</f>
        <v/>
      </c>
      <c r="AG63" s="415">
        <f>ROUNDUP(AF63/3,0)</f>
        <v/>
      </c>
      <c r="AH63" s="835">
        <f>SUMIF($B$5:$AE$5,AG63,B80:AE80)</f>
        <v/>
      </c>
      <c r="AI63" s="388">
        <f>IFERROR(IF(AH63/AH12&lt;=0,0,AH63/AH12),0)</f>
        <v/>
      </c>
    </row>
    <row r="64" hidden="1" customFormat="1" s="194">
      <c r="A64" s="394">
        <f>A13</f>
        <v/>
      </c>
      <c r="B64" s="823" t="n"/>
      <c r="C64" s="823">
        <f>IF(C$2=3,HLOOKUP(C$57,'Historical Data'!196:209,8,FALSE),(HLOOKUP(C$57,'Historical Data'!196:209,8,FALSE)-B64))</f>
        <v/>
      </c>
      <c r="D64" s="823">
        <f>HLOOKUP(D$57,'Historical Data'!213:226,8,FALSE)</f>
        <v/>
      </c>
      <c r="E64" s="823">
        <f>HLOOKUP(E$57,'Historical Data'!213:226,8,FALSE)</f>
        <v/>
      </c>
      <c r="F64" s="823">
        <f>HLOOKUP(F$57,'Historical Data'!213:226,8,FALSE)</f>
        <v/>
      </c>
      <c r="G64" s="823">
        <f>HLOOKUP(G$57,'Historical Data'!213:226,8,FALSE)</f>
        <v/>
      </c>
      <c r="H64" s="823">
        <f>HLOOKUP(H$57,'Historical Data'!213:226,8,FALSE)</f>
        <v/>
      </c>
      <c r="I64" s="823">
        <f>HLOOKUP(I$57,'Historical Data'!213:226,8,FALSE)</f>
        <v/>
      </c>
      <c r="J64" s="823">
        <f>HLOOKUP(J$57,'Historical Data'!213:226,8,FALSE)</f>
        <v/>
      </c>
      <c r="K64" s="823">
        <f>HLOOKUP(K$57,'Historical Data'!213:226,8,FALSE)</f>
        <v/>
      </c>
      <c r="L64" s="823">
        <f>HLOOKUP(L$57,'Historical Data'!213:226,8,FALSE)</f>
        <v/>
      </c>
      <c r="M64" s="823">
        <f>HLOOKUP(M$57,'Historical Data'!213:226,8,FALSE)</f>
        <v/>
      </c>
      <c r="N64" s="823">
        <f>HLOOKUP(N$57,'Historical Data'!213:226,8,FALSE)</f>
        <v/>
      </c>
      <c r="O64" s="823">
        <f>HLOOKUP(O$57,'Historical Data'!213:226,8,FALSE)</f>
        <v/>
      </c>
      <c r="P64" s="823">
        <f>HLOOKUP(P$57,'Historical Data'!213:226,8,FALSE)</f>
        <v/>
      </c>
      <c r="Q64" s="823">
        <f>HLOOKUP(Q$57,'Historical Data'!213:226,8,FALSE)</f>
        <v/>
      </c>
      <c r="R64" s="823">
        <f>HLOOKUP(R$57,'Historical Data'!213:226,8,FALSE)</f>
        <v/>
      </c>
      <c r="S64" s="823">
        <f>HLOOKUP(S$57,'Historical Data'!213:226,8,FALSE)</f>
        <v/>
      </c>
      <c r="T64" s="823">
        <f>HLOOKUP(T$57,'Historical Data'!213:226,8,FALSE)</f>
        <v/>
      </c>
      <c r="U64" s="823">
        <f>HLOOKUP(U$57,'Historical Data'!213:226,8,FALSE)</f>
        <v/>
      </c>
      <c r="V64" s="823">
        <f>HLOOKUP(V$57,'Historical Data'!213:226,8,FALSE)</f>
        <v/>
      </c>
      <c r="W64" s="823">
        <f>HLOOKUP(W$57,'Historical Data'!213:226,8,FALSE)</f>
        <v/>
      </c>
      <c r="X64" s="823">
        <f>HLOOKUP(X$57,'Historical Data'!213:226,8,FALSE)</f>
        <v/>
      </c>
      <c r="Y64" s="823">
        <f>HLOOKUP(Y$57,'Historical Data'!213:226,8,FALSE)</f>
        <v/>
      </c>
      <c r="Z64" s="823">
        <f>HLOOKUP(Z$57,'Historical Data'!213:226,8,FALSE)</f>
        <v/>
      </c>
      <c r="AA64" s="823">
        <f>HLOOKUP(AA$57,'Historical Data'!213:226,8,FALSE)</f>
        <v/>
      </c>
      <c r="AB64" s="823">
        <f>HLOOKUP(AB$57,'Historical Data'!213:226,8,FALSE)</f>
        <v/>
      </c>
      <c r="AC64" s="823">
        <f>HLOOKUP(AC$57,'Historical Data'!213:226,8,FALSE)</f>
        <v/>
      </c>
      <c r="AD64" s="823">
        <f>HLOOKUP(AD$57,'Historical Data'!213:226,8,FALSE)</f>
        <v/>
      </c>
      <c r="AE64" s="823">
        <f>HLOOKUP(AE$57,'Historical Data'!213:226,8,FALSE)</f>
        <v/>
      </c>
      <c r="AF64" s="415">
        <f>AF13</f>
        <v/>
      </c>
      <c r="AG64" s="415">
        <f>ROUNDUP(AF64/3,0)</f>
        <v/>
      </c>
      <c r="AH64" s="835">
        <f>SUMIF($B$5:$AE$5,AG64,B81:AE81)</f>
        <v/>
      </c>
      <c r="AI64" s="388">
        <f>IFERROR(IF(AH64/AH13&lt;=0,0,AH64/AH13),0)</f>
        <v/>
      </c>
    </row>
    <row r="65" hidden="1" ht="30" customFormat="1" customHeight="1" s="194">
      <c r="A65" s="394">
        <f>A14</f>
        <v/>
      </c>
      <c r="B65" s="823" t="n"/>
      <c r="C65" s="823">
        <f>IF(C$2=3,HLOOKUP(C$57,'Historical Data'!196:209,9,FALSE),(HLOOKUP(C$57,'Historical Data'!196:209,9,FALSE)-B65))</f>
        <v/>
      </c>
      <c r="D65" s="823">
        <f>HLOOKUP(D$57,'Historical Data'!213:226,9,FALSE)</f>
        <v/>
      </c>
      <c r="E65" s="823">
        <f>HLOOKUP(E$57,'Historical Data'!213:226,9,FALSE)</f>
        <v/>
      </c>
      <c r="F65" s="823">
        <f>HLOOKUP(F$57,'Historical Data'!213:226,9,FALSE)</f>
        <v/>
      </c>
      <c r="G65" s="823">
        <f>HLOOKUP(G$57,'Historical Data'!213:226,9,FALSE)</f>
        <v/>
      </c>
      <c r="H65" s="823">
        <f>HLOOKUP(H$57,'Historical Data'!213:226,9,FALSE)</f>
        <v/>
      </c>
      <c r="I65" s="823">
        <f>HLOOKUP(I$57,'Historical Data'!213:226,9,FALSE)</f>
        <v/>
      </c>
      <c r="J65" s="823">
        <f>HLOOKUP(J$57,'Historical Data'!213:226,9,FALSE)</f>
        <v/>
      </c>
      <c r="K65" s="823">
        <f>HLOOKUP(K$57,'Historical Data'!213:226,9,FALSE)</f>
        <v/>
      </c>
      <c r="L65" s="823">
        <f>HLOOKUP(L$57,'Historical Data'!213:226,9,FALSE)</f>
        <v/>
      </c>
      <c r="M65" s="823">
        <f>HLOOKUP(M$57,'Historical Data'!213:226,9,FALSE)</f>
        <v/>
      </c>
      <c r="N65" s="823">
        <f>HLOOKUP(N$57,'Historical Data'!213:226,9,FALSE)</f>
        <v/>
      </c>
      <c r="O65" s="823">
        <f>HLOOKUP(O$57,'Historical Data'!213:226,9,FALSE)</f>
        <v/>
      </c>
      <c r="P65" s="823">
        <f>HLOOKUP(P$57,'Historical Data'!213:226,9,FALSE)</f>
        <v/>
      </c>
      <c r="Q65" s="823">
        <f>HLOOKUP(Q$57,'Historical Data'!213:226,9,FALSE)</f>
        <v/>
      </c>
      <c r="R65" s="823">
        <f>HLOOKUP(R$57,'Historical Data'!213:226,9,FALSE)</f>
        <v/>
      </c>
      <c r="S65" s="823">
        <f>HLOOKUP(S$57,'Historical Data'!213:226,9,FALSE)</f>
        <v/>
      </c>
      <c r="T65" s="823">
        <f>HLOOKUP(T$57,'Historical Data'!213:226,9,FALSE)</f>
        <v/>
      </c>
      <c r="U65" s="823">
        <f>HLOOKUP(U$57,'Historical Data'!213:226,9,FALSE)</f>
        <v/>
      </c>
      <c r="V65" s="823">
        <f>HLOOKUP(V$57,'Historical Data'!213:226,9,FALSE)</f>
        <v/>
      </c>
      <c r="W65" s="823">
        <f>HLOOKUP(W$57,'Historical Data'!213:226,9,FALSE)</f>
        <v/>
      </c>
      <c r="X65" s="823">
        <f>HLOOKUP(X$57,'Historical Data'!213:226,9,FALSE)</f>
        <v/>
      </c>
      <c r="Y65" s="823">
        <f>HLOOKUP(Y$57,'Historical Data'!213:226,9,FALSE)</f>
        <v/>
      </c>
      <c r="Z65" s="823">
        <f>HLOOKUP(Z$57,'Historical Data'!213:226,9,FALSE)</f>
        <v/>
      </c>
      <c r="AA65" s="823">
        <f>HLOOKUP(AA$57,'Historical Data'!213:226,9,FALSE)</f>
        <v/>
      </c>
      <c r="AB65" s="823">
        <f>HLOOKUP(AB$57,'Historical Data'!213:226,9,FALSE)</f>
        <v/>
      </c>
      <c r="AC65" s="823">
        <f>HLOOKUP(AC$57,'Historical Data'!213:226,9,FALSE)</f>
        <v/>
      </c>
      <c r="AD65" s="823">
        <f>HLOOKUP(AD$57,'Historical Data'!213:226,9,FALSE)</f>
        <v/>
      </c>
      <c r="AE65" s="823">
        <f>HLOOKUP(AE$57,'Historical Data'!213:226,9,FALSE)</f>
        <v/>
      </c>
      <c r="AF65" s="415">
        <f>AF14</f>
        <v/>
      </c>
      <c r="AG65" s="415">
        <f>ROUNDUP(AF65/3,0)</f>
        <v/>
      </c>
      <c r="AH65" s="835">
        <f>SUMIF($B$5:$AE$5,AG65,B82:AE82)</f>
        <v/>
      </c>
      <c r="AI65" s="388">
        <f>IFERROR(IF(AH65/AH14&lt;=0,0,AH65/AH14),0)</f>
        <v/>
      </c>
    </row>
    <row r="66" hidden="1" ht="30" customFormat="1" customHeight="1" s="194">
      <c r="A66" s="394">
        <f>A15</f>
        <v/>
      </c>
      <c r="B66" s="823" t="n"/>
      <c r="C66" s="823">
        <f>IF(C$2=3,HLOOKUP(C$57,'Historical Data'!196:209,10,FALSE),(HLOOKUP(C$57,'Historical Data'!196:209,10,FALSE)-B66))</f>
        <v/>
      </c>
      <c r="D66" s="823">
        <f>HLOOKUP(D$57,'Historical Data'!213:226,10,FALSE)</f>
        <v/>
      </c>
      <c r="E66" s="823">
        <f>HLOOKUP(E$57,'Historical Data'!213:226,10,FALSE)</f>
        <v/>
      </c>
      <c r="F66" s="823">
        <f>HLOOKUP(F$57,'Historical Data'!213:226,10,FALSE)</f>
        <v/>
      </c>
      <c r="G66" s="823">
        <f>HLOOKUP(G$57,'Historical Data'!213:226,10,FALSE)</f>
        <v/>
      </c>
      <c r="H66" s="823">
        <f>HLOOKUP(H$57,'Historical Data'!213:226,10,FALSE)</f>
        <v/>
      </c>
      <c r="I66" s="823">
        <f>HLOOKUP(I$57,'Historical Data'!213:226,10,FALSE)</f>
        <v/>
      </c>
      <c r="J66" s="823">
        <f>HLOOKUP(J$57,'Historical Data'!213:226,10,FALSE)</f>
        <v/>
      </c>
      <c r="K66" s="823">
        <f>HLOOKUP(K$57,'Historical Data'!213:226,10,FALSE)</f>
        <v/>
      </c>
      <c r="L66" s="823">
        <f>HLOOKUP(L$57,'Historical Data'!213:226,10,FALSE)</f>
        <v/>
      </c>
      <c r="M66" s="823">
        <f>HLOOKUP(M$57,'Historical Data'!213:226,10,FALSE)</f>
        <v/>
      </c>
      <c r="N66" s="823">
        <f>HLOOKUP(N$57,'Historical Data'!213:226,10,FALSE)</f>
        <v/>
      </c>
      <c r="O66" s="823">
        <f>HLOOKUP(O$57,'Historical Data'!213:226,10,FALSE)</f>
        <v/>
      </c>
      <c r="P66" s="823">
        <f>HLOOKUP(P$57,'Historical Data'!213:226,10,FALSE)</f>
        <v/>
      </c>
      <c r="Q66" s="823">
        <f>HLOOKUP(Q$57,'Historical Data'!213:226,10,FALSE)</f>
        <v/>
      </c>
      <c r="R66" s="823">
        <f>HLOOKUP(R$57,'Historical Data'!213:226,10,FALSE)</f>
        <v/>
      </c>
      <c r="S66" s="823">
        <f>HLOOKUP(S$57,'Historical Data'!213:226,10,FALSE)</f>
        <v/>
      </c>
      <c r="T66" s="823">
        <f>HLOOKUP(T$57,'Historical Data'!213:226,10,FALSE)</f>
        <v/>
      </c>
      <c r="U66" s="823">
        <f>HLOOKUP(U$57,'Historical Data'!213:226,10,FALSE)</f>
        <v/>
      </c>
      <c r="V66" s="823">
        <f>HLOOKUP(V$57,'Historical Data'!213:226,10,FALSE)</f>
        <v/>
      </c>
      <c r="W66" s="823">
        <f>HLOOKUP(W$57,'Historical Data'!213:226,10,FALSE)</f>
        <v/>
      </c>
      <c r="X66" s="823">
        <f>HLOOKUP(X$57,'Historical Data'!213:226,10,FALSE)</f>
        <v/>
      </c>
      <c r="Y66" s="823">
        <f>HLOOKUP(Y$57,'Historical Data'!213:226,10,FALSE)</f>
        <v/>
      </c>
      <c r="Z66" s="823">
        <f>HLOOKUP(Z$57,'Historical Data'!213:226,10,FALSE)</f>
        <v/>
      </c>
      <c r="AA66" s="823">
        <f>HLOOKUP(AA$57,'Historical Data'!213:226,10,FALSE)</f>
        <v/>
      </c>
      <c r="AB66" s="823">
        <f>HLOOKUP(AB$57,'Historical Data'!213:226,10,FALSE)</f>
        <v/>
      </c>
      <c r="AC66" s="823">
        <f>HLOOKUP(AC$57,'Historical Data'!213:226,10,FALSE)</f>
        <v/>
      </c>
      <c r="AD66" s="823">
        <f>HLOOKUP(AD$57,'Historical Data'!213:226,10,FALSE)</f>
        <v/>
      </c>
      <c r="AE66" s="823">
        <f>HLOOKUP(AE$57,'Historical Data'!213:226,10,FALSE)</f>
        <v/>
      </c>
      <c r="AF66" s="415">
        <f>AF15</f>
        <v/>
      </c>
      <c r="AG66" s="415">
        <f>ROUNDUP(AF66/3,0)</f>
        <v/>
      </c>
      <c r="AH66" s="835">
        <f>SUMIF($B$5:$AE$5,AG66,B83:AE83)</f>
        <v/>
      </c>
      <c r="AI66" s="388">
        <f>IFERROR(IF(AH66/AH15&lt;=0,0,AH66/AH15),0)</f>
        <v/>
      </c>
    </row>
    <row r="67" hidden="1" ht="30" customFormat="1" customHeight="1" s="194">
      <c r="A67" s="394">
        <f>A16</f>
        <v/>
      </c>
      <c r="B67" s="823" t="n"/>
      <c r="C67" s="823">
        <f>IF(C$2=3,HLOOKUP(C$57,'Historical Data'!196:209,11,FALSE),(HLOOKUP(C$57,'Historical Data'!196:209,11,FALSE)-B67))</f>
        <v/>
      </c>
      <c r="D67" s="823">
        <f>HLOOKUP(D$57,'Historical Data'!213:226,11,FALSE)</f>
        <v/>
      </c>
      <c r="E67" s="823">
        <f>HLOOKUP(E$57,'Historical Data'!213:226,11,FALSE)</f>
        <v/>
      </c>
      <c r="F67" s="823">
        <f>HLOOKUP(F$57,'Historical Data'!213:226,11,FALSE)</f>
        <v/>
      </c>
      <c r="G67" s="823">
        <f>HLOOKUP(G$57,'Historical Data'!213:226,11,FALSE)</f>
        <v/>
      </c>
      <c r="H67" s="823">
        <f>HLOOKUP(H$57,'Historical Data'!213:226,11,FALSE)</f>
        <v/>
      </c>
      <c r="I67" s="823">
        <f>HLOOKUP(I$57,'Historical Data'!213:226,11,FALSE)</f>
        <v/>
      </c>
      <c r="J67" s="823">
        <f>HLOOKUP(J$57,'Historical Data'!213:226,11,FALSE)</f>
        <v/>
      </c>
      <c r="K67" s="823">
        <f>HLOOKUP(K$57,'Historical Data'!213:226,11,FALSE)</f>
        <v/>
      </c>
      <c r="L67" s="823">
        <f>HLOOKUP(L$57,'Historical Data'!213:226,11,FALSE)</f>
        <v/>
      </c>
      <c r="M67" s="823">
        <f>HLOOKUP(M$57,'Historical Data'!213:226,11,FALSE)</f>
        <v/>
      </c>
      <c r="N67" s="823">
        <f>HLOOKUP(N$57,'Historical Data'!213:226,11,FALSE)</f>
        <v/>
      </c>
      <c r="O67" s="823">
        <f>HLOOKUP(O$57,'Historical Data'!213:226,11,FALSE)</f>
        <v/>
      </c>
      <c r="P67" s="823">
        <f>HLOOKUP(P$57,'Historical Data'!213:226,11,FALSE)</f>
        <v/>
      </c>
      <c r="Q67" s="823">
        <f>HLOOKUP(Q$57,'Historical Data'!213:226,11,FALSE)</f>
        <v/>
      </c>
      <c r="R67" s="823">
        <f>HLOOKUP(R$57,'Historical Data'!213:226,11,FALSE)</f>
        <v/>
      </c>
      <c r="S67" s="823">
        <f>HLOOKUP(S$57,'Historical Data'!213:226,11,FALSE)</f>
        <v/>
      </c>
      <c r="T67" s="823">
        <f>HLOOKUP(T$57,'Historical Data'!213:226,11,FALSE)</f>
        <v/>
      </c>
      <c r="U67" s="823">
        <f>HLOOKUP(U$57,'Historical Data'!213:226,11,FALSE)</f>
        <v/>
      </c>
      <c r="V67" s="823">
        <f>HLOOKUP(V$57,'Historical Data'!213:226,11,FALSE)</f>
        <v/>
      </c>
      <c r="W67" s="823">
        <f>HLOOKUP(W$57,'Historical Data'!213:226,11,FALSE)</f>
        <v/>
      </c>
      <c r="X67" s="823">
        <f>HLOOKUP(X$57,'Historical Data'!213:226,11,FALSE)</f>
        <v/>
      </c>
      <c r="Y67" s="823">
        <f>HLOOKUP(Y$57,'Historical Data'!213:226,11,FALSE)</f>
        <v/>
      </c>
      <c r="Z67" s="823">
        <f>HLOOKUP(Z$57,'Historical Data'!213:226,11,FALSE)</f>
        <v/>
      </c>
      <c r="AA67" s="823">
        <f>HLOOKUP(AA$57,'Historical Data'!213:226,11,FALSE)</f>
        <v/>
      </c>
      <c r="AB67" s="823">
        <f>HLOOKUP(AB$57,'Historical Data'!213:226,11,FALSE)</f>
        <v/>
      </c>
      <c r="AC67" s="823">
        <f>HLOOKUP(AC$57,'Historical Data'!213:226,11,FALSE)</f>
        <v/>
      </c>
      <c r="AD67" s="823">
        <f>HLOOKUP(AD$57,'Historical Data'!213:226,11,FALSE)</f>
        <v/>
      </c>
      <c r="AE67" s="823">
        <f>HLOOKUP(AE$57,'Historical Data'!213:226,11,FALSE)</f>
        <v/>
      </c>
      <c r="AF67" s="415">
        <f>AF16</f>
        <v/>
      </c>
      <c r="AG67" s="415">
        <f>ROUNDUP(AF67/3,0)</f>
        <v/>
      </c>
      <c r="AH67" s="835">
        <f>SUMIF($B$5:$AE$5,AG67,B84:AE84)</f>
        <v/>
      </c>
      <c r="AI67" s="388">
        <f>IFERROR(IF(AH67/AH16&lt;=0,0,AH67/AH16),0)</f>
        <v/>
      </c>
    </row>
    <row r="68" hidden="1" ht="30" customFormat="1" customHeight="1" s="194">
      <c r="A68" s="394">
        <f>A17</f>
        <v/>
      </c>
      <c r="B68" s="823" t="n"/>
      <c r="C68" s="823">
        <f>IF(C$2=3,HLOOKUP(C$57,'Historical Data'!196:209,12,FALSE),(HLOOKUP(C$57,'Historical Data'!196:209,12,FALSE)-B68))</f>
        <v/>
      </c>
      <c r="D68" s="823">
        <f>HLOOKUP(D$57,'Historical Data'!213:226,12,FALSE)</f>
        <v/>
      </c>
      <c r="E68" s="823">
        <f>HLOOKUP(E$57,'Historical Data'!213:226,12,FALSE)</f>
        <v/>
      </c>
      <c r="F68" s="823">
        <f>HLOOKUP(F$57,'Historical Data'!213:226,12,FALSE)</f>
        <v/>
      </c>
      <c r="G68" s="823">
        <f>HLOOKUP(G$57,'Historical Data'!213:226,12,FALSE)</f>
        <v/>
      </c>
      <c r="H68" s="823">
        <f>HLOOKUP(H$57,'Historical Data'!213:226,12,FALSE)</f>
        <v/>
      </c>
      <c r="I68" s="823">
        <f>HLOOKUP(I$57,'Historical Data'!213:226,12,FALSE)</f>
        <v/>
      </c>
      <c r="J68" s="823">
        <f>HLOOKUP(J$57,'Historical Data'!213:226,12,FALSE)</f>
        <v/>
      </c>
      <c r="K68" s="823">
        <f>HLOOKUP(K$57,'Historical Data'!213:226,12,FALSE)</f>
        <v/>
      </c>
      <c r="L68" s="823">
        <f>HLOOKUP(L$57,'Historical Data'!213:226,12,FALSE)</f>
        <v/>
      </c>
      <c r="M68" s="823">
        <f>HLOOKUP(M$57,'Historical Data'!213:226,12,FALSE)</f>
        <v/>
      </c>
      <c r="N68" s="823">
        <f>HLOOKUP(N$57,'Historical Data'!213:226,12,FALSE)</f>
        <v/>
      </c>
      <c r="O68" s="823">
        <f>HLOOKUP(O$57,'Historical Data'!213:226,12,FALSE)</f>
        <v/>
      </c>
      <c r="P68" s="823">
        <f>HLOOKUP(P$57,'Historical Data'!213:226,12,FALSE)</f>
        <v/>
      </c>
      <c r="Q68" s="823">
        <f>HLOOKUP(Q$57,'Historical Data'!213:226,12,FALSE)</f>
        <v/>
      </c>
      <c r="R68" s="823">
        <f>HLOOKUP(R$57,'Historical Data'!213:226,12,FALSE)</f>
        <v/>
      </c>
      <c r="S68" s="823">
        <f>HLOOKUP(S$57,'Historical Data'!213:226,12,FALSE)</f>
        <v/>
      </c>
      <c r="T68" s="823">
        <f>HLOOKUP(T$57,'Historical Data'!213:226,12,FALSE)</f>
        <v/>
      </c>
      <c r="U68" s="823">
        <f>HLOOKUP(U$57,'Historical Data'!213:226,12,FALSE)</f>
        <v/>
      </c>
      <c r="V68" s="823">
        <f>HLOOKUP(V$57,'Historical Data'!213:226,12,FALSE)</f>
        <v/>
      </c>
      <c r="W68" s="823">
        <f>HLOOKUP(W$57,'Historical Data'!213:226,12,FALSE)</f>
        <v/>
      </c>
      <c r="X68" s="823">
        <f>HLOOKUP(X$57,'Historical Data'!213:226,12,FALSE)</f>
        <v/>
      </c>
      <c r="Y68" s="823">
        <f>HLOOKUP(Y$57,'Historical Data'!213:226,12,FALSE)</f>
        <v/>
      </c>
      <c r="Z68" s="823">
        <f>HLOOKUP(Z$57,'Historical Data'!213:226,12,FALSE)</f>
        <v/>
      </c>
      <c r="AA68" s="823">
        <f>HLOOKUP(AA$57,'Historical Data'!213:226,12,FALSE)</f>
        <v/>
      </c>
      <c r="AB68" s="823">
        <f>HLOOKUP(AB$57,'Historical Data'!213:226,12,FALSE)</f>
        <v/>
      </c>
      <c r="AC68" s="823">
        <f>HLOOKUP(AC$57,'Historical Data'!213:226,12,FALSE)</f>
        <v/>
      </c>
      <c r="AD68" s="823">
        <f>HLOOKUP(AD$57,'Historical Data'!213:226,12,FALSE)</f>
        <v/>
      </c>
      <c r="AE68" s="823">
        <f>HLOOKUP(AE$57,'Historical Data'!213:226,12,FALSE)</f>
        <v/>
      </c>
      <c r="AF68" s="415">
        <f>AF17</f>
        <v/>
      </c>
      <c r="AG68" s="415">
        <f>ROUNDUP(AF68/3,0)</f>
        <v/>
      </c>
      <c r="AH68" s="835">
        <f>SUMIF($B$5:$AE$5,AG68,B85:AE85)</f>
        <v/>
      </c>
      <c r="AI68" s="388">
        <f>IFERROR(IF(AH68/AH17&lt;=0,0,AH68/AH17),0)</f>
        <v/>
      </c>
    </row>
    <row r="69" hidden="1" ht="30" customFormat="1" customHeight="1" s="194">
      <c r="A69" s="394">
        <f>A18</f>
        <v/>
      </c>
      <c r="B69" s="823" t="n"/>
      <c r="C69" s="823">
        <f>IF(C$2=3,HLOOKUP(C$57,'Historical Data'!196:209,13,FALSE),(HLOOKUP(C$57,'Historical Data'!196:209,13,FALSE)-B69))</f>
        <v/>
      </c>
      <c r="D69" s="823">
        <f>HLOOKUP(D$57,'Historical Data'!213:226,13,FALSE)</f>
        <v/>
      </c>
      <c r="E69" s="823">
        <f>HLOOKUP(E$57,'Historical Data'!213:226,13,FALSE)</f>
        <v/>
      </c>
      <c r="F69" s="823">
        <f>HLOOKUP(F$57,'Historical Data'!213:226,13,FALSE)</f>
        <v/>
      </c>
      <c r="G69" s="823">
        <f>HLOOKUP(G$57,'Historical Data'!213:226,13,FALSE)</f>
        <v/>
      </c>
      <c r="H69" s="823">
        <f>HLOOKUP(H$57,'Historical Data'!213:226,13,FALSE)</f>
        <v/>
      </c>
      <c r="I69" s="823">
        <f>HLOOKUP(I$57,'Historical Data'!213:226,13,FALSE)</f>
        <v/>
      </c>
      <c r="J69" s="823">
        <f>HLOOKUP(J$57,'Historical Data'!213:226,13,FALSE)</f>
        <v/>
      </c>
      <c r="K69" s="823">
        <f>HLOOKUP(K$57,'Historical Data'!213:226,13,FALSE)</f>
        <v/>
      </c>
      <c r="L69" s="823">
        <f>HLOOKUP(L$57,'Historical Data'!213:226,13,FALSE)</f>
        <v/>
      </c>
      <c r="M69" s="823">
        <f>HLOOKUP(M$57,'Historical Data'!213:226,13,FALSE)</f>
        <v/>
      </c>
      <c r="N69" s="823">
        <f>HLOOKUP(N$57,'Historical Data'!213:226,13,FALSE)</f>
        <v/>
      </c>
      <c r="O69" s="823">
        <f>HLOOKUP(O$57,'Historical Data'!213:226,13,FALSE)</f>
        <v/>
      </c>
      <c r="P69" s="823">
        <f>HLOOKUP(P$57,'Historical Data'!213:226,13,FALSE)</f>
        <v/>
      </c>
      <c r="Q69" s="823">
        <f>HLOOKUP(Q$57,'Historical Data'!213:226,13,FALSE)</f>
        <v/>
      </c>
      <c r="R69" s="823">
        <f>HLOOKUP(R$57,'Historical Data'!213:226,13,FALSE)</f>
        <v/>
      </c>
      <c r="S69" s="823">
        <f>HLOOKUP(S$57,'Historical Data'!213:226,13,FALSE)</f>
        <v/>
      </c>
      <c r="T69" s="823">
        <f>HLOOKUP(T$57,'Historical Data'!213:226,13,FALSE)</f>
        <v/>
      </c>
      <c r="U69" s="823">
        <f>HLOOKUP(U$57,'Historical Data'!213:226,13,FALSE)</f>
        <v/>
      </c>
      <c r="V69" s="823">
        <f>HLOOKUP(V$57,'Historical Data'!213:226,13,FALSE)</f>
        <v/>
      </c>
      <c r="W69" s="823">
        <f>HLOOKUP(W$57,'Historical Data'!213:226,13,FALSE)</f>
        <v/>
      </c>
      <c r="X69" s="823">
        <f>HLOOKUP(X$57,'Historical Data'!213:226,13,FALSE)</f>
        <v/>
      </c>
      <c r="Y69" s="823">
        <f>HLOOKUP(Y$57,'Historical Data'!213:226,13,FALSE)</f>
        <v/>
      </c>
      <c r="Z69" s="823">
        <f>HLOOKUP(Z$57,'Historical Data'!213:226,13,FALSE)</f>
        <v/>
      </c>
      <c r="AA69" s="823">
        <f>HLOOKUP(AA$57,'Historical Data'!213:226,13,FALSE)</f>
        <v/>
      </c>
      <c r="AB69" s="823">
        <f>HLOOKUP(AB$57,'Historical Data'!213:226,13,FALSE)</f>
        <v/>
      </c>
      <c r="AC69" s="823">
        <f>HLOOKUP(AC$57,'Historical Data'!213:226,13,FALSE)</f>
        <v/>
      </c>
      <c r="AD69" s="823">
        <f>HLOOKUP(AD$57,'Historical Data'!213:226,13,FALSE)</f>
        <v/>
      </c>
      <c r="AE69" s="823">
        <f>HLOOKUP(AE$57,'Historical Data'!213:226,13,FALSE)</f>
        <v/>
      </c>
      <c r="AF69" s="415">
        <f>AF18</f>
        <v/>
      </c>
      <c r="AG69" s="415">
        <f>ROUNDUP(AF69/3,0)</f>
        <v/>
      </c>
      <c r="AH69" s="835">
        <f>SUMIF($B$5:$AE$5,AG69,B86:AE86)</f>
        <v/>
      </c>
      <c r="AI69" s="388">
        <f>IFERROR(IF(AH69/AH18&lt;=0,0,AH69/AH18),0)</f>
        <v/>
      </c>
    </row>
    <row r="70" hidden="1" ht="30" customFormat="1" customHeight="1" s="194">
      <c r="A70" s="394">
        <f>A19</f>
        <v/>
      </c>
      <c r="B70" s="823" t="n"/>
      <c r="C70" s="823">
        <f>IF(C$2=3,HLOOKUP(C$57,'Historical Data'!196:209,14,FALSE),(HLOOKUP(C$57,'Historical Data'!196:209,14,FALSE)-B70))</f>
        <v/>
      </c>
      <c r="D70" s="823">
        <f>HLOOKUP(D$57,'Historical Data'!213:226,14,FALSE)</f>
        <v/>
      </c>
      <c r="E70" s="823">
        <f>HLOOKUP(E$57,'Historical Data'!213:226,14,FALSE)</f>
        <v/>
      </c>
      <c r="F70" s="823">
        <f>HLOOKUP(F$57,'Historical Data'!213:226,14,FALSE)</f>
        <v/>
      </c>
      <c r="G70" s="823">
        <f>HLOOKUP(G$57,'Historical Data'!213:226,14,FALSE)</f>
        <v/>
      </c>
      <c r="H70" s="823">
        <f>HLOOKUP(H$57,'Historical Data'!213:226,14,FALSE)</f>
        <v/>
      </c>
      <c r="I70" s="823">
        <f>HLOOKUP(I$57,'Historical Data'!213:226,14,FALSE)</f>
        <v/>
      </c>
      <c r="J70" s="823">
        <f>HLOOKUP(J$57,'Historical Data'!213:226,14,FALSE)</f>
        <v/>
      </c>
      <c r="K70" s="823">
        <f>HLOOKUP(K$57,'Historical Data'!213:226,14,FALSE)</f>
        <v/>
      </c>
      <c r="L70" s="823">
        <f>HLOOKUP(L$57,'Historical Data'!213:226,14,FALSE)</f>
        <v/>
      </c>
      <c r="M70" s="823">
        <f>HLOOKUP(M$57,'Historical Data'!213:226,14,FALSE)</f>
        <v/>
      </c>
      <c r="N70" s="823">
        <f>HLOOKUP(N$57,'Historical Data'!213:226,14,FALSE)</f>
        <v/>
      </c>
      <c r="O70" s="823">
        <f>HLOOKUP(O$57,'Historical Data'!213:226,14,FALSE)</f>
        <v/>
      </c>
      <c r="P70" s="823">
        <f>HLOOKUP(P$57,'Historical Data'!213:226,14,FALSE)</f>
        <v/>
      </c>
      <c r="Q70" s="823">
        <f>HLOOKUP(Q$57,'Historical Data'!213:226,14,FALSE)</f>
        <v/>
      </c>
      <c r="R70" s="823">
        <f>HLOOKUP(R$57,'Historical Data'!213:226,14,FALSE)</f>
        <v/>
      </c>
      <c r="S70" s="823">
        <f>HLOOKUP(S$57,'Historical Data'!213:226,14,FALSE)</f>
        <v/>
      </c>
      <c r="T70" s="823">
        <f>HLOOKUP(T$57,'Historical Data'!213:226,14,FALSE)</f>
        <v/>
      </c>
      <c r="U70" s="823">
        <f>HLOOKUP(U$57,'Historical Data'!213:226,14,FALSE)</f>
        <v/>
      </c>
      <c r="V70" s="823">
        <f>HLOOKUP(V$57,'Historical Data'!213:226,14,FALSE)</f>
        <v/>
      </c>
      <c r="W70" s="823">
        <f>HLOOKUP(W$57,'Historical Data'!213:226,14,FALSE)</f>
        <v/>
      </c>
      <c r="X70" s="823">
        <f>HLOOKUP(X$57,'Historical Data'!213:226,14,FALSE)</f>
        <v/>
      </c>
      <c r="Y70" s="823">
        <f>HLOOKUP(Y$57,'Historical Data'!213:226,14,FALSE)</f>
        <v/>
      </c>
      <c r="Z70" s="823">
        <f>HLOOKUP(Z$57,'Historical Data'!213:226,14,FALSE)</f>
        <v/>
      </c>
      <c r="AA70" s="823">
        <f>HLOOKUP(AA$57,'Historical Data'!213:226,14,FALSE)</f>
        <v/>
      </c>
      <c r="AB70" s="823">
        <f>HLOOKUP(AB$57,'Historical Data'!213:226,14,FALSE)</f>
        <v/>
      </c>
      <c r="AC70" s="823">
        <f>HLOOKUP(AC$57,'Historical Data'!213:226,14,FALSE)</f>
        <v/>
      </c>
      <c r="AD70" s="823">
        <f>HLOOKUP(AD$57,'Historical Data'!213:226,14,FALSE)</f>
        <v/>
      </c>
      <c r="AE70" s="823">
        <f>HLOOKUP(AE$57,'Historical Data'!213:226,14,FALSE)</f>
        <v/>
      </c>
      <c r="AF70" s="416">
        <f>AF19</f>
        <v/>
      </c>
      <c r="AG70" s="416">
        <f>ROUNDUP(AF70/3,0)</f>
        <v/>
      </c>
      <c r="AH70" s="836">
        <f>SUMIF($B$5:$AE$5,AG70,B87:AE87)</f>
        <v/>
      </c>
      <c r="AI70" s="389">
        <f>IFERROR(IF(AH70/AH19&lt;=0,0,AH70/AH19),0)</f>
        <v/>
      </c>
    </row>
    <row r="71" hidden="1" customFormat="1" s="194">
      <c r="A71" s="397" t="inlineStr">
        <is>
          <t>Total Loans</t>
        </is>
      </c>
      <c r="B71" s="828" t="n"/>
      <c r="C71" s="828">
        <f>SUM(C58:C70)</f>
        <v/>
      </c>
      <c r="D71" s="828">
        <f>SUM(D58:D70)</f>
        <v/>
      </c>
      <c r="E71" s="828">
        <f>SUM(E58:E70)</f>
        <v/>
      </c>
      <c r="F71" s="828">
        <f>SUM(F58:F70)</f>
        <v/>
      </c>
      <c r="G71" s="828">
        <f>SUM(G58:G70)</f>
        <v/>
      </c>
      <c r="H71" s="828">
        <f>SUM(H58:H70)</f>
        <v/>
      </c>
      <c r="I71" s="828">
        <f>SUM(I58:I70)</f>
        <v/>
      </c>
      <c r="J71" s="828">
        <f>SUM(J58:J70)</f>
        <v/>
      </c>
      <c r="K71" s="828">
        <f>SUM(K58:K70)</f>
        <v/>
      </c>
      <c r="L71" s="828">
        <f>SUM(L58:L70)</f>
        <v/>
      </c>
      <c r="M71" s="828">
        <f>SUM(M58:M70)</f>
        <v/>
      </c>
      <c r="N71" s="828">
        <f>SUM(N58:N70)</f>
        <v/>
      </c>
      <c r="O71" s="828">
        <f>SUM(O58:O70)</f>
        <v/>
      </c>
      <c r="P71" s="828">
        <f>SUM(P58:P70)</f>
        <v/>
      </c>
      <c r="Q71" s="828">
        <f>SUM(Q58:Q70)</f>
        <v/>
      </c>
      <c r="R71" s="828">
        <f>SUM(R58:R70)</f>
        <v/>
      </c>
      <c r="S71" s="828">
        <f>SUM(S58:S70)</f>
        <v/>
      </c>
      <c r="T71" s="828">
        <f>SUM(T58:T70)</f>
        <v/>
      </c>
      <c r="U71" s="828">
        <f>SUM(U58:U70)</f>
        <v/>
      </c>
      <c r="V71" s="828">
        <f>SUM(V58:V70)</f>
        <v/>
      </c>
      <c r="W71" s="828">
        <f>SUM(W58:W70)</f>
        <v/>
      </c>
      <c r="X71" s="828">
        <f>SUM(X58:X70)</f>
        <v/>
      </c>
      <c r="Y71" s="828">
        <f>SUM(Y58:Y70)</f>
        <v/>
      </c>
      <c r="Z71" s="828">
        <f>SUM(Z58:Z70)</f>
        <v/>
      </c>
      <c r="AA71" s="828">
        <f>SUM(AA58:AA70)</f>
        <v/>
      </c>
      <c r="AB71" s="828">
        <f>SUM(AB58:AB70)</f>
        <v/>
      </c>
      <c r="AC71" s="828">
        <f>SUM(AC58:AC70)</f>
        <v/>
      </c>
      <c r="AD71" s="828">
        <f>SUM(AD58:AD70)</f>
        <v/>
      </c>
      <c r="AE71" s="828">
        <f>SUM(AE58:AE70)</f>
        <v/>
      </c>
      <c r="AF71" s="414" t="n"/>
      <c r="AG71" s="415" t="n"/>
      <c r="AH71" s="834" t="n"/>
      <c r="AI71" s="387" t="n"/>
    </row>
    <row r="72" hidden="1" s="685"/>
    <row r="73" hidden="1" s="685"/>
    <row r="74" hidden="1" customFormat="1" s="194">
      <c r="A74" s="393" t="inlineStr">
        <is>
          <t>Cumlative Net Charge Off Totals</t>
        </is>
      </c>
      <c r="B74" s="193">
        <f>B57</f>
        <v/>
      </c>
      <c r="C74" s="193">
        <f>C57</f>
        <v/>
      </c>
      <c r="D74" s="193">
        <f>D57</f>
        <v/>
      </c>
      <c r="E74" s="193">
        <f>E57</f>
        <v/>
      </c>
      <c r="F74" s="193">
        <f>F57</f>
        <v/>
      </c>
      <c r="G74" s="193">
        <f>G57</f>
        <v/>
      </c>
      <c r="H74" s="193">
        <f>H57</f>
        <v/>
      </c>
      <c r="I74" s="193">
        <f>I57</f>
        <v/>
      </c>
      <c r="J74" s="193">
        <f>J57</f>
        <v/>
      </c>
      <c r="K74" s="193">
        <f>K57</f>
        <v/>
      </c>
      <c r="L74" s="193">
        <f>L57</f>
        <v/>
      </c>
      <c r="M74" s="193">
        <f>M57</f>
        <v/>
      </c>
      <c r="N74" s="193">
        <f>N57</f>
        <v/>
      </c>
      <c r="O74" s="193">
        <f>O57</f>
        <v/>
      </c>
      <c r="P74" s="193">
        <f>P57</f>
        <v/>
      </c>
      <c r="Q74" s="193">
        <f>Q57</f>
        <v/>
      </c>
      <c r="R74" s="193">
        <f>R57</f>
        <v/>
      </c>
      <c r="S74" s="193">
        <f>S57</f>
        <v/>
      </c>
      <c r="T74" s="193">
        <f>T57</f>
        <v/>
      </c>
      <c r="U74" s="193">
        <f>U57</f>
        <v/>
      </c>
      <c r="V74" s="193">
        <f>V57</f>
        <v/>
      </c>
      <c r="W74" s="193">
        <f>W57</f>
        <v/>
      </c>
      <c r="X74" s="193">
        <f>X57</f>
        <v/>
      </c>
      <c r="Y74" s="193">
        <f>Y57</f>
        <v/>
      </c>
      <c r="Z74" s="193">
        <f>Z57</f>
        <v/>
      </c>
      <c r="AA74" s="193">
        <f>AA57</f>
        <v/>
      </c>
      <c r="AB74" s="193">
        <f>AB57</f>
        <v/>
      </c>
      <c r="AC74" s="193">
        <f>AC57</f>
        <v/>
      </c>
      <c r="AD74" s="193">
        <f>AD57</f>
        <v/>
      </c>
      <c r="AE74" s="193">
        <f>AE57</f>
        <v/>
      </c>
      <c r="AF74" s="394" t="n"/>
      <c r="AG74" s="394" t="n"/>
      <c r="AH74" s="830" t="n"/>
    </row>
    <row r="75" hidden="1" customFormat="1" s="194">
      <c r="A75" s="394">
        <f>A58</f>
        <v/>
      </c>
      <c r="B75" s="823">
        <f>B58+C75</f>
        <v/>
      </c>
      <c r="C75" s="823">
        <f>C58+D75</f>
        <v/>
      </c>
      <c r="D75" s="823">
        <f>D58+E75</f>
        <v/>
      </c>
      <c r="E75" s="823">
        <f>E58+F75</f>
        <v/>
      </c>
      <c r="F75" s="823">
        <f>F58+G75</f>
        <v/>
      </c>
      <c r="G75" s="823">
        <f>G58+H75</f>
        <v/>
      </c>
      <c r="H75" s="823">
        <f>H58+I75</f>
        <v/>
      </c>
      <c r="I75" s="823">
        <f>I58+J75</f>
        <v/>
      </c>
      <c r="J75" s="823">
        <f>J58+K75</f>
        <v/>
      </c>
      <c r="K75" s="823">
        <f>K58+L75</f>
        <v/>
      </c>
      <c r="L75" s="823">
        <f>L58+M75</f>
        <v/>
      </c>
      <c r="M75" s="823">
        <f>M58+N75</f>
        <v/>
      </c>
      <c r="N75" s="823">
        <f>N58+O75</f>
        <v/>
      </c>
      <c r="O75" s="823">
        <f>O58+P75</f>
        <v/>
      </c>
      <c r="P75" s="823">
        <f>P58+Q75</f>
        <v/>
      </c>
      <c r="Q75" s="823">
        <f>Q58+R75</f>
        <v/>
      </c>
      <c r="R75" s="823">
        <f>R58+S75</f>
        <v/>
      </c>
      <c r="S75" s="823">
        <f>S58+T75</f>
        <v/>
      </c>
      <c r="T75" s="823">
        <f>T58+U75</f>
        <v/>
      </c>
      <c r="U75" s="823">
        <f>U58+V75</f>
        <v/>
      </c>
      <c r="V75" s="823">
        <f>V58+W75</f>
        <v/>
      </c>
      <c r="W75" s="823">
        <f>W58+X75</f>
        <v/>
      </c>
      <c r="X75" s="823">
        <f>X58+Y75</f>
        <v/>
      </c>
      <c r="Y75" s="823">
        <f>Y58+Z75</f>
        <v/>
      </c>
      <c r="Z75" s="823">
        <f>Z58+AA75</f>
        <v/>
      </c>
      <c r="AA75" s="823">
        <f>AA58+AB75</f>
        <v/>
      </c>
      <c r="AB75" s="823">
        <f>AB58+AC75</f>
        <v/>
      </c>
      <c r="AC75" s="823">
        <f>AC58+AD75</f>
        <v/>
      </c>
      <c r="AD75" s="823">
        <f>AD58+AE75</f>
        <v/>
      </c>
      <c r="AE75" s="823">
        <f>AE58</f>
        <v/>
      </c>
      <c r="AF75" s="394" t="n"/>
      <c r="AG75" s="394" t="n"/>
      <c r="AH75" s="830" t="n"/>
    </row>
    <row r="76" hidden="1" customFormat="1" s="194">
      <c r="A76" s="394">
        <f>A59</f>
        <v/>
      </c>
      <c r="B76" s="823">
        <f>B59+C76</f>
        <v/>
      </c>
      <c r="C76" s="823">
        <f>C59+D76</f>
        <v/>
      </c>
      <c r="D76" s="823">
        <f>D59+E76</f>
        <v/>
      </c>
      <c r="E76" s="823">
        <f>E59+F76</f>
        <v/>
      </c>
      <c r="F76" s="823">
        <f>F59+G76</f>
        <v/>
      </c>
      <c r="G76" s="823">
        <f>G59+H76</f>
        <v/>
      </c>
      <c r="H76" s="823">
        <f>H59+I76</f>
        <v/>
      </c>
      <c r="I76" s="823">
        <f>I59+J76</f>
        <v/>
      </c>
      <c r="J76" s="823">
        <f>J59+K76</f>
        <v/>
      </c>
      <c r="K76" s="823">
        <f>K59+L76</f>
        <v/>
      </c>
      <c r="L76" s="823">
        <f>L59+M76</f>
        <v/>
      </c>
      <c r="M76" s="823">
        <f>M59+N76</f>
        <v/>
      </c>
      <c r="N76" s="823">
        <f>N59+O76</f>
        <v/>
      </c>
      <c r="O76" s="823">
        <f>O59+P76</f>
        <v/>
      </c>
      <c r="P76" s="823">
        <f>P59+Q76</f>
        <v/>
      </c>
      <c r="Q76" s="823">
        <f>Q59+R76</f>
        <v/>
      </c>
      <c r="R76" s="823">
        <f>R59+S76</f>
        <v/>
      </c>
      <c r="S76" s="823">
        <f>S59+T76</f>
        <v/>
      </c>
      <c r="T76" s="823">
        <f>T59+U76</f>
        <v/>
      </c>
      <c r="U76" s="823">
        <f>U59+V76</f>
        <v/>
      </c>
      <c r="V76" s="823">
        <f>V59+W76</f>
        <v/>
      </c>
      <c r="W76" s="823">
        <f>W59+X76</f>
        <v/>
      </c>
      <c r="X76" s="823">
        <f>X59+Y76</f>
        <v/>
      </c>
      <c r="Y76" s="823">
        <f>Y59+Z76</f>
        <v/>
      </c>
      <c r="Z76" s="823">
        <f>Z59+AA76</f>
        <v/>
      </c>
      <c r="AA76" s="823">
        <f>AA59+AB76</f>
        <v/>
      </c>
      <c r="AB76" s="823">
        <f>AB59+AC76</f>
        <v/>
      </c>
      <c r="AC76" s="823">
        <f>AC59+AD76</f>
        <v/>
      </c>
      <c r="AD76" s="823">
        <f>AD59+AE76</f>
        <v/>
      </c>
      <c r="AE76" s="823">
        <f>AE59</f>
        <v/>
      </c>
      <c r="AF76" s="394" t="n"/>
      <c r="AG76" s="394" t="n"/>
      <c r="AH76" s="830" t="n"/>
    </row>
    <row r="77" hidden="1" customFormat="1" s="194">
      <c r="A77" s="394">
        <f>A60</f>
        <v/>
      </c>
      <c r="B77" s="823">
        <f>B60+C77</f>
        <v/>
      </c>
      <c r="C77" s="823">
        <f>C60+D77</f>
        <v/>
      </c>
      <c r="D77" s="823">
        <f>D60+E77</f>
        <v/>
      </c>
      <c r="E77" s="823">
        <f>E60+F77</f>
        <v/>
      </c>
      <c r="F77" s="823">
        <f>F60+G77</f>
        <v/>
      </c>
      <c r="G77" s="823">
        <f>G60+H77</f>
        <v/>
      </c>
      <c r="H77" s="823">
        <f>H60+I77</f>
        <v/>
      </c>
      <c r="I77" s="823">
        <f>I60+J77</f>
        <v/>
      </c>
      <c r="J77" s="823">
        <f>J60+K77</f>
        <v/>
      </c>
      <c r="K77" s="823">
        <f>K60+L77</f>
        <v/>
      </c>
      <c r="L77" s="823">
        <f>L60+M77</f>
        <v/>
      </c>
      <c r="M77" s="823">
        <f>M60+N77</f>
        <v/>
      </c>
      <c r="N77" s="823">
        <f>N60+O77</f>
        <v/>
      </c>
      <c r="O77" s="823">
        <f>O60+P77</f>
        <v/>
      </c>
      <c r="P77" s="823">
        <f>P60+Q77</f>
        <v/>
      </c>
      <c r="Q77" s="823">
        <f>Q60+R77</f>
        <v/>
      </c>
      <c r="R77" s="823">
        <f>R60+S77</f>
        <v/>
      </c>
      <c r="S77" s="823">
        <f>S60+T77</f>
        <v/>
      </c>
      <c r="T77" s="823">
        <f>T60+U77</f>
        <v/>
      </c>
      <c r="U77" s="823">
        <f>U60+V77</f>
        <v/>
      </c>
      <c r="V77" s="823">
        <f>V60+W77</f>
        <v/>
      </c>
      <c r="W77" s="823">
        <f>W60+X77</f>
        <v/>
      </c>
      <c r="X77" s="823">
        <f>X60+Y77</f>
        <v/>
      </c>
      <c r="Y77" s="823">
        <f>Y60+Z77</f>
        <v/>
      </c>
      <c r="Z77" s="823">
        <f>Z60+AA77</f>
        <v/>
      </c>
      <c r="AA77" s="823">
        <f>AA60+AB77</f>
        <v/>
      </c>
      <c r="AB77" s="823">
        <f>AB60+AC77</f>
        <v/>
      </c>
      <c r="AC77" s="823">
        <f>AC60+AD77</f>
        <v/>
      </c>
      <c r="AD77" s="823">
        <f>AD60+AE77</f>
        <v/>
      </c>
      <c r="AE77" s="823">
        <f>AE60</f>
        <v/>
      </c>
      <c r="AF77" s="394" t="n"/>
      <c r="AG77" s="394" t="n"/>
      <c r="AH77" s="830" t="n"/>
    </row>
    <row r="78" hidden="1" customFormat="1" s="194">
      <c r="A78" s="394">
        <f>A61</f>
        <v/>
      </c>
      <c r="B78" s="823">
        <f>B61+C78</f>
        <v/>
      </c>
      <c r="C78" s="823">
        <f>C61+D78</f>
        <v/>
      </c>
      <c r="D78" s="823">
        <f>D61+E78</f>
        <v/>
      </c>
      <c r="E78" s="823">
        <f>E61+F78</f>
        <v/>
      </c>
      <c r="F78" s="823">
        <f>F61+G78</f>
        <v/>
      </c>
      <c r="G78" s="823">
        <f>G61+H78</f>
        <v/>
      </c>
      <c r="H78" s="823">
        <f>H61+I78</f>
        <v/>
      </c>
      <c r="I78" s="823">
        <f>I61+J78</f>
        <v/>
      </c>
      <c r="J78" s="823">
        <f>J61+K78</f>
        <v/>
      </c>
      <c r="K78" s="823">
        <f>K61+L78</f>
        <v/>
      </c>
      <c r="L78" s="823">
        <f>L61+M78</f>
        <v/>
      </c>
      <c r="M78" s="823">
        <f>M61+N78</f>
        <v/>
      </c>
      <c r="N78" s="823">
        <f>N61+O78</f>
        <v/>
      </c>
      <c r="O78" s="823">
        <f>O61+P78</f>
        <v/>
      </c>
      <c r="P78" s="823">
        <f>P61+Q78</f>
        <v/>
      </c>
      <c r="Q78" s="823">
        <f>Q61+R78</f>
        <v/>
      </c>
      <c r="R78" s="823">
        <f>R61+S78</f>
        <v/>
      </c>
      <c r="S78" s="823">
        <f>S61+T78</f>
        <v/>
      </c>
      <c r="T78" s="823">
        <f>T61+U78</f>
        <v/>
      </c>
      <c r="U78" s="823">
        <f>U61+V78</f>
        <v/>
      </c>
      <c r="V78" s="823">
        <f>V61+W78</f>
        <v/>
      </c>
      <c r="W78" s="823">
        <f>W61+X78</f>
        <v/>
      </c>
      <c r="X78" s="823">
        <f>X61+Y78</f>
        <v/>
      </c>
      <c r="Y78" s="823">
        <f>Y61+Z78</f>
        <v/>
      </c>
      <c r="Z78" s="823">
        <f>Z61+AA78</f>
        <v/>
      </c>
      <c r="AA78" s="823">
        <f>AA61+AB78</f>
        <v/>
      </c>
      <c r="AB78" s="823">
        <f>AB61+AC78</f>
        <v/>
      </c>
      <c r="AC78" s="823">
        <f>AC61+AD78</f>
        <v/>
      </c>
      <c r="AD78" s="823">
        <f>AD61+AE78</f>
        <v/>
      </c>
      <c r="AE78" s="823">
        <f>AE61</f>
        <v/>
      </c>
      <c r="AF78" s="394" t="n"/>
      <c r="AG78" s="394" t="n"/>
      <c r="AH78" s="830" t="n"/>
    </row>
    <row r="79" hidden="1" customFormat="1" s="194">
      <c r="A79" s="394">
        <f>A62</f>
        <v/>
      </c>
      <c r="B79" s="823">
        <f>B62+C79</f>
        <v/>
      </c>
      <c r="C79" s="823">
        <f>C62+D79</f>
        <v/>
      </c>
      <c r="D79" s="823">
        <f>D62+E79</f>
        <v/>
      </c>
      <c r="E79" s="823">
        <f>E62+F79</f>
        <v/>
      </c>
      <c r="F79" s="823">
        <f>F62+G79</f>
        <v/>
      </c>
      <c r="G79" s="823">
        <f>G62+H79</f>
        <v/>
      </c>
      <c r="H79" s="823">
        <f>H62+I79</f>
        <v/>
      </c>
      <c r="I79" s="823">
        <f>I62+J79</f>
        <v/>
      </c>
      <c r="J79" s="823">
        <f>J62+K79</f>
        <v/>
      </c>
      <c r="K79" s="823">
        <f>K62+L79</f>
        <v/>
      </c>
      <c r="L79" s="823">
        <f>L62+M79</f>
        <v/>
      </c>
      <c r="M79" s="823">
        <f>M62+N79</f>
        <v/>
      </c>
      <c r="N79" s="823">
        <f>N62+O79</f>
        <v/>
      </c>
      <c r="O79" s="823">
        <f>O62+P79</f>
        <v/>
      </c>
      <c r="P79" s="823">
        <f>P62+Q79</f>
        <v/>
      </c>
      <c r="Q79" s="823">
        <f>Q62+R79</f>
        <v/>
      </c>
      <c r="R79" s="823">
        <f>R62+S79</f>
        <v/>
      </c>
      <c r="S79" s="823">
        <f>S62+T79</f>
        <v/>
      </c>
      <c r="T79" s="823">
        <f>T62+U79</f>
        <v/>
      </c>
      <c r="U79" s="823">
        <f>U62+V79</f>
        <v/>
      </c>
      <c r="V79" s="823">
        <f>V62+W79</f>
        <v/>
      </c>
      <c r="W79" s="823">
        <f>W62+X79</f>
        <v/>
      </c>
      <c r="X79" s="823">
        <f>X62+Y79</f>
        <v/>
      </c>
      <c r="Y79" s="823">
        <f>Y62+Z79</f>
        <v/>
      </c>
      <c r="Z79" s="823">
        <f>Z62+AA79</f>
        <v/>
      </c>
      <c r="AA79" s="823">
        <f>AA62+AB79</f>
        <v/>
      </c>
      <c r="AB79" s="823">
        <f>AB62+AC79</f>
        <v/>
      </c>
      <c r="AC79" s="823">
        <f>AC62+AD79</f>
        <v/>
      </c>
      <c r="AD79" s="823">
        <f>AD62+AE79</f>
        <v/>
      </c>
      <c r="AE79" s="823">
        <f>AE62</f>
        <v/>
      </c>
      <c r="AF79" s="394" t="n"/>
      <c r="AG79" s="394" t="n"/>
      <c r="AH79" s="830" t="n"/>
    </row>
    <row r="80" hidden="1" customFormat="1" s="194">
      <c r="A80" s="394">
        <f>A63</f>
        <v/>
      </c>
      <c r="B80" s="823">
        <f>B63+C80</f>
        <v/>
      </c>
      <c r="C80" s="823">
        <f>C63+D80</f>
        <v/>
      </c>
      <c r="D80" s="823">
        <f>D63+E80</f>
        <v/>
      </c>
      <c r="E80" s="823">
        <f>E63+F80</f>
        <v/>
      </c>
      <c r="F80" s="823">
        <f>F63+G80</f>
        <v/>
      </c>
      <c r="G80" s="823">
        <f>G63+H80</f>
        <v/>
      </c>
      <c r="H80" s="823">
        <f>H63+I80</f>
        <v/>
      </c>
      <c r="I80" s="823">
        <f>I63+J80</f>
        <v/>
      </c>
      <c r="J80" s="823">
        <f>J63+K80</f>
        <v/>
      </c>
      <c r="K80" s="823">
        <f>K63+L80</f>
        <v/>
      </c>
      <c r="L80" s="823">
        <f>L63+M80</f>
        <v/>
      </c>
      <c r="M80" s="823">
        <f>M63+N80</f>
        <v/>
      </c>
      <c r="N80" s="823">
        <f>N63+O80</f>
        <v/>
      </c>
      <c r="O80" s="823">
        <f>O63+P80</f>
        <v/>
      </c>
      <c r="P80" s="823">
        <f>P63+Q80</f>
        <v/>
      </c>
      <c r="Q80" s="823">
        <f>Q63+R80</f>
        <v/>
      </c>
      <c r="R80" s="823">
        <f>R63+S80</f>
        <v/>
      </c>
      <c r="S80" s="823">
        <f>S63+T80</f>
        <v/>
      </c>
      <c r="T80" s="823">
        <f>T63+U80</f>
        <v/>
      </c>
      <c r="U80" s="823">
        <f>U63+V80</f>
        <v/>
      </c>
      <c r="V80" s="823">
        <f>V63+W80</f>
        <v/>
      </c>
      <c r="W80" s="823">
        <f>W63+X80</f>
        <v/>
      </c>
      <c r="X80" s="823">
        <f>X63+Y80</f>
        <v/>
      </c>
      <c r="Y80" s="823">
        <f>Y63+Z80</f>
        <v/>
      </c>
      <c r="Z80" s="823">
        <f>Z63+AA80</f>
        <v/>
      </c>
      <c r="AA80" s="823">
        <f>AA63+AB80</f>
        <v/>
      </c>
      <c r="AB80" s="823">
        <f>AB63+AC80</f>
        <v/>
      </c>
      <c r="AC80" s="823">
        <f>AC63+AD80</f>
        <v/>
      </c>
      <c r="AD80" s="823">
        <f>AD63+AE80</f>
        <v/>
      </c>
      <c r="AE80" s="823">
        <f>AE63</f>
        <v/>
      </c>
      <c r="AF80" s="394" t="n"/>
      <c r="AG80" s="394" t="n"/>
      <c r="AH80" s="830" t="n"/>
    </row>
    <row r="81" hidden="1" customFormat="1" s="194">
      <c r="A81" s="394">
        <f>A64</f>
        <v/>
      </c>
      <c r="B81" s="823">
        <f>B64+C81</f>
        <v/>
      </c>
      <c r="C81" s="823">
        <f>C64+D81</f>
        <v/>
      </c>
      <c r="D81" s="823">
        <f>D64+E81</f>
        <v/>
      </c>
      <c r="E81" s="823">
        <f>E64+F81</f>
        <v/>
      </c>
      <c r="F81" s="823">
        <f>F64+G81</f>
        <v/>
      </c>
      <c r="G81" s="823">
        <f>G64+H81</f>
        <v/>
      </c>
      <c r="H81" s="823">
        <f>H64+I81</f>
        <v/>
      </c>
      <c r="I81" s="823">
        <f>I64+J81</f>
        <v/>
      </c>
      <c r="J81" s="823">
        <f>J64+K81</f>
        <v/>
      </c>
      <c r="K81" s="823">
        <f>K64+L81</f>
        <v/>
      </c>
      <c r="L81" s="823">
        <f>L64+M81</f>
        <v/>
      </c>
      <c r="M81" s="823">
        <f>M64+N81</f>
        <v/>
      </c>
      <c r="N81" s="823">
        <f>N64+O81</f>
        <v/>
      </c>
      <c r="O81" s="823">
        <f>O64+P81</f>
        <v/>
      </c>
      <c r="P81" s="823">
        <f>P64+Q81</f>
        <v/>
      </c>
      <c r="Q81" s="823">
        <f>Q64+R81</f>
        <v/>
      </c>
      <c r="R81" s="823">
        <f>R64+S81</f>
        <v/>
      </c>
      <c r="S81" s="823">
        <f>S64+T81</f>
        <v/>
      </c>
      <c r="T81" s="823">
        <f>T64+U81</f>
        <v/>
      </c>
      <c r="U81" s="823">
        <f>U64+V81</f>
        <v/>
      </c>
      <c r="V81" s="823">
        <f>V64+W81</f>
        <v/>
      </c>
      <c r="W81" s="823">
        <f>W64+X81</f>
        <v/>
      </c>
      <c r="X81" s="823">
        <f>X64+Y81</f>
        <v/>
      </c>
      <c r="Y81" s="823">
        <f>Y64+Z81</f>
        <v/>
      </c>
      <c r="Z81" s="823">
        <f>Z64+AA81</f>
        <v/>
      </c>
      <c r="AA81" s="823">
        <f>AA64+AB81</f>
        <v/>
      </c>
      <c r="AB81" s="823">
        <f>AB64+AC81</f>
        <v/>
      </c>
      <c r="AC81" s="823">
        <f>AC64+AD81</f>
        <v/>
      </c>
      <c r="AD81" s="823">
        <f>AD64+AE81</f>
        <v/>
      </c>
      <c r="AE81" s="823">
        <f>AE64</f>
        <v/>
      </c>
      <c r="AF81" s="394" t="n"/>
      <c r="AG81" s="394" t="n"/>
      <c r="AH81" s="830" t="n"/>
    </row>
    <row r="82" hidden="1" ht="30" customFormat="1" customHeight="1" s="194">
      <c r="A82" s="394">
        <f>A65</f>
        <v/>
      </c>
      <c r="B82" s="823">
        <f>B65+C82</f>
        <v/>
      </c>
      <c r="C82" s="823">
        <f>C65+D82</f>
        <v/>
      </c>
      <c r="D82" s="823">
        <f>D65+E82</f>
        <v/>
      </c>
      <c r="E82" s="823">
        <f>E65+F82</f>
        <v/>
      </c>
      <c r="F82" s="823">
        <f>F65+G82</f>
        <v/>
      </c>
      <c r="G82" s="823">
        <f>G65+H82</f>
        <v/>
      </c>
      <c r="H82" s="823">
        <f>H65+I82</f>
        <v/>
      </c>
      <c r="I82" s="823">
        <f>I65+J82</f>
        <v/>
      </c>
      <c r="J82" s="823">
        <f>J65+K82</f>
        <v/>
      </c>
      <c r="K82" s="823">
        <f>K65+L82</f>
        <v/>
      </c>
      <c r="L82" s="823">
        <f>L65+M82</f>
        <v/>
      </c>
      <c r="M82" s="823">
        <f>M65+N82</f>
        <v/>
      </c>
      <c r="N82" s="823">
        <f>N65+O82</f>
        <v/>
      </c>
      <c r="O82" s="823">
        <f>O65+P82</f>
        <v/>
      </c>
      <c r="P82" s="823">
        <f>P65+Q82</f>
        <v/>
      </c>
      <c r="Q82" s="823">
        <f>Q65+R82</f>
        <v/>
      </c>
      <c r="R82" s="823">
        <f>R65+S82</f>
        <v/>
      </c>
      <c r="S82" s="823">
        <f>S65+T82</f>
        <v/>
      </c>
      <c r="T82" s="823">
        <f>T65+U82</f>
        <v/>
      </c>
      <c r="U82" s="823">
        <f>U65+V82</f>
        <v/>
      </c>
      <c r="V82" s="823">
        <f>V65+W82</f>
        <v/>
      </c>
      <c r="W82" s="823">
        <f>W65+X82</f>
        <v/>
      </c>
      <c r="X82" s="823">
        <f>X65+Y82</f>
        <v/>
      </c>
      <c r="Y82" s="823">
        <f>Y65+Z82</f>
        <v/>
      </c>
      <c r="Z82" s="823">
        <f>Z65+AA82</f>
        <v/>
      </c>
      <c r="AA82" s="823">
        <f>AA65+AB82</f>
        <v/>
      </c>
      <c r="AB82" s="823">
        <f>AB65+AC82</f>
        <v/>
      </c>
      <c r="AC82" s="823">
        <f>AC65+AD82</f>
        <v/>
      </c>
      <c r="AD82" s="823">
        <f>AD65+AE82</f>
        <v/>
      </c>
      <c r="AE82" s="823">
        <f>AE65</f>
        <v/>
      </c>
      <c r="AF82" s="394" t="n"/>
      <c r="AG82" s="394" t="n"/>
      <c r="AH82" s="830" t="n"/>
    </row>
    <row r="83" hidden="1" ht="30" customFormat="1" customHeight="1" s="194">
      <c r="A83" s="394">
        <f>A66</f>
        <v/>
      </c>
      <c r="B83" s="823">
        <f>B66+C83</f>
        <v/>
      </c>
      <c r="C83" s="823">
        <f>C66+D83</f>
        <v/>
      </c>
      <c r="D83" s="823">
        <f>D66+E83</f>
        <v/>
      </c>
      <c r="E83" s="823">
        <f>E66+F83</f>
        <v/>
      </c>
      <c r="F83" s="823">
        <f>F66+G83</f>
        <v/>
      </c>
      <c r="G83" s="823">
        <f>G66+H83</f>
        <v/>
      </c>
      <c r="H83" s="823">
        <f>H66+I83</f>
        <v/>
      </c>
      <c r="I83" s="823">
        <f>I66+J83</f>
        <v/>
      </c>
      <c r="J83" s="823">
        <f>J66+K83</f>
        <v/>
      </c>
      <c r="K83" s="823">
        <f>K66+L83</f>
        <v/>
      </c>
      <c r="L83" s="823">
        <f>L66+M83</f>
        <v/>
      </c>
      <c r="M83" s="823">
        <f>M66+N83</f>
        <v/>
      </c>
      <c r="N83" s="823">
        <f>N66+O83</f>
        <v/>
      </c>
      <c r="O83" s="823">
        <f>O66+P83</f>
        <v/>
      </c>
      <c r="P83" s="823">
        <f>P66+Q83</f>
        <v/>
      </c>
      <c r="Q83" s="823">
        <f>Q66+R83</f>
        <v/>
      </c>
      <c r="R83" s="823">
        <f>R66+S83</f>
        <v/>
      </c>
      <c r="S83" s="823">
        <f>S66+T83</f>
        <v/>
      </c>
      <c r="T83" s="823">
        <f>T66+U83</f>
        <v/>
      </c>
      <c r="U83" s="823">
        <f>U66+V83</f>
        <v/>
      </c>
      <c r="V83" s="823">
        <f>V66+W83</f>
        <v/>
      </c>
      <c r="W83" s="823">
        <f>W66+X83</f>
        <v/>
      </c>
      <c r="X83" s="823">
        <f>X66+Y83</f>
        <v/>
      </c>
      <c r="Y83" s="823">
        <f>Y66+Z83</f>
        <v/>
      </c>
      <c r="Z83" s="823">
        <f>Z66+AA83</f>
        <v/>
      </c>
      <c r="AA83" s="823">
        <f>AA66+AB83</f>
        <v/>
      </c>
      <c r="AB83" s="823">
        <f>AB66+AC83</f>
        <v/>
      </c>
      <c r="AC83" s="823">
        <f>AC66+AD83</f>
        <v/>
      </c>
      <c r="AD83" s="823">
        <f>AD66+AE83</f>
        <v/>
      </c>
      <c r="AE83" s="823">
        <f>AE66</f>
        <v/>
      </c>
      <c r="AF83" s="394" t="n"/>
      <c r="AG83" s="394" t="n"/>
      <c r="AH83" s="830" t="n"/>
    </row>
    <row r="84" hidden="1" ht="30" customFormat="1" customHeight="1" s="194">
      <c r="A84" s="394">
        <f>A67</f>
        <v/>
      </c>
      <c r="B84" s="823">
        <f>B67+C84</f>
        <v/>
      </c>
      <c r="C84" s="823">
        <f>C67+D84</f>
        <v/>
      </c>
      <c r="D84" s="823">
        <f>D67+E84</f>
        <v/>
      </c>
      <c r="E84" s="823">
        <f>E67+F84</f>
        <v/>
      </c>
      <c r="F84" s="823">
        <f>F67+G84</f>
        <v/>
      </c>
      <c r="G84" s="823">
        <f>G67+H84</f>
        <v/>
      </c>
      <c r="H84" s="823">
        <f>H67+I84</f>
        <v/>
      </c>
      <c r="I84" s="823">
        <f>I67+J84</f>
        <v/>
      </c>
      <c r="J84" s="823">
        <f>J67+K84</f>
        <v/>
      </c>
      <c r="K84" s="823">
        <f>K67+L84</f>
        <v/>
      </c>
      <c r="L84" s="823">
        <f>L67+M84</f>
        <v/>
      </c>
      <c r="M84" s="823">
        <f>M67+N84</f>
        <v/>
      </c>
      <c r="N84" s="823">
        <f>N67+O84</f>
        <v/>
      </c>
      <c r="O84" s="823">
        <f>O67+P84</f>
        <v/>
      </c>
      <c r="P84" s="823">
        <f>P67+Q84</f>
        <v/>
      </c>
      <c r="Q84" s="823">
        <f>Q67+R84</f>
        <v/>
      </c>
      <c r="R84" s="823">
        <f>R67+S84</f>
        <v/>
      </c>
      <c r="S84" s="823">
        <f>S67+T84</f>
        <v/>
      </c>
      <c r="T84" s="823">
        <f>T67+U84</f>
        <v/>
      </c>
      <c r="U84" s="823">
        <f>U67+V84</f>
        <v/>
      </c>
      <c r="V84" s="823">
        <f>V67+W84</f>
        <v/>
      </c>
      <c r="W84" s="823">
        <f>W67+X84</f>
        <v/>
      </c>
      <c r="X84" s="823">
        <f>X67+Y84</f>
        <v/>
      </c>
      <c r="Y84" s="823">
        <f>Y67+Z84</f>
        <v/>
      </c>
      <c r="Z84" s="823">
        <f>Z67+AA84</f>
        <v/>
      </c>
      <c r="AA84" s="823">
        <f>AA67+AB84</f>
        <v/>
      </c>
      <c r="AB84" s="823">
        <f>AB67+AC84</f>
        <v/>
      </c>
      <c r="AC84" s="823">
        <f>AC67+AD84</f>
        <v/>
      </c>
      <c r="AD84" s="823">
        <f>AD67+AE84</f>
        <v/>
      </c>
      <c r="AE84" s="823">
        <f>AE67</f>
        <v/>
      </c>
      <c r="AF84" s="394" t="n"/>
      <c r="AG84" s="394" t="n"/>
      <c r="AH84" s="830" t="n"/>
    </row>
    <row r="85" hidden="1" ht="30" customFormat="1" customHeight="1" s="194">
      <c r="A85" s="394">
        <f>A68</f>
        <v/>
      </c>
      <c r="B85" s="823">
        <f>B68+C85</f>
        <v/>
      </c>
      <c r="C85" s="823">
        <f>C68+D85</f>
        <v/>
      </c>
      <c r="D85" s="823">
        <f>D68+E85</f>
        <v/>
      </c>
      <c r="E85" s="823">
        <f>E68+F85</f>
        <v/>
      </c>
      <c r="F85" s="823">
        <f>F68+G85</f>
        <v/>
      </c>
      <c r="G85" s="823">
        <f>G68+H85</f>
        <v/>
      </c>
      <c r="H85" s="823">
        <f>H68+I85</f>
        <v/>
      </c>
      <c r="I85" s="823">
        <f>I68+J85</f>
        <v/>
      </c>
      <c r="J85" s="823">
        <f>J68+K85</f>
        <v/>
      </c>
      <c r="K85" s="823">
        <f>K68+L85</f>
        <v/>
      </c>
      <c r="L85" s="823">
        <f>L68+M85</f>
        <v/>
      </c>
      <c r="M85" s="823">
        <f>M68+N85</f>
        <v/>
      </c>
      <c r="N85" s="823">
        <f>N68+O85</f>
        <v/>
      </c>
      <c r="O85" s="823">
        <f>O68+P85</f>
        <v/>
      </c>
      <c r="P85" s="823">
        <f>P68+Q85</f>
        <v/>
      </c>
      <c r="Q85" s="823">
        <f>Q68+R85</f>
        <v/>
      </c>
      <c r="R85" s="823">
        <f>R68+S85</f>
        <v/>
      </c>
      <c r="S85" s="823">
        <f>S68+T85</f>
        <v/>
      </c>
      <c r="T85" s="823">
        <f>T68+U85</f>
        <v/>
      </c>
      <c r="U85" s="823">
        <f>U68+V85</f>
        <v/>
      </c>
      <c r="V85" s="823">
        <f>V68+W85</f>
        <v/>
      </c>
      <c r="W85" s="823">
        <f>W68+X85</f>
        <v/>
      </c>
      <c r="X85" s="823">
        <f>X68+Y85</f>
        <v/>
      </c>
      <c r="Y85" s="823">
        <f>Y68+Z85</f>
        <v/>
      </c>
      <c r="Z85" s="823">
        <f>Z68+AA85</f>
        <v/>
      </c>
      <c r="AA85" s="823">
        <f>AA68+AB85</f>
        <v/>
      </c>
      <c r="AB85" s="823">
        <f>AB68+AC85</f>
        <v/>
      </c>
      <c r="AC85" s="823">
        <f>AC68+AD85</f>
        <v/>
      </c>
      <c r="AD85" s="823">
        <f>AD68+AE85</f>
        <v/>
      </c>
      <c r="AE85" s="823">
        <f>AE68</f>
        <v/>
      </c>
      <c r="AF85" s="394" t="n"/>
      <c r="AG85" s="394" t="n"/>
      <c r="AH85" s="830" t="n"/>
    </row>
    <row r="86" hidden="1" ht="30" customFormat="1" customHeight="1" s="194">
      <c r="A86" s="394">
        <f>A69</f>
        <v/>
      </c>
      <c r="B86" s="823">
        <f>B69+C86</f>
        <v/>
      </c>
      <c r="C86" s="823">
        <f>C69+D86</f>
        <v/>
      </c>
      <c r="D86" s="823">
        <f>D69+E86</f>
        <v/>
      </c>
      <c r="E86" s="823">
        <f>E69+F86</f>
        <v/>
      </c>
      <c r="F86" s="823">
        <f>F69+G86</f>
        <v/>
      </c>
      <c r="G86" s="823">
        <f>G69+H86</f>
        <v/>
      </c>
      <c r="H86" s="823">
        <f>H69+I86</f>
        <v/>
      </c>
      <c r="I86" s="823">
        <f>I69+J86</f>
        <v/>
      </c>
      <c r="J86" s="823">
        <f>J69+K86</f>
        <v/>
      </c>
      <c r="K86" s="823">
        <f>K69+L86</f>
        <v/>
      </c>
      <c r="L86" s="823">
        <f>L69+M86</f>
        <v/>
      </c>
      <c r="M86" s="823">
        <f>M69+N86</f>
        <v/>
      </c>
      <c r="N86" s="823">
        <f>N69+O86</f>
        <v/>
      </c>
      <c r="O86" s="823">
        <f>O69+P86</f>
        <v/>
      </c>
      <c r="P86" s="823">
        <f>P69+Q86</f>
        <v/>
      </c>
      <c r="Q86" s="823">
        <f>Q69+R86</f>
        <v/>
      </c>
      <c r="R86" s="823">
        <f>R69+S86</f>
        <v/>
      </c>
      <c r="S86" s="823">
        <f>S69+T86</f>
        <v/>
      </c>
      <c r="T86" s="823">
        <f>T69+U86</f>
        <v/>
      </c>
      <c r="U86" s="823">
        <f>U69+V86</f>
        <v/>
      </c>
      <c r="V86" s="823">
        <f>V69+W86</f>
        <v/>
      </c>
      <c r="W86" s="823">
        <f>W69+X86</f>
        <v/>
      </c>
      <c r="X86" s="823">
        <f>X69+Y86</f>
        <v/>
      </c>
      <c r="Y86" s="823">
        <f>Y69+Z86</f>
        <v/>
      </c>
      <c r="Z86" s="823">
        <f>Z69+AA86</f>
        <v/>
      </c>
      <c r="AA86" s="823">
        <f>AA69+AB86</f>
        <v/>
      </c>
      <c r="AB86" s="823">
        <f>AB69+AC86</f>
        <v/>
      </c>
      <c r="AC86" s="823">
        <f>AC69+AD86</f>
        <v/>
      </c>
      <c r="AD86" s="823">
        <f>AD69+AE86</f>
        <v/>
      </c>
      <c r="AE86" s="823">
        <f>AE69</f>
        <v/>
      </c>
      <c r="AF86" s="394" t="n"/>
      <c r="AG86" s="394" t="n"/>
      <c r="AH86" s="830" t="n"/>
    </row>
    <row r="87" hidden="1" ht="30" customFormat="1" customHeight="1" s="194">
      <c r="A87" s="398">
        <f>A70</f>
        <v/>
      </c>
      <c r="B87" s="837">
        <f>B70+C87</f>
        <v/>
      </c>
      <c r="C87" s="837">
        <f>C70+D87</f>
        <v/>
      </c>
      <c r="D87" s="837">
        <f>D70+E87</f>
        <v/>
      </c>
      <c r="E87" s="837">
        <f>E70+F87</f>
        <v/>
      </c>
      <c r="F87" s="837">
        <f>F70+G87</f>
        <v/>
      </c>
      <c r="G87" s="837">
        <f>G70+H87</f>
        <v/>
      </c>
      <c r="H87" s="837">
        <f>H70+I87</f>
        <v/>
      </c>
      <c r="I87" s="837">
        <f>I70+J87</f>
        <v/>
      </c>
      <c r="J87" s="837">
        <f>J70+K87</f>
        <v/>
      </c>
      <c r="K87" s="837">
        <f>K70+L87</f>
        <v/>
      </c>
      <c r="L87" s="837">
        <f>L70+M87</f>
        <v/>
      </c>
      <c r="M87" s="837">
        <f>M70+N87</f>
        <v/>
      </c>
      <c r="N87" s="837">
        <f>N70+O87</f>
        <v/>
      </c>
      <c r="O87" s="837">
        <f>O70+P87</f>
        <v/>
      </c>
      <c r="P87" s="837">
        <f>P70+Q87</f>
        <v/>
      </c>
      <c r="Q87" s="837">
        <f>Q70+R87</f>
        <v/>
      </c>
      <c r="R87" s="837">
        <f>R70+S87</f>
        <v/>
      </c>
      <c r="S87" s="837">
        <f>S70+T87</f>
        <v/>
      </c>
      <c r="T87" s="837">
        <f>T70+U87</f>
        <v/>
      </c>
      <c r="U87" s="837">
        <f>U70+V87</f>
        <v/>
      </c>
      <c r="V87" s="837">
        <f>V70+W87</f>
        <v/>
      </c>
      <c r="W87" s="837">
        <f>W70+X87</f>
        <v/>
      </c>
      <c r="X87" s="837">
        <f>X70+Y87</f>
        <v/>
      </c>
      <c r="Y87" s="837">
        <f>Y70+Z87</f>
        <v/>
      </c>
      <c r="Z87" s="837">
        <f>Z70+AA87</f>
        <v/>
      </c>
      <c r="AA87" s="837">
        <f>AA70+AB87</f>
        <v/>
      </c>
      <c r="AB87" s="837">
        <f>AB70+AC87</f>
        <v/>
      </c>
      <c r="AC87" s="837">
        <f>AC70+AD87</f>
        <v/>
      </c>
      <c r="AD87" s="837">
        <f>AD70+AE87</f>
        <v/>
      </c>
      <c r="AE87" s="837">
        <f>AE70</f>
        <v/>
      </c>
      <c r="AF87" s="394" t="n"/>
      <c r="AG87" s="394" t="n"/>
      <c r="AH87" s="830" t="n"/>
    </row>
    <row r="88" hidden="1" customFormat="1" s="197">
      <c r="A88" s="200" t="inlineStr">
        <is>
          <t>Total Loans</t>
        </is>
      </c>
      <c r="B88" s="838">
        <f>SUM(B75:B87)</f>
        <v/>
      </c>
      <c r="C88" s="838">
        <f>SUM(C75:C87)</f>
        <v/>
      </c>
      <c r="D88" s="838">
        <f>SUM(D75:D87)</f>
        <v/>
      </c>
      <c r="E88" s="838">
        <f>SUM(E75:E87)</f>
        <v/>
      </c>
      <c r="F88" s="838">
        <f>SUM(F75:F87)</f>
        <v/>
      </c>
      <c r="G88" s="838">
        <f>SUM(G75:G87)</f>
        <v/>
      </c>
      <c r="H88" s="838">
        <f>SUM(H75:H87)</f>
        <v/>
      </c>
      <c r="I88" s="838">
        <f>SUM(I75:I87)</f>
        <v/>
      </c>
      <c r="J88" s="838">
        <f>SUM(J75:J87)</f>
        <v/>
      </c>
      <c r="K88" s="838">
        <f>SUM(K75:K87)</f>
        <v/>
      </c>
      <c r="L88" s="838">
        <f>SUM(L75:L87)</f>
        <v/>
      </c>
      <c r="M88" s="838">
        <f>SUM(M75:M87)</f>
        <v/>
      </c>
      <c r="N88" s="838">
        <f>SUM(N75:N87)</f>
        <v/>
      </c>
      <c r="O88" s="838">
        <f>SUM(O75:O87)</f>
        <v/>
      </c>
      <c r="P88" s="838">
        <f>SUM(P75:P87)</f>
        <v/>
      </c>
      <c r="Q88" s="838">
        <f>SUM(Q75:Q87)</f>
        <v/>
      </c>
      <c r="R88" s="838">
        <f>SUM(R75:R87)</f>
        <v/>
      </c>
      <c r="S88" s="838">
        <f>SUM(S75:S87)</f>
        <v/>
      </c>
      <c r="T88" s="838">
        <f>SUM(T75:T87)</f>
        <v/>
      </c>
      <c r="U88" s="838">
        <f>SUM(U75:U87)</f>
        <v/>
      </c>
      <c r="V88" s="838">
        <f>SUM(V75:V87)</f>
        <v/>
      </c>
      <c r="W88" s="838">
        <f>SUM(W75:W87)</f>
        <v/>
      </c>
      <c r="X88" s="838">
        <f>SUM(X75:X87)</f>
        <v/>
      </c>
      <c r="Y88" s="838">
        <f>SUM(Y75:Y87)</f>
        <v/>
      </c>
      <c r="Z88" s="838">
        <f>SUM(Z75:Z87)</f>
        <v/>
      </c>
      <c r="AA88" s="838">
        <f>SUM(AA75:AA87)</f>
        <v/>
      </c>
      <c r="AB88" s="838">
        <f>SUM(AB75:AB87)</f>
        <v/>
      </c>
      <c r="AC88" s="838">
        <f>SUM(AC75:AC87)</f>
        <v/>
      </c>
      <c r="AD88" s="838">
        <f>SUM(AD75:AD87)</f>
        <v/>
      </c>
      <c r="AE88" s="838">
        <f>SUM(AE75:AE87)</f>
        <v/>
      </c>
      <c r="AF88" s="200" t="n"/>
      <c r="AG88" s="200" t="n"/>
      <c r="AH88" s="832" t="n"/>
    </row>
    <row r="89" hidden="1" s="685"/>
    <row r="91" ht="30" customHeight="1" s="685">
      <c r="A91" s="396" t="inlineStr">
        <is>
          <t>Historical Dellinquency %</t>
        </is>
      </c>
      <c r="B91" s="193">
        <f>B74</f>
        <v/>
      </c>
      <c r="C91" s="193">
        <f>C74</f>
        <v/>
      </c>
      <c r="D91" s="188">
        <f>D74</f>
        <v/>
      </c>
      <c r="E91" s="188">
        <f>E74</f>
        <v/>
      </c>
      <c r="F91" s="188">
        <f>F74</f>
        <v/>
      </c>
      <c r="G91" s="188">
        <f>G74</f>
        <v/>
      </c>
      <c r="H91" s="188">
        <f>H74</f>
        <v/>
      </c>
      <c r="I91" s="188">
        <f>I74</f>
        <v/>
      </c>
      <c r="J91" s="188">
        <f>J74</f>
        <v/>
      </c>
      <c r="K91" s="188">
        <f>K74</f>
        <v/>
      </c>
      <c r="L91" s="188">
        <f>L74</f>
        <v/>
      </c>
      <c r="M91" s="188">
        <f>M74</f>
        <v/>
      </c>
      <c r="N91" s="188">
        <f>N74</f>
        <v/>
      </c>
      <c r="O91" s="188">
        <f>O74</f>
        <v/>
      </c>
      <c r="P91" s="188">
        <f>P74</f>
        <v/>
      </c>
      <c r="Q91" s="188">
        <f>Q74</f>
        <v/>
      </c>
      <c r="R91" s="188">
        <f>R74</f>
        <v/>
      </c>
      <c r="S91" s="188">
        <f>S74</f>
        <v/>
      </c>
      <c r="T91" s="188">
        <f>T74</f>
        <v/>
      </c>
      <c r="U91" s="188">
        <f>U74</f>
        <v/>
      </c>
      <c r="V91" s="188">
        <f>V74</f>
        <v/>
      </c>
      <c r="W91" s="188">
        <f>W74</f>
        <v/>
      </c>
      <c r="X91" s="188">
        <f>X74</f>
        <v/>
      </c>
      <c r="Y91" s="188">
        <f>Y74</f>
        <v/>
      </c>
      <c r="Z91" s="188">
        <f>Z74</f>
        <v/>
      </c>
      <c r="AA91" s="188">
        <f>AA74</f>
        <v/>
      </c>
      <c r="AB91" s="188">
        <f>AB74</f>
        <v/>
      </c>
      <c r="AC91" s="188">
        <f>AC74</f>
        <v/>
      </c>
      <c r="AD91" s="188">
        <f>AD74</f>
        <v/>
      </c>
      <c r="AE91" s="188">
        <f>AE74</f>
        <v/>
      </c>
      <c r="AF91" s="413">
        <f>AF6</f>
        <v/>
      </c>
      <c r="AG91" s="413">
        <f>AG6</f>
        <v/>
      </c>
      <c r="AH91" s="839">
        <f>AH6</f>
        <v/>
      </c>
      <c r="AI91" s="385" t="inlineStr">
        <is>
          <t>Current Variance</t>
        </is>
      </c>
    </row>
    <row r="92">
      <c r="A92" s="4">
        <f>A75</f>
        <v/>
      </c>
      <c r="B92" s="244">
        <f>HLOOKUP(B$91,'Historical Data'!231:244,2,FALSE)</f>
        <v/>
      </c>
      <c r="C92" s="244">
        <f>HLOOKUP(C$91,'Historical Data'!231:244,2,FALSE)</f>
        <v/>
      </c>
      <c r="D92" s="216">
        <f>HLOOKUP(D$91,'Historical Data'!231:244,2,FALSE)</f>
        <v/>
      </c>
      <c r="E92" s="216">
        <f>HLOOKUP(E$91,'Historical Data'!231:244,2,FALSE)</f>
        <v/>
      </c>
      <c r="F92" s="216">
        <f>HLOOKUP(F$91,'Historical Data'!231:244,2,FALSE)</f>
        <v/>
      </c>
      <c r="G92" s="216">
        <f>HLOOKUP(G$91,'Historical Data'!231:244,2,FALSE)</f>
        <v/>
      </c>
      <c r="H92" s="216">
        <f>HLOOKUP(H$91,'Historical Data'!231:244,2,FALSE)</f>
        <v/>
      </c>
      <c r="I92" s="216">
        <f>HLOOKUP(I$91,'Historical Data'!231:244,2,FALSE)</f>
        <v/>
      </c>
      <c r="J92" s="216">
        <f>HLOOKUP(J$91,'Historical Data'!231:244,2,FALSE)</f>
        <v/>
      </c>
      <c r="K92" s="216">
        <f>HLOOKUP(K$91,'Historical Data'!231:244,2,FALSE)</f>
        <v/>
      </c>
      <c r="L92" s="216">
        <f>HLOOKUP(L$91,'Historical Data'!231:244,2,FALSE)</f>
        <v/>
      </c>
      <c r="M92" s="216">
        <f>HLOOKUP(M$91,'Historical Data'!231:244,2,FALSE)</f>
        <v/>
      </c>
      <c r="N92" s="216">
        <f>HLOOKUP(N$91,'Historical Data'!231:244,2,FALSE)</f>
        <v/>
      </c>
      <c r="O92" s="216">
        <f>HLOOKUP(O$91,'Historical Data'!231:244,2,FALSE)</f>
        <v/>
      </c>
      <c r="P92" s="216">
        <f>HLOOKUP(P$91,'Historical Data'!231:244,2,FALSE)</f>
        <v/>
      </c>
      <c r="Q92" s="216">
        <f>HLOOKUP(Q$91,'Historical Data'!231:244,2,FALSE)</f>
        <v/>
      </c>
      <c r="R92" s="216">
        <f>HLOOKUP(R$91,'Historical Data'!231:244,2,FALSE)</f>
        <v/>
      </c>
      <c r="S92" s="216">
        <f>HLOOKUP(S$91,'Historical Data'!231:244,2,FALSE)</f>
        <v/>
      </c>
      <c r="T92" s="216">
        <f>HLOOKUP(T$91,'Historical Data'!231:244,2,FALSE)</f>
        <v/>
      </c>
      <c r="U92" s="216">
        <f>HLOOKUP(U$91,'Historical Data'!231:244,2,FALSE)</f>
        <v/>
      </c>
      <c r="V92" s="216">
        <f>HLOOKUP(V$91,'Historical Data'!231:244,2,FALSE)</f>
        <v/>
      </c>
      <c r="W92" s="216">
        <f>HLOOKUP(W$91,'Historical Data'!231:244,2,FALSE)</f>
        <v/>
      </c>
      <c r="X92" s="216">
        <f>HLOOKUP(X$91,'Historical Data'!231:244,2,FALSE)</f>
        <v/>
      </c>
      <c r="Y92" s="216">
        <f>HLOOKUP(Y$91,'Historical Data'!231:244,2,FALSE)</f>
        <v/>
      </c>
      <c r="Z92" s="216">
        <f>HLOOKUP(Z$91,'Historical Data'!231:244,2,FALSE)</f>
        <v/>
      </c>
      <c r="AA92" s="216">
        <f>HLOOKUP(AA$91,'Historical Data'!231:244,2,FALSE)</f>
        <v/>
      </c>
      <c r="AB92" s="216">
        <f>HLOOKUP(AB$91,'Historical Data'!231:244,2,FALSE)</f>
        <v/>
      </c>
      <c r="AC92" s="216">
        <f>HLOOKUP(AC$91,'Historical Data'!231:244,2,FALSE)</f>
        <v/>
      </c>
      <c r="AD92" s="216">
        <f>HLOOKUP(AD$91,'Historical Data'!231:244,2,FALSE)</f>
        <v/>
      </c>
      <c r="AE92" s="216">
        <f>HLOOKUP(AE$91,'Historical Data'!231:244,2,FALSE)</f>
        <v/>
      </c>
      <c r="AF92" s="412">
        <f>AF7</f>
        <v/>
      </c>
      <c r="AG92" s="412">
        <f>ROUNDUP(AF92/3,0)</f>
        <v/>
      </c>
      <c r="AH92" s="448">
        <f>SUMIF($B$5:$AE$5,AG92,B109:AE109)/AG92</f>
        <v/>
      </c>
      <c r="AI92" s="449">
        <f>AE92-AH92</f>
        <v/>
      </c>
    </row>
    <row r="93">
      <c r="A93" s="4">
        <f>A76</f>
        <v/>
      </c>
      <c r="B93" s="244">
        <f>HLOOKUP(B$91,'Historical Data'!231:244,3,FALSE)</f>
        <v/>
      </c>
      <c r="C93" s="244">
        <f>HLOOKUP(C$91,'Historical Data'!231:244,3,FALSE)</f>
        <v/>
      </c>
      <c r="D93" s="216">
        <f>HLOOKUP(D$91,'Historical Data'!231:244,3,FALSE)</f>
        <v/>
      </c>
      <c r="E93" s="216">
        <f>HLOOKUP(E$91,'Historical Data'!231:244,3,FALSE)</f>
        <v/>
      </c>
      <c r="F93" s="216">
        <f>HLOOKUP(F$91,'Historical Data'!231:244,3,FALSE)</f>
        <v/>
      </c>
      <c r="G93" s="216">
        <f>HLOOKUP(G$91,'Historical Data'!231:244,3,FALSE)</f>
        <v/>
      </c>
      <c r="H93" s="216">
        <f>HLOOKUP(H$91,'Historical Data'!231:244,3,FALSE)</f>
        <v/>
      </c>
      <c r="I93" s="216">
        <f>HLOOKUP(I$91,'Historical Data'!231:244,3,FALSE)</f>
        <v/>
      </c>
      <c r="J93" s="216">
        <f>HLOOKUP(J$91,'Historical Data'!231:244,3,FALSE)</f>
        <v/>
      </c>
      <c r="K93" s="216">
        <f>HLOOKUP(K$91,'Historical Data'!231:244,3,FALSE)</f>
        <v/>
      </c>
      <c r="L93" s="216">
        <f>HLOOKUP(L$91,'Historical Data'!231:244,3,FALSE)</f>
        <v/>
      </c>
      <c r="M93" s="216">
        <f>HLOOKUP(M$91,'Historical Data'!231:244,3,FALSE)</f>
        <v/>
      </c>
      <c r="N93" s="216">
        <f>HLOOKUP(N$91,'Historical Data'!231:244,3,FALSE)</f>
        <v/>
      </c>
      <c r="O93" s="216">
        <f>HLOOKUP(O$91,'Historical Data'!231:244,3,FALSE)</f>
        <v/>
      </c>
      <c r="P93" s="216">
        <f>HLOOKUP(P$91,'Historical Data'!231:244,3,FALSE)</f>
        <v/>
      </c>
      <c r="Q93" s="216">
        <f>HLOOKUP(Q$91,'Historical Data'!231:244,3,FALSE)</f>
        <v/>
      </c>
      <c r="R93" s="216">
        <f>HLOOKUP(R$91,'Historical Data'!231:244,3,FALSE)</f>
        <v/>
      </c>
      <c r="S93" s="216">
        <f>HLOOKUP(S$91,'Historical Data'!231:244,3,FALSE)</f>
        <v/>
      </c>
      <c r="T93" s="216">
        <f>HLOOKUP(T$91,'Historical Data'!231:244,3,FALSE)</f>
        <v/>
      </c>
      <c r="U93" s="216">
        <f>HLOOKUP(U$91,'Historical Data'!231:244,3,FALSE)</f>
        <v/>
      </c>
      <c r="V93" s="216">
        <f>HLOOKUP(V$91,'Historical Data'!231:244,3,FALSE)</f>
        <v/>
      </c>
      <c r="W93" s="216">
        <f>HLOOKUP(W$91,'Historical Data'!231:244,3,FALSE)</f>
        <v/>
      </c>
      <c r="X93" s="216">
        <f>HLOOKUP(X$91,'Historical Data'!231:244,3,FALSE)</f>
        <v/>
      </c>
      <c r="Y93" s="216">
        <f>HLOOKUP(Y$91,'Historical Data'!231:244,3,FALSE)</f>
        <v/>
      </c>
      <c r="Z93" s="216">
        <f>HLOOKUP(Z$91,'Historical Data'!231:244,3,FALSE)</f>
        <v/>
      </c>
      <c r="AA93" s="216">
        <f>HLOOKUP(AA$91,'Historical Data'!231:244,3,FALSE)</f>
        <v/>
      </c>
      <c r="AB93" s="216">
        <f>HLOOKUP(AB$91,'Historical Data'!231:244,3,FALSE)</f>
        <v/>
      </c>
      <c r="AC93" s="216">
        <f>HLOOKUP(AC$91,'Historical Data'!231:244,3,FALSE)</f>
        <v/>
      </c>
      <c r="AD93" s="216">
        <f>HLOOKUP(AD$91,'Historical Data'!231:244,3,FALSE)</f>
        <v/>
      </c>
      <c r="AE93" s="216">
        <f>HLOOKUP(AE$91,'Historical Data'!231:244,3,FALSE)</f>
        <v/>
      </c>
      <c r="AF93" s="412">
        <f>AF8</f>
        <v/>
      </c>
      <c r="AG93" s="412">
        <f>ROUNDUP(AF93/3,0)</f>
        <v/>
      </c>
      <c r="AH93" s="448">
        <f>SUMIF($B$5:$AE$5,AG93,B110:AE110)/AG93</f>
        <v/>
      </c>
      <c r="AI93" s="449">
        <f>AE93-AH93</f>
        <v/>
      </c>
    </row>
    <row r="94">
      <c r="A94" s="4">
        <f>A77</f>
        <v/>
      </c>
      <c r="B94" s="244">
        <f>HLOOKUP(B$91,'Historical Data'!231:244,4,FALSE)</f>
        <v/>
      </c>
      <c r="C94" s="244">
        <f>HLOOKUP(C$91,'Historical Data'!231:244,4,FALSE)</f>
        <v/>
      </c>
      <c r="D94" s="216">
        <f>HLOOKUP(D$91,'Historical Data'!231:244,4,FALSE)</f>
        <v/>
      </c>
      <c r="E94" s="216">
        <f>HLOOKUP(E$91,'Historical Data'!231:244,4,FALSE)</f>
        <v/>
      </c>
      <c r="F94" s="216">
        <f>HLOOKUP(F$91,'Historical Data'!231:244,4,FALSE)</f>
        <v/>
      </c>
      <c r="G94" s="216">
        <f>HLOOKUP(G$91,'Historical Data'!231:244,4,FALSE)</f>
        <v/>
      </c>
      <c r="H94" s="216">
        <f>HLOOKUP(H$91,'Historical Data'!231:244,4,FALSE)</f>
        <v/>
      </c>
      <c r="I94" s="216">
        <f>HLOOKUP(I$91,'Historical Data'!231:244,4,FALSE)</f>
        <v/>
      </c>
      <c r="J94" s="216">
        <f>HLOOKUP(J$91,'Historical Data'!231:244,4,FALSE)</f>
        <v/>
      </c>
      <c r="K94" s="216">
        <f>HLOOKUP(K$91,'Historical Data'!231:244,4,FALSE)</f>
        <v/>
      </c>
      <c r="L94" s="216">
        <f>HLOOKUP(L$91,'Historical Data'!231:244,4,FALSE)</f>
        <v/>
      </c>
      <c r="M94" s="216">
        <f>HLOOKUP(M$91,'Historical Data'!231:244,4,FALSE)</f>
        <v/>
      </c>
      <c r="N94" s="216">
        <f>HLOOKUP(N$91,'Historical Data'!231:244,4,FALSE)</f>
        <v/>
      </c>
      <c r="O94" s="216">
        <f>HLOOKUP(O$91,'Historical Data'!231:244,4,FALSE)</f>
        <v/>
      </c>
      <c r="P94" s="216">
        <f>HLOOKUP(P$91,'Historical Data'!231:244,4,FALSE)</f>
        <v/>
      </c>
      <c r="Q94" s="216">
        <f>HLOOKUP(Q$91,'Historical Data'!231:244,4,FALSE)</f>
        <v/>
      </c>
      <c r="R94" s="216">
        <f>HLOOKUP(R$91,'Historical Data'!231:244,4,FALSE)</f>
        <v/>
      </c>
      <c r="S94" s="216">
        <f>HLOOKUP(S$91,'Historical Data'!231:244,4,FALSE)</f>
        <v/>
      </c>
      <c r="T94" s="216">
        <f>HLOOKUP(T$91,'Historical Data'!231:244,4,FALSE)</f>
        <v/>
      </c>
      <c r="U94" s="216">
        <f>HLOOKUP(U$91,'Historical Data'!231:244,4,FALSE)</f>
        <v/>
      </c>
      <c r="V94" s="216">
        <f>HLOOKUP(V$91,'Historical Data'!231:244,4,FALSE)</f>
        <v/>
      </c>
      <c r="W94" s="216">
        <f>HLOOKUP(W$91,'Historical Data'!231:244,4,FALSE)</f>
        <v/>
      </c>
      <c r="X94" s="216">
        <f>HLOOKUP(X$91,'Historical Data'!231:244,4,FALSE)</f>
        <v/>
      </c>
      <c r="Y94" s="216">
        <f>HLOOKUP(Y$91,'Historical Data'!231:244,4,FALSE)</f>
        <v/>
      </c>
      <c r="Z94" s="216">
        <f>HLOOKUP(Z$91,'Historical Data'!231:244,4,FALSE)</f>
        <v/>
      </c>
      <c r="AA94" s="216">
        <f>HLOOKUP(AA$91,'Historical Data'!231:244,4,FALSE)</f>
        <v/>
      </c>
      <c r="AB94" s="216">
        <f>HLOOKUP(AB$91,'Historical Data'!231:244,4,FALSE)</f>
        <v/>
      </c>
      <c r="AC94" s="216">
        <f>HLOOKUP(AC$91,'Historical Data'!231:244,4,FALSE)</f>
        <v/>
      </c>
      <c r="AD94" s="216">
        <f>HLOOKUP(AD$91,'Historical Data'!231:244,4,FALSE)</f>
        <v/>
      </c>
      <c r="AE94" s="216">
        <f>HLOOKUP(AE$91,'Historical Data'!231:244,4,FALSE)</f>
        <v/>
      </c>
      <c r="AF94" s="412">
        <f>AF9</f>
        <v/>
      </c>
      <c r="AG94" s="412">
        <f>ROUNDUP(AF94/3,0)</f>
        <v/>
      </c>
      <c r="AH94" s="448">
        <f>SUMIF($B$5:$AE$5,AG94,B111:AE111)/AG94</f>
        <v/>
      </c>
      <c r="AI94" s="449">
        <f>AE94-AH94</f>
        <v/>
      </c>
    </row>
    <row r="95">
      <c r="A95" s="4">
        <f>A78</f>
        <v/>
      </c>
      <c r="B95" s="244">
        <f>HLOOKUP(B$91,'Historical Data'!231:244,5,FALSE)</f>
        <v/>
      </c>
      <c r="C95" s="244">
        <f>HLOOKUP(C$91,'Historical Data'!231:244,5,FALSE)</f>
        <v/>
      </c>
      <c r="D95" s="216">
        <f>HLOOKUP(D$91,'Historical Data'!231:244,5,FALSE)</f>
        <v/>
      </c>
      <c r="E95" s="216">
        <f>HLOOKUP(E$91,'Historical Data'!231:244,5,FALSE)</f>
        <v/>
      </c>
      <c r="F95" s="216">
        <f>HLOOKUP(F$91,'Historical Data'!231:244,5,FALSE)</f>
        <v/>
      </c>
      <c r="G95" s="216">
        <f>HLOOKUP(G$91,'Historical Data'!231:244,5,FALSE)</f>
        <v/>
      </c>
      <c r="H95" s="216">
        <f>HLOOKUP(H$91,'Historical Data'!231:244,5,FALSE)</f>
        <v/>
      </c>
      <c r="I95" s="216">
        <f>HLOOKUP(I$91,'Historical Data'!231:244,5,FALSE)</f>
        <v/>
      </c>
      <c r="J95" s="216">
        <f>HLOOKUP(J$91,'Historical Data'!231:244,5,FALSE)</f>
        <v/>
      </c>
      <c r="K95" s="216">
        <f>HLOOKUP(K$91,'Historical Data'!231:244,5,FALSE)</f>
        <v/>
      </c>
      <c r="L95" s="216">
        <f>HLOOKUP(L$91,'Historical Data'!231:244,5,FALSE)</f>
        <v/>
      </c>
      <c r="M95" s="216">
        <f>HLOOKUP(M$91,'Historical Data'!231:244,5,FALSE)</f>
        <v/>
      </c>
      <c r="N95" s="216">
        <f>HLOOKUP(N$91,'Historical Data'!231:244,5,FALSE)</f>
        <v/>
      </c>
      <c r="O95" s="216">
        <f>HLOOKUP(O$91,'Historical Data'!231:244,5,FALSE)</f>
        <v/>
      </c>
      <c r="P95" s="216">
        <f>HLOOKUP(P$91,'Historical Data'!231:244,5,FALSE)</f>
        <v/>
      </c>
      <c r="Q95" s="216">
        <f>HLOOKUP(Q$91,'Historical Data'!231:244,5,FALSE)</f>
        <v/>
      </c>
      <c r="R95" s="216">
        <f>HLOOKUP(R$91,'Historical Data'!231:244,5,FALSE)</f>
        <v/>
      </c>
      <c r="S95" s="216">
        <f>HLOOKUP(S$91,'Historical Data'!231:244,5,FALSE)</f>
        <v/>
      </c>
      <c r="T95" s="216">
        <f>HLOOKUP(T$91,'Historical Data'!231:244,5,FALSE)</f>
        <v/>
      </c>
      <c r="U95" s="216">
        <f>HLOOKUP(U$91,'Historical Data'!231:244,5,FALSE)</f>
        <v/>
      </c>
      <c r="V95" s="216">
        <f>HLOOKUP(V$91,'Historical Data'!231:244,5,FALSE)</f>
        <v/>
      </c>
      <c r="W95" s="216">
        <f>HLOOKUP(W$91,'Historical Data'!231:244,5,FALSE)</f>
        <v/>
      </c>
      <c r="X95" s="216">
        <f>HLOOKUP(X$91,'Historical Data'!231:244,5,FALSE)</f>
        <v/>
      </c>
      <c r="Y95" s="216">
        <f>HLOOKUP(Y$91,'Historical Data'!231:244,5,FALSE)</f>
        <v/>
      </c>
      <c r="Z95" s="216">
        <f>HLOOKUP(Z$91,'Historical Data'!231:244,5,FALSE)</f>
        <v/>
      </c>
      <c r="AA95" s="216">
        <f>HLOOKUP(AA$91,'Historical Data'!231:244,5,FALSE)</f>
        <v/>
      </c>
      <c r="AB95" s="216">
        <f>HLOOKUP(AB$91,'Historical Data'!231:244,5,FALSE)</f>
        <v/>
      </c>
      <c r="AC95" s="216">
        <f>HLOOKUP(AC$91,'Historical Data'!231:244,5,FALSE)</f>
        <v/>
      </c>
      <c r="AD95" s="216">
        <f>HLOOKUP(AD$91,'Historical Data'!231:244,5,FALSE)</f>
        <v/>
      </c>
      <c r="AE95" s="216">
        <f>HLOOKUP(AE$91,'Historical Data'!231:244,5,FALSE)</f>
        <v/>
      </c>
      <c r="AF95" s="412">
        <f>AF10</f>
        <v/>
      </c>
      <c r="AG95" s="412">
        <f>ROUNDUP(AF95/3,0)</f>
        <v/>
      </c>
      <c r="AH95" s="448">
        <f>SUMIF($B$5:$AE$5,AG95,B113:AE113)/AG95</f>
        <v/>
      </c>
      <c r="AI95" s="449">
        <f>AE95-AH95</f>
        <v/>
      </c>
    </row>
    <row r="96">
      <c r="A96" s="4">
        <f>A79</f>
        <v/>
      </c>
      <c r="B96" s="244">
        <f>HLOOKUP(B$91,'Historical Data'!231:244,6,FALSE)</f>
        <v/>
      </c>
      <c r="C96" s="244">
        <f>HLOOKUP(C$91,'Historical Data'!231:244,6,FALSE)</f>
        <v/>
      </c>
      <c r="D96" s="216">
        <f>HLOOKUP(D$91,'Historical Data'!231:244,6,FALSE)</f>
        <v/>
      </c>
      <c r="E96" s="216">
        <f>HLOOKUP(E$91,'Historical Data'!231:244,6,FALSE)</f>
        <v/>
      </c>
      <c r="F96" s="216">
        <f>HLOOKUP(F$91,'Historical Data'!231:244,6,FALSE)</f>
        <v/>
      </c>
      <c r="G96" s="216">
        <f>HLOOKUP(G$91,'Historical Data'!231:244,6,FALSE)</f>
        <v/>
      </c>
      <c r="H96" s="216">
        <f>HLOOKUP(H$91,'Historical Data'!231:244,6,FALSE)</f>
        <v/>
      </c>
      <c r="I96" s="216">
        <f>HLOOKUP(I$91,'Historical Data'!231:244,6,FALSE)</f>
        <v/>
      </c>
      <c r="J96" s="216">
        <f>HLOOKUP(J$91,'Historical Data'!231:244,6,FALSE)</f>
        <v/>
      </c>
      <c r="K96" s="216">
        <f>HLOOKUP(K$91,'Historical Data'!231:244,6,FALSE)</f>
        <v/>
      </c>
      <c r="L96" s="216">
        <f>HLOOKUP(L$91,'Historical Data'!231:244,6,FALSE)</f>
        <v/>
      </c>
      <c r="M96" s="216">
        <f>HLOOKUP(M$91,'Historical Data'!231:244,6,FALSE)</f>
        <v/>
      </c>
      <c r="N96" s="216">
        <f>HLOOKUP(N$91,'Historical Data'!231:244,6,FALSE)</f>
        <v/>
      </c>
      <c r="O96" s="216">
        <f>HLOOKUP(O$91,'Historical Data'!231:244,6,FALSE)</f>
        <v/>
      </c>
      <c r="P96" s="216">
        <f>HLOOKUP(P$91,'Historical Data'!231:244,6,FALSE)</f>
        <v/>
      </c>
      <c r="Q96" s="216">
        <f>HLOOKUP(Q$91,'Historical Data'!231:244,6,FALSE)</f>
        <v/>
      </c>
      <c r="R96" s="216">
        <f>HLOOKUP(R$91,'Historical Data'!231:244,6,FALSE)</f>
        <v/>
      </c>
      <c r="S96" s="216">
        <f>HLOOKUP(S$91,'Historical Data'!231:244,6,FALSE)</f>
        <v/>
      </c>
      <c r="T96" s="216">
        <f>HLOOKUP(T$91,'Historical Data'!231:244,6,FALSE)</f>
        <v/>
      </c>
      <c r="U96" s="216">
        <f>HLOOKUP(U$91,'Historical Data'!231:244,6,FALSE)</f>
        <v/>
      </c>
      <c r="V96" s="216">
        <f>HLOOKUP(V$91,'Historical Data'!231:244,6,FALSE)</f>
        <v/>
      </c>
      <c r="W96" s="216">
        <f>HLOOKUP(W$91,'Historical Data'!231:244,6,FALSE)</f>
        <v/>
      </c>
      <c r="X96" s="216">
        <f>HLOOKUP(X$91,'Historical Data'!231:244,6,FALSE)</f>
        <v/>
      </c>
      <c r="Y96" s="216">
        <f>HLOOKUP(Y$91,'Historical Data'!231:244,6,FALSE)</f>
        <v/>
      </c>
      <c r="Z96" s="216">
        <f>HLOOKUP(Z$91,'Historical Data'!231:244,6,FALSE)</f>
        <v/>
      </c>
      <c r="AA96" s="216">
        <f>HLOOKUP(AA$91,'Historical Data'!231:244,6,FALSE)</f>
        <v/>
      </c>
      <c r="AB96" s="216">
        <f>HLOOKUP(AB$91,'Historical Data'!231:244,6,FALSE)</f>
        <v/>
      </c>
      <c r="AC96" s="216">
        <f>HLOOKUP(AC$91,'Historical Data'!231:244,6,FALSE)</f>
        <v/>
      </c>
      <c r="AD96" s="216">
        <f>HLOOKUP(AD$91,'Historical Data'!231:244,6,FALSE)</f>
        <v/>
      </c>
      <c r="AE96" s="216">
        <f>HLOOKUP(AE$91,'Historical Data'!231:244,6,FALSE)</f>
        <v/>
      </c>
      <c r="AF96" s="412">
        <f>AF11</f>
        <v/>
      </c>
      <c r="AG96" s="412">
        <f>ROUNDUP(AF96/3,0)</f>
        <v/>
      </c>
      <c r="AH96" s="448">
        <f>SUMIF($B$5:$AE$5,AG96,B113:AE113)/AG96</f>
        <v/>
      </c>
      <c r="AI96" s="449">
        <f>AE96-AH96</f>
        <v/>
      </c>
    </row>
    <row r="97">
      <c r="A97" s="4">
        <f>A80</f>
        <v/>
      </c>
      <c r="B97" s="244">
        <f>HLOOKUP(B$91,'Historical Data'!231:244,7,FALSE)</f>
        <v/>
      </c>
      <c r="C97" s="244">
        <f>HLOOKUP(C$91,'Historical Data'!231:244,7,FALSE)</f>
        <v/>
      </c>
      <c r="D97" s="216">
        <f>HLOOKUP(D$91,'Historical Data'!231:244,7,FALSE)</f>
        <v/>
      </c>
      <c r="E97" s="216">
        <f>HLOOKUP(E$91,'Historical Data'!231:244,7,FALSE)</f>
        <v/>
      </c>
      <c r="F97" s="216">
        <f>HLOOKUP(F$91,'Historical Data'!231:244,7,FALSE)</f>
        <v/>
      </c>
      <c r="G97" s="216">
        <f>HLOOKUP(G$91,'Historical Data'!231:244,7,FALSE)</f>
        <v/>
      </c>
      <c r="H97" s="216">
        <f>HLOOKUP(H$91,'Historical Data'!231:244,7,FALSE)</f>
        <v/>
      </c>
      <c r="I97" s="216">
        <f>HLOOKUP(I$91,'Historical Data'!231:244,7,FALSE)</f>
        <v/>
      </c>
      <c r="J97" s="216">
        <f>HLOOKUP(J$91,'Historical Data'!231:244,7,FALSE)</f>
        <v/>
      </c>
      <c r="K97" s="216">
        <f>HLOOKUP(K$91,'Historical Data'!231:244,7,FALSE)</f>
        <v/>
      </c>
      <c r="L97" s="216">
        <f>HLOOKUP(L$91,'Historical Data'!231:244,7,FALSE)</f>
        <v/>
      </c>
      <c r="M97" s="216">
        <f>HLOOKUP(M$91,'Historical Data'!231:244,7,FALSE)</f>
        <v/>
      </c>
      <c r="N97" s="216">
        <f>HLOOKUP(N$91,'Historical Data'!231:244,7,FALSE)</f>
        <v/>
      </c>
      <c r="O97" s="216">
        <f>HLOOKUP(O$91,'Historical Data'!231:244,7,FALSE)</f>
        <v/>
      </c>
      <c r="P97" s="216">
        <f>HLOOKUP(P$91,'Historical Data'!231:244,7,FALSE)</f>
        <v/>
      </c>
      <c r="Q97" s="216">
        <f>HLOOKUP(Q$91,'Historical Data'!231:244,7,FALSE)</f>
        <v/>
      </c>
      <c r="R97" s="216">
        <f>HLOOKUP(R$91,'Historical Data'!231:244,7,FALSE)</f>
        <v/>
      </c>
      <c r="S97" s="216">
        <f>HLOOKUP(S$91,'Historical Data'!231:244,7,FALSE)</f>
        <v/>
      </c>
      <c r="T97" s="216">
        <f>HLOOKUP(T$91,'Historical Data'!231:244,7,FALSE)</f>
        <v/>
      </c>
      <c r="U97" s="216">
        <f>HLOOKUP(U$91,'Historical Data'!231:244,7,FALSE)</f>
        <v/>
      </c>
      <c r="V97" s="216">
        <f>HLOOKUP(V$91,'Historical Data'!231:244,7,FALSE)</f>
        <v/>
      </c>
      <c r="W97" s="216">
        <f>HLOOKUP(W$91,'Historical Data'!231:244,7,FALSE)</f>
        <v/>
      </c>
      <c r="X97" s="216">
        <f>HLOOKUP(X$91,'Historical Data'!231:244,7,FALSE)</f>
        <v/>
      </c>
      <c r="Y97" s="216">
        <f>HLOOKUP(Y$91,'Historical Data'!231:244,7,FALSE)</f>
        <v/>
      </c>
      <c r="Z97" s="216">
        <f>HLOOKUP(Z$91,'Historical Data'!231:244,7,FALSE)</f>
        <v/>
      </c>
      <c r="AA97" s="216">
        <f>HLOOKUP(AA$91,'Historical Data'!231:244,7,FALSE)</f>
        <v/>
      </c>
      <c r="AB97" s="216">
        <f>HLOOKUP(AB$91,'Historical Data'!231:244,7,FALSE)</f>
        <v/>
      </c>
      <c r="AC97" s="216">
        <f>HLOOKUP(AC$91,'Historical Data'!231:244,7,FALSE)</f>
        <v/>
      </c>
      <c r="AD97" s="216">
        <f>HLOOKUP(AD$91,'Historical Data'!231:244,7,FALSE)</f>
        <v/>
      </c>
      <c r="AE97" s="216">
        <f>HLOOKUP(AE$91,'Historical Data'!231:244,7,FALSE)</f>
        <v/>
      </c>
      <c r="AF97" s="412">
        <f>AF12</f>
        <v/>
      </c>
      <c r="AG97" s="412">
        <f>ROUNDUP(AF97/3,0)</f>
        <v/>
      </c>
      <c r="AH97" s="448">
        <f>SUMIF($B$5:$AE$5,AG97,B114:AE114)/AG97</f>
        <v/>
      </c>
      <c r="AI97" s="449">
        <f>AE97-AH97</f>
        <v/>
      </c>
    </row>
    <row r="98">
      <c r="A98" s="4">
        <f>A81</f>
        <v/>
      </c>
      <c r="B98" s="244">
        <f>HLOOKUP(B$91,'Historical Data'!231:244,8,FALSE)</f>
        <v/>
      </c>
      <c r="C98" s="244">
        <f>HLOOKUP(C$91,'Historical Data'!231:244,8,FALSE)</f>
        <v/>
      </c>
      <c r="D98" s="216">
        <f>HLOOKUP(D$91,'Historical Data'!231:244,8,FALSE)</f>
        <v/>
      </c>
      <c r="E98" s="216">
        <f>HLOOKUP(E$91,'Historical Data'!231:244,8,FALSE)</f>
        <v/>
      </c>
      <c r="F98" s="216">
        <f>HLOOKUP(F$91,'Historical Data'!231:244,8,FALSE)</f>
        <v/>
      </c>
      <c r="G98" s="216">
        <f>HLOOKUP(G$91,'Historical Data'!231:244,8,FALSE)</f>
        <v/>
      </c>
      <c r="H98" s="216">
        <f>HLOOKUP(H$91,'Historical Data'!231:244,8,FALSE)</f>
        <v/>
      </c>
      <c r="I98" s="216">
        <f>HLOOKUP(I$91,'Historical Data'!231:244,8,FALSE)</f>
        <v/>
      </c>
      <c r="J98" s="216">
        <f>HLOOKUP(J$91,'Historical Data'!231:244,8,FALSE)</f>
        <v/>
      </c>
      <c r="K98" s="216">
        <f>HLOOKUP(K$91,'Historical Data'!231:244,8,FALSE)</f>
        <v/>
      </c>
      <c r="L98" s="216">
        <f>HLOOKUP(L$91,'Historical Data'!231:244,8,FALSE)</f>
        <v/>
      </c>
      <c r="M98" s="216">
        <f>HLOOKUP(M$91,'Historical Data'!231:244,8,FALSE)</f>
        <v/>
      </c>
      <c r="N98" s="216">
        <f>HLOOKUP(N$91,'Historical Data'!231:244,8,FALSE)</f>
        <v/>
      </c>
      <c r="O98" s="216">
        <f>HLOOKUP(O$91,'Historical Data'!231:244,8,FALSE)</f>
        <v/>
      </c>
      <c r="P98" s="216">
        <f>HLOOKUP(P$91,'Historical Data'!231:244,8,FALSE)</f>
        <v/>
      </c>
      <c r="Q98" s="216">
        <f>HLOOKUP(Q$91,'Historical Data'!231:244,8,FALSE)</f>
        <v/>
      </c>
      <c r="R98" s="216">
        <f>HLOOKUP(R$91,'Historical Data'!231:244,8,FALSE)</f>
        <v/>
      </c>
      <c r="S98" s="216">
        <f>HLOOKUP(S$91,'Historical Data'!231:244,8,FALSE)</f>
        <v/>
      </c>
      <c r="T98" s="216">
        <f>HLOOKUP(T$91,'Historical Data'!231:244,8,FALSE)</f>
        <v/>
      </c>
      <c r="U98" s="216">
        <f>HLOOKUP(U$91,'Historical Data'!231:244,8,FALSE)</f>
        <v/>
      </c>
      <c r="V98" s="216">
        <f>HLOOKUP(V$91,'Historical Data'!231:244,8,FALSE)</f>
        <v/>
      </c>
      <c r="W98" s="216">
        <f>HLOOKUP(W$91,'Historical Data'!231:244,8,FALSE)</f>
        <v/>
      </c>
      <c r="X98" s="216">
        <f>HLOOKUP(X$91,'Historical Data'!231:244,8,FALSE)</f>
        <v/>
      </c>
      <c r="Y98" s="216">
        <f>HLOOKUP(Y$91,'Historical Data'!231:244,8,FALSE)</f>
        <v/>
      </c>
      <c r="Z98" s="216">
        <f>HLOOKUP(Z$91,'Historical Data'!231:244,8,FALSE)</f>
        <v/>
      </c>
      <c r="AA98" s="216">
        <f>HLOOKUP(AA$91,'Historical Data'!231:244,8,FALSE)</f>
        <v/>
      </c>
      <c r="AB98" s="216">
        <f>HLOOKUP(AB$91,'Historical Data'!231:244,8,FALSE)</f>
        <v/>
      </c>
      <c r="AC98" s="216">
        <f>HLOOKUP(AC$91,'Historical Data'!231:244,8,FALSE)</f>
        <v/>
      </c>
      <c r="AD98" s="216">
        <f>HLOOKUP(AD$91,'Historical Data'!231:244,8,FALSE)</f>
        <v/>
      </c>
      <c r="AE98" s="216">
        <f>HLOOKUP(AE$91,'Historical Data'!231:244,8,FALSE)</f>
        <v/>
      </c>
      <c r="AF98" s="412">
        <f>AF13</f>
        <v/>
      </c>
      <c r="AG98" s="412">
        <f>ROUNDUP(AF98/3,0)</f>
        <v/>
      </c>
      <c r="AH98" s="448">
        <f>SUMIF($B$5:$AE$5,AG98,B115:AE115)/AG98</f>
        <v/>
      </c>
      <c r="AI98" s="449">
        <f>AE98-AH98</f>
        <v/>
      </c>
    </row>
    <row r="99" ht="30" customHeight="1" s="685">
      <c r="A99" s="4">
        <f>A82</f>
        <v/>
      </c>
      <c r="B99" s="244">
        <f>HLOOKUP(B$91,'Historical Data'!231:244,9,FALSE)</f>
        <v/>
      </c>
      <c r="C99" s="244">
        <f>HLOOKUP(C$91,'Historical Data'!231:244,9,FALSE)</f>
        <v/>
      </c>
      <c r="D99" s="216">
        <f>HLOOKUP(D$91,'Historical Data'!231:244,9,FALSE)</f>
        <v/>
      </c>
      <c r="E99" s="216">
        <f>HLOOKUP(E$91,'Historical Data'!231:244,9,FALSE)</f>
        <v/>
      </c>
      <c r="F99" s="216">
        <f>HLOOKUP(F$91,'Historical Data'!231:244,9,FALSE)</f>
        <v/>
      </c>
      <c r="G99" s="216">
        <f>HLOOKUP(G$91,'Historical Data'!231:244,9,FALSE)</f>
        <v/>
      </c>
      <c r="H99" s="216">
        <f>HLOOKUP(H$91,'Historical Data'!231:244,9,FALSE)</f>
        <v/>
      </c>
      <c r="I99" s="216">
        <f>HLOOKUP(I$91,'Historical Data'!231:244,9,FALSE)</f>
        <v/>
      </c>
      <c r="J99" s="216">
        <f>HLOOKUP(J$91,'Historical Data'!231:244,9,FALSE)</f>
        <v/>
      </c>
      <c r="K99" s="216">
        <f>HLOOKUP(K$91,'Historical Data'!231:244,9,FALSE)</f>
        <v/>
      </c>
      <c r="L99" s="216">
        <f>HLOOKUP(L$91,'Historical Data'!231:244,9,FALSE)</f>
        <v/>
      </c>
      <c r="M99" s="216">
        <f>HLOOKUP(M$91,'Historical Data'!231:244,9,FALSE)</f>
        <v/>
      </c>
      <c r="N99" s="216">
        <f>HLOOKUP(N$91,'Historical Data'!231:244,9,FALSE)</f>
        <v/>
      </c>
      <c r="O99" s="216">
        <f>HLOOKUP(O$91,'Historical Data'!231:244,9,FALSE)</f>
        <v/>
      </c>
      <c r="P99" s="216">
        <f>HLOOKUP(P$91,'Historical Data'!231:244,9,FALSE)</f>
        <v/>
      </c>
      <c r="Q99" s="216">
        <f>HLOOKUP(Q$91,'Historical Data'!231:244,9,FALSE)</f>
        <v/>
      </c>
      <c r="R99" s="216">
        <f>HLOOKUP(R$91,'Historical Data'!231:244,9,FALSE)</f>
        <v/>
      </c>
      <c r="S99" s="216">
        <f>HLOOKUP(S$91,'Historical Data'!231:244,9,FALSE)</f>
        <v/>
      </c>
      <c r="T99" s="216">
        <f>HLOOKUP(T$91,'Historical Data'!231:244,9,FALSE)</f>
        <v/>
      </c>
      <c r="U99" s="216">
        <f>HLOOKUP(U$91,'Historical Data'!231:244,9,FALSE)</f>
        <v/>
      </c>
      <c r="V99" s="216">
        <f>HLOOKUP(V$91,'Historical Data'!231:244,9,FALSE)</f>
        <v/>
      </c>
      <c r="W99" s="216">
        <f>HLOOKUP(W$91,'Historical Data'!231:244,9,FALSE)</f>
        <v/>
      </c>
      <c r="X99" s="216">
        <f>HLOOKUP(X$91,'Historical Data'!231:244,9,FALSE)</f>
        <v/>
      </c>
      <c r="Y99" s="216">
        <f>HLOOKUP(Y$91,'Historical Data'!231:244,9,FALSE)</f>
        <v/>
      </c>
      <c r="Z99" s="216">
        <f>HLOOKUP(Z$91,'Historical Data'!231:244,9,FALSE)</f>
        <v/>
      </c>
      <c r="AA99" s="216">
        <f>HLOOKUP(AA$91,'Historical Data'!231:244,9,FALSE)</f>
        <v/>
      </c>
      <c r="AB99" s="216">
        <f>HLOOKUP(AB$91,'Historical Data'!231:244,9,FALSE)</f>
        <v/>
      </c>
      <c r="AC99" s="216">
        <f>HLOOKUP(AC$91,'Historical Data'!231:244,9,FALSE)</f>
        <v/>
      </c>
      <c r="AD99" s="216">
        <f>HLOOKUP(AD$91,'Historical Data'!231:244,9,FALSE)</f>
        <v/>
      </c>
      <c r="AE99" s="216">
        <f>HLOOKUP(AE$91,'Historical Data'!231:244,9,FALSE)</f>
        <v/>
      </c>
      <c r="AF99" s="412">
        <f>AF14</f>
        <v/>
      </c>
      <c r="AG99" s="412">
        <f>ROUNDUP(AF99/3,0)</f>
        <v/>
      </c>
      <c r="AH99" s="448">
        <f>SUMIF($B$5:$AE$5,AG99,B115:AE115)/AG99</f>
        <v/>
      </c>
      <c r="AI99" s="449">
        <f>AE99-AH99</f>
        <v/>
      </c>
    </row>
    <row r="100" ht="30" customHeight="1" s="685">
      <c r="A100" s="4">
        <f>A83</f>
        <v/>
      </c>
      <c r="B100" s="244">
        <f>HLOOKUP(B$91,'Historical Data'!231:244,10,FALSE)</f>
        <v/>
      </c>
      <c r="C100" s="244">
        <f>HLOOKUP(C$91,'Historical Data'!231:244,10,FALSE)</f>
        <v/>
      </c>
      <c r="D100" s="216">
        <f>HLOOKUP(D$91,'Historical Data'!231:244,10,FALSE)</f>
        <v/>
      </c>
      <c r="E100" s="216">
        <f>HLOOKUP(E$91,'Historical Data'!231:244,10,FALSE)</f>
        <v/>
      </c>
      <c r="F100" s="216">
        <f>HLOOKUP(F$91,'Historical Data'!231:244,10,FALSE)</f>
        <v/>
      </c>
      <c r="G100" s="216">
        <f>HLOOKUP(G$91,'Historical Data'!231:244,10,FALSE)</f>
        <v/>
      </c>
      <c r="H100" s="216">
        <f>HLOOKUP(H$91,'Historical Data'!231:244,10,FALSE)</f>
        <v/>
      </c>
      <c r="I100" s="216">
        <f>HLOOKUP(I$91,'Historical Data'!231:244,10,FALSE)</f>
        <v/>
      </c>
      <c r="J100" s="216">
        <f>HLOOKUP(J$91,'Historical Data'!231:244,10,FALSE)</f>
        <v/>
      </c>
      <c r="K100" s="216">
        <f>HLOOKUP(K$91,'Historical Data'!231:244,10,FALSE)</f>
        <v/>
      </c>
      <c r="L100" s="216">
        <f>HLOOKUP(L$91,'Historical Data'!231:244,10,FALSE)</f>
        <v/>
      </c>
      <c r="M100" s="216">
        <f>HLOOKUP(M$91,'Historical Data'!231:244,10,FALSE)</f>
        <v/>
      </c>
      <c r="N100" s="216">
        <f>HLOOKUP(N$91,'Historical Data'!231:244,10,FALSE)</f>
        <v/>
      </c>
      <c r="O100" s="216">
        <f>HLOOKUP(O$91,'Historical Data'!231:244,10,FALSE)</f>
        <v/>
      </c>
      <c r="P100" s="216">
        <f>HLOOKUP(P$91,'Historical Data'!231:244,10,FALSE)</f>
        <v/>
      </c>
      <c r="Q100" s="216">
        <f>HLOOKUP(Q$91,'Historical Data'!231:244,10,FALSE)</f>
        <v/>
      </c>
      <c r="R100" s="216">
        <f>HLOOKUP(R$91,'Historical Data'!231:244,10,FALSE)</f>
        <v/>
      </c>
      <c r="S100" s="216">
        <f>HLOOKUP(S$91,'Historical Data'!231:244,10,FALSE)</f>
        <v/>
      </c>
      <c r="T100" s="216">
        <f>HLOOKUP(T$91,'Historical Data'!231:244,10,FALSE)</f>
        <v/>
      </c>
      <c r="U100" s="216">
        <f>HLOOKUP(U$91,'Historical Data'!231:244,10,FALSE)</f>
        <v/>
      </c>
      <c r="V100" s="216">
        <f>HLOOKUP(V$91,'Historical Data'!231:244,10,FALSE)</f>
        <v/>
      </c>
      <c r="W100" s="216">
        <f>HLOOKUP(W$91,'Historical Data'!231:244,10,FALSE)</f>
        <v/>
      </c>
      <c r="X100" s="216">
        <f>HLOOKUP(X$91,'Historical Data'!231:244,10,FALSE)</f>
        <v/>
      </c>
      <c r="Y100" s="216">
        <f>HLOOKUP(Y$91,'Historical Data'!231:244,10,FALSE)</f>
        <v/>
      </c>
      <c r="Z100" s="216">
        <f>HLOOKUP(Z$91,'Historical Data'!231:244,10,FALSE)</f>
        <v/>
      </c>
      <c r="AA100" s="216">
        <f>HLOOKUP(AA$91,'Historical Data'!231:244,10,FALSE)</f>
        <v/>
      </c>
      <c r="AB100" s="216">
        <f>HLOOKUP(AB$91,'Historical Data'!231:244,10,FALSE)</f>
        <v/>
      </c>
      <c r="AC100" s="216">
        <f>HLOOKUP(AC$91,'Historical Data'!231:244,10,FALSE)</f>
        <v/>
      </c>
      <c r="AD100" s="216">
        <f>HLOOKUP(AD$91,'Historical Data'!231:244,10,FALSE)</f>
        <v/>
      </c>
      <c r="AE100" s="216">
        <f>HLOOKUP(AE$91,'Historical Data'!231:244,10,FALSE)</f>
        <v/>
      </c>
      <c r="AF100" s="412">
        <f>AF15</f>
        <v/>
      </c>
      <c r="AG100" s="412">
        <f>ROUNDUP(AF100/3,0)</f>
        <v/>
      </c>
      <c r="AH100" s="448">
        <f>SUMIF($B$5:$AE$5,AG100,B117:AE117)/AG100</f>
        <v/>
      </c>
      <c r="AI100" s="449">
        <f>AE100-AH100</f>
        <v/>
      </c>
    </row>
    <row r="101" ht="30" customHeight="1" s="685">
      <c r="A101" s="4">
        <f>A84</f>
        <v/>
      </c>
      <c r="B101" s="244">
        <f>HLOOKUP(B$91,'Historical Data'!231:244,11,FALSE)</f>
        <v/>
      </c>
      <c r="C101" s="244">
        <f>HLOOKUP(C$91,'Historical Data'!231:244,11,FALSE)</f>
        <v/>
      </c>
      <c r="D101" s="216">
        <f>HLOOKUP(D$91,'Historical Data'!231:244,11,FALSE)</f>
        <v/>
      </c>
      <c r="E101" s="216">
        <f>HLOOKUP(E$91,'Historical Data'!231:244,11,FALSE)</f>
        <v/>
      </c>
      <c r="F101" s="216">
        <f>HLOOKUP(F$91,'Historical Data'!231:244,11,FALSE)</f>
        <v/>
      </c>
      <c r="G101" s="216">
        <f>HLOOKUP(G$91,'Historical Data'!231:244,11,FALSE)</f>
        <v/>
      </c>
      <c r="H101" s="216">
        <f>HLOOKUP(H$91,'Historical Data'!231:244,11,FALSE)</f>
        <v/>
      </c>
      <c r="I101" s="216">
        <f>HLOOKUP(I$91,'Historical Data'!231:244,11,FALSE)</f>
        <v/>
      </c>
      <c r="J101" s="216">
        <f>HLOOKUP(J$91,'Historical Data'!231:244,11,FALSE)</f>
        <v/>
      </c>
      <c r="K101" s="216">
        <f>HLOOKUP(K$91,'Historical Data'!231:244,11,FALSE)</f>
        <v/>
      </c>
      <c r="L101" s="216">
        <f>HLOOKUP(L$91,'Historical Data'!231:244,11,FALSE)</f>
        <v/>
      </c>
      <c r="M101" s="216">
        <f>HLOOKUP(M$91,'Historical Data'!231:244,11,FALSE)</f>
        <v/>
      </c>
      <c r="N101" s="216">
        <f>HLOOKUP(N$91,'Historical Data'!231:244,11,FALSE)</f>
        <v/>
      </c>
      <c r="O101" s="216">
        <f>HLOOKUP(O$91,'Historical Data'!231:244,11,FALSE)</f>
        <v/>
      </c>
      <c r="P101" s="216">
        <f>HLOOKUP(P$91,'Historical Data'!231:244,11,FALSE)</f>
        <v/>
      </c>
      <c r="Q101" s="216">
        <f>HLOOKUP(Q$91,'Historical Data'!231:244,11,FALSE)</f>
        <v/>
      </c>
      <c r="R101" s="216">
        <f>HLOOKUP(R$91,'Historical Data'!231:244,11,FALSE)</f>
        <v/>
      </c>
      <c r="S101" s="216">
        <f>HLOOKUP(S$91,'Historical Data'!231:244,11,FALSE)</f>
        <v/>
      </c>
      <c r="T101" s="216">
        <f>HLOOKUP(T$91,'Historical Data'!231:244,11,FALSE)</f>
        <v/>
      </c>
      <c r="U101" s="216">
        <f>HLOOKUP(U$91,'Historical Data'!231:244,11,FALSE)</f>
        <v/>
      </c>
      <c r="V101" s="216">
        <f>HLOOKUP(V$91,'Historical Data'!231:244,11,FALSE)</f>
        <v/>
      </c>
      <c r="W101" s="216">
        <f>HLOOKUP(W$91,'Historical Data'!231:244,11,FALSE)</f>
        <v/>
      </c>
      <c r="X101" s="216">
        <f>HLOOKUP(X$91,'Historical Data'!231:244,11,FALSE)</f>
        <v/>
      </c>
      <c r="Y101" s="216">
        <f>HLOOKUP(Y$91,'Historical Data'!231:244,11,FALSE)</f>
        <v/>
      </c>
      <c r="Z101" s="216">
        <f>HLOOKUP(Z$91,'Historical Data'!231:244,11,FALSE)</f>
        <v/>
      </c>
      <c r="AA101" s="216">
        <f>HLOOKUP(AA$91,'Historical Data'!231:244,11,FALSE)</f>
        <v/>
      </c>
      <c r="AB101" s="216">
        <f>HLOOKUP(AB$91,'Historical Data'!231:244,11,FALSE)</f>
        <v/>
      </c>
      <c r="AC101" s="216">
        <f>HLOOKUP(AC$91,'Historical Data'!231:244,11,FALSE)</f>
        <v/>
      </c>
      <c r="AD101" s="216">
        <f>HLOOKUP(AD$91,'Historical Data'!231:244,11,FALSE)</f>
        <v/>
      </c>
      <c r="AE101" s="216">
        <f>HLOOKUP(AE$91,'Historical Data'!231:244,11,FALSE)</f>
        <v/>
      </c>
      <c r="AF101" s="412">
        <f>AF16</f>
        <v/>
      </c>
      <c r="AG101" s="412">
        <f>ROUNDUP(AF101/3,0)</f>
        <v/>
      </c>
      <c r="AH101" s="448">
        <f>SUMIF($B$5:$AE$5,AG101,B118:AE118)/AG101</f>
        <v/>
      </c>
      <c r="AI101" s="449">
        <f>AE101-AH101</f>
        <v/>
      </c>
    </row>
    <row r="102" ht="30" customHeight="1" s="685">
      <c r="A102" s="4">
        <f>A85</f>
        <v/>
      </c>
      <c r="B102" s="244">
        <f>HLOOKUP(B$91,'Historical Data'!231:244,12,FALSE)</f>
        <v/>
      </c>
      <c r="C102" s="244">
        <f>HLOOKUP(C$91,'Historical Data'!231:244,12,FALSE)</f>
        <v/>
      </c>
      <c r="D102" s="216">
        <f>HLOOKUP(D$91,'Historical Data'!231:244,12,FALSE)</f>
        <v/>
      </c>
      <c r="E102" s="216">
        <f>HLOOKUP(E$91,'Historical Data'!231:244,12,FALSE)</f>
        <v/>
      </c>
      <c r="F102" s="216">
        <f>HLOOKUP(F$91,'Historical Data'!231:244,12,FALSE)</f>
        <v/>
      </c>
      <c r="G102" s="216">
        <f>HLOOKUP(G$91,'Historical Data'!231:244,12,FALSE)</f>
        <v/>
      </c>
      <c r="H102" s="216">
        <f>HLOOKUP(H$91,'Historical Data'!231:244,12,FALSE)</f>
        <v/>
      </c>
      <c r="I102" s="216">
        <f>HLOOKUP(I$91,'Historical Data'!231:244,12,FALSE)</f>
        <v/>
      </c>
      <c r="J102" s="216">
        <f>HLOOKUP(J$91,'Historical Data'!231:244,12,FALSE)</f>
        <v/>
      </c>
      <c r="K102" s="216">
        <f>HLOOKUP(K$91,'Historical Data'!231:244,12,FALSE)</f>
        <v/>
      </c>
      <c r="L102" s="216">
        <f>HLOOKUP(L$91,'Historical Data'!231:244,12,FALSE)</f>
        <v/>
      </c>
      <c r="M102" s="216">
        <f>HLOOKUP(M$91,'Historical Data'!231:244,12,FALSE)</f>
        <v/>
      </c>
      <c r="N102" s="216">
        <f>HLOOKUP(N$91,'Historical Data'!231:244,12,FALSE)</f>
        <v/>
      </c>
      <c r="O102" s="216">
        <f>HLOOKUP(O$91,'Historical Data'!231:244,12,FALSE)</f>
        <v/>
      </c>
      <c r="P102" s="216">
        <f>HLOOKUP(P$91,'Historical Data'!231:244,12,FALSE)</f>
        <v/>
      </c>
      <c r="Q102" s="216">
        <f>HLOOKUP(Q$91,'Historical Data'!231:244,12,FALSE)</f>
        <v/>
      </c>
      <c r="R102" s="216">
        <f>HLOOKUP(R$91,'Historical Data'!231:244,12,FALSE)</f>
        <v/>
      </c>
      <c r="S102" s="216">
        <f>HLOOKUP(S$91,'Historical Data'!231:244,12,FALSE)</f>
        <v/>
      </c>
      <c r="T102" s="216">
        <f>HLOOKUP(T$91,'Historical Data'!231:244,12,FALSE)</f>
        <v/>
      </c>
      <c r="U102" s="216">
        <f>HLOOKUP(U$91,'Historical Data'!231:244,12,FALSE)</f>
        <v/>
      </c>
      <c r="V102" s="216">
        <f>HLOOKUP(V$91,'Historical Data'!231:244,12,FALSE)</f>
        <v/>
      </c>
      <c r="W102" s="216">
        <f>HLOOKUP(W$91,'Historical Data'!231:244,12,FALSE)</f>
        <v/>
      </c>
      <c r="X102" s="216">
        <f>HLOOKUP(X$91,'Historical Data'!231:244,12,FALSE)</f>
        <v/>
      </c>
      <c r="Y102" s="216">
        <f>HLOOKUP(Y$91,'Historical Data'!231:244,12,FALSE)</f>
        <v/>
      </c>
      <c r="Z102" s="216">
        <f>HLOOKUP(Z$91,'Historical Data'!231:244,12,FALSE)</f>
        <v/>
      </c>
      <c r="AA102" s="216">
        <f>HLOOKUP(AA$91,'Historical Data'!231:244,12,FALSE)</f>
        <v/>
      </c>
      <c r="AB102" s="216">
        <f>HLOOKUP(AB$91,'Historical Data'!231:244,12,FALSE)</f>
        <v/>
      </c>
      <c r="AC102" s="216">
        <f>HLOOKUP(AC$91,'Historical Data'!231:244,12,FALSE)</f>
        <v/>
      </c>
      <c r="AD102" s="216">
        <f>HLOOKUP(AD$91,'Historical Data'!231:244,12,FALSE)</f>
        <v/>
      </c>
      <c r="AE102" s="216">
        <f>HLOOKUP(AE$91,'Historical Data'!231:244,12,FALSE)</f>
        <v/>
      </c>
      <c r="AF102" s="412">
        <f>AF17</f>
        <v/>
      </c>
      <c r="AG102" s="412">
        <f>ROUNDUP(AF102/3,0)</f>
        <v/>
      </c>
      <c r="AH102" s="448">
        <f>SUMIF($B$5:$AE$5,AG102,B119:AE119)/AG102</f>
        <v/>
      </c>
      <c r="AI102" s="449">
        <f>AE102-AH102</f>
        <v/>
      </c>
    </row>
    <row r="103" ht="30" customHeight="1" s="685">
      <c r="A103" s="4">
        <f>A86</f>
        <v/>
      </c>
      <c r="B103" s="244">
        <f>HLOOKUP(B$91,'Historical Data'!231:244,13,FALSE)</f>
        <v/>
      </c>
      <c r="C103" s="244">
        <f>HLOOKUP(C$91,'Historical Data'!231:244,13,FALSE)</f>
        <v/>
      </c>
      <c r="D103" s="216">
        <f>HLOOKUP(D$91,'Historical Data'!231:244,13,FALSE)</f>
        <v/>
      </c>
      <c r="E103" s="216">
        <f>HLOOKUP(E$91,'Historical Data'!231:244,13,FALSE)</f>
        <v/>
      </c>
      <c r="F103" s="216">
        <f>HLOOKUP(F$91,'Historical Data'!231:244,13,FALSE)</f>
        <v/>
      </c>
      <c r="G103" s="216">
        <f>HLOOKUP(G$91,'Historical Data'!231:244,13,FALSE)</f>
        <v/>
      </c>
      <c r="H103" s="216">
        <f>HLOOKUP(H$91,'Historical Data'!231:244,13,FALSE)</f>
        <v/>
      </c>
      <c r="I103" s="216">
        <f>HLOOKUP(I$91,'Historical Data'!231:244,13,FALSE)</f>
        <v/>
      </c>
      <c r="J103" s="216">
        <f>HLOOKUP(J$91,'Historical Data'!231:244,13,FALSE)</f>
        <v/>
      </c>
      <c r="K103" s="216">
        <f>HLOOKUP(K$91,'Historical Data'!231:244,13,FALSE)</f>
        <v/>
      </c>
      <c r="L103" s="216">
        <f>HLOOKUP(L$91,'Historical Data'!231:244,13,FALSE)</f>
        <v/>
      </c>
      <c r="M103" s="216">
        <f>HLOOKUP(M$91,'Historical Data'!231:244,13,FALSE)</f>
        <v/>
      </c>
      <c r="N103" s="216">
        <f>HLOOKUP(N$91,'Historical Data'!231:244,13,FALSE)</f>
        <v/>
      </c>
      <c r="O103" s="216">
        <f>HLOOKUP(O$91,'Historical Data'!231:244,13,FALSE)</f>
        <v/>
      </c>
      <c r="P103" s="216">
        <f>HLOOKUP(P$91,'Historical Data'!231:244,13,FALSE)</f>
        <v/>
      </c>
      <c r="Q103" s="216">
        <f>HLOOKUP(Q$91,'Historical Data'!231:244,13,FALSE)</f>
        <v/>
      </c>
      <c r="R103" s="216">
        <f>HLOOKUP(R$91,'Historical Data'!231:244,13,FALSE)</f>
        <v/>
      </c>
      <c r="S103" s="216">
        <f>HLOOKUP(S$91,'Historical Data'!231:244,13,FALSE)</f>
        <v/>
      </c>
      <c r="T103" s="216">
        <f>HLOOKUP(T$91,'Historical Data'!231:244,13,FALSE)</f>
        <v/>
      </c>
      <c r="U103" s="216">
        <f>HLOOKUP(U$91,'Historical Data'!231:244,13,FALSE)</f>
        <v/>
      </c>
      <c r="V103" s="216">
        <f>HLOOKUP(V$91,'Historical Data'!231:244,13,FALSE)</f>
        <v/>
      </c>
      <c r="W103" s="216">
        <f>HLOOKUP(W$91,'Historical Data'!231:244,13,FALSE)</f>
        <v/>
      </c>
      <c r="X103" s="216">
        <f>HLOOKUP(X$91,'Historical Data'!231:244,13,FALSE)</f>
        <v/>
      </c>
      <c r="Y103" s="216">
        <f>HLOOKUP(Y$91,'Historical Data'!231:244,13,FALSE)</f>
        <v/>
      </c>
      <c r="Z103" s="216">
        <f>HLOOKUP(Z$91,'Historical Data'!231:244,13,FALSE)</f>
        <v/>
      </c>
      <c r="AA103" s="216">
        <f>HLOOKUP(AA$91,'Historical Data'!231:244,13,FALSE)</f>
        <v/>
      </c>
      <c r="AB103" s="216">
        <f>HLOOKUP(AB$91,'Historical Data'!231:244,13,FALSE)</f>
        <v/>
      </c>
      <c r="AC103" s="216">
        <f>HLOOKUP(AC$91,'Historical Data'!231:244,13,FALSE)</f>
        <v/>
      </c>
      <c r="AD103" s="216">
        <f>HLOOKUP(AD$91,'Historical Data'!231:244,13,FALSE)</f>
        <v/>
      </c>
      <c r="AE103" s="216">
        <f>HLOOKUP(AE$91,'Historical Data'!231:244,13,FALSE)</f>
        <v/>
      </c>
      <c r="AF103" s="412">
        <f>AF18</f>
        <v/>
      </c>
      <c r="AG103" s="412">
        <f>ROUNDUP(AF103/3,0)</f>
        <v/>
      </c>
      <c r="AH103" s="448">
        <f>SUMIF($B$5:$AE$5,AG103,B124:AE124)/AG103</f>
        <v/>
      </c>
      <c r="AI103" s="449">
        <f>AE103-AH103</f>
        <v/>
      </c>
    </row>
    <row r="104" ht="30" customHeight="1" s="685">
      <c r="A104" s="399">
        <f>A87</f>
        <v/>
      </c>
      <c r="B104" s="245">
        <f>HLOOKUP(B$91,'Historical Data'!231:244,14,FALSE)</f>
        <v/>
      </c>
      <c r="C104" s="245">
        <f>HLOOKUP(C$91,'Historical Data'!231:244,14,FALSE)</f>
        <v/>
      </c>
      <c r="D104" s="322">
        <f>HLOOKUP(D$91,'Historical Data'!231:244,14,FALSE)</f>
        <v/>
      </c>
      <c r="E104" s="322">
        <f>HLOOKUP(E$91,'Historical Data'!231:244,14,FALSE)</f>
        <v/>
      </c>
      <c r="F104" s="322">
        <f>HLOOKUP(F$91,'Historical Data'!231:244,14,FALSE)</f>
        <v/>
      </c>
      <c r="G104" s="322">
        <f>HLOOKUP(G$91,'Historical Data'!231:244,14,FALSE)</f>
        <v/>
      </c>
      <c r="H104" s="322">
        <f>HLOOKUP(H$91,'Historical Data'!231:244,14,FALSE)</f>
        <v/>
      </c>
      <c r="I104" s="322">
        <f>HLOOKUP(I$91,'Historical Data'!231:244,14,FALSE)</f>
        <v/>
      </c>
      <c r="J104" s="322">
        <f>HLOOKUP(J$91,'Historical Data'!231:244,14,FALSE)</f>
        <v/>
      </c>
      <c r="K104" s="322">
        <f>HLOOKUP(K$91,'Historical Data'!231:244,14,FALSE)</f>
        <v/>
      </c>
      <c r="L104" s="322">
        <f>HLOOKUP(L$91,'Historical Data'!231:244,14,FALSE)</f>
        <v/>
      </c>
      <c r="M104" s="322">
        <f>HLOOKUP(M$91,'Historical Data'!231:244,14,FALSE)</f>
        <v/>
      </c>
      <c r="N104" s="322">
        <f>HLOOKUP(N$91,'Historical Data'!231:244,14,FALSE)</f>
        <v/>
      </c>
      <c r="O104" s="322">
        <f>HLOOKUP(O$91,'Historical Data'!231:244,14,FALSE)</f>
        <v/>
      </c>
      <c r="P104" s="322">
        <f>HLOOKUP(P$91,'Historical Data'!231:244,14,FALSE)</f>
        <v/>
      </c>
      <c r="Q104" s="322">
        <f>HLOOKUP(Q$91,'Historical Data'!231:244,14,FALSE)</f>
        <v/>
      </c>
      <c r="R104" s="322">
        <f>HLOOKUP(R$91,'Historical Data'!231:244,14,FALSE)</f>
        <v/>
      </c>
      <c r="S104" s="322">
        <f>HLOOKUP(S$91,'Historical Data'!231:244,14,FALSE)</f>
        <v/>
      </c>
      <c r="T104" s="322">
        <f>HLOOKUP(T$91,'Historical Data'!231:244,14,FALSE)</f>
        <v/>
      </c>
      <c r="U104" s="322">
        <f>HLOOKUP(U$91,'Historical Data'!231:244,14,FALSE)</f>
        <v/>
      </c>
      <c r="V104" s="322">
        <f>HLOOKUP(V$91,'Historical Data'!231:244,14,FALSE)</f>
        <v/>
      </c>
      <c r="W104" s="322">
        <f>HLOOKUP(W$91,'Historical Data'!231:244,14,FALSE)</f>
        <v/>
      </c>
      <c r="X104" s="322">
        <f>HLOOKUP(X$91,'Historical Data'!231:244,14,FALSE)</f>
        <v/>
      </c>
      <c r="Y104" s="322">
        <f>HLOOKUP(Y$91,'Historical Data'!231:244,14,FALSE)</f>
        <v/>
      </c>
      <c r="Z104" s="322">
        <f>HLOOKUP(Z$91,'Historical Data'!231:244,14,FALSE)</f>
        <v/>
      </c>
      <c r="AA104" s="322">
        <f>HLOOKUP(AA$91,'Historical Data'!231:244,14,FALSE)</f>
        <v/>
      </c>
      <c r="AB104" s="322">
        <f>HLOOKUP(AB$91,'Historical Data'!231:244,14,FALSE)</f>
        <v/>
      </c>
      <c r="AC104" s="322">
        <f>HLOOKUP(AC$91,'Historical Data'!231:244,14,FALSE)</f>
        <v/>
      </c>
      <c r="AD104" s="322">
        <f>HLOOKUP(AD$91,'Historical Data'!231:244,14,FALSE)</f>
        <v/>
      </c>
      <c r="AE104" s="322">
        <f>HLOOKUP(AE$91,'Historical Data'!231:244,14,FALSE)</f>
        <v/>
      </c>
      <c r="AF104" s="391">
        <f>AF19</f>
        <v/>
      </c>
      <c r="AG104" s="391">
        <f>ROUNDUP(AF104/3,0)</f>
        <v/>
      </c>
      <c r="AH104" s="450">
        <f>SUMIF($B$5:$AE$5,AG104,B125:AE125)/AG104</f>
        <v/>
      </c>
      <c r="AI104" s="451">
        <f>AE104-AH104</f>
        <v/>
      </c>
    </row>
    <row r="108" customFormat="1" s="194">
      <c r="A108" s="393" t="inlineStr">
        <is>
          <t>Cumlative Delinquencies</t>
        </is>
      </c>
      <c r="B108" s="193">
        <f>B91</f>
        <v/>
      </c>
      <c r="C108" s="193">
        <f>C91</f>
        <v/>
      </c>
      <c r="D108" s="193">
        <f>D91</f>
        <v/>
      </c>
      <c r="E108" s="193">
        <f>E91</f>
        <v/>
      </c>
      <c r="F108" s="193">
        <f>F91</f>
        <v/>
      </c>
      <c r="G108" s="193">
        <f>G91</f>
        <v/>
      </c>
      <c r="H108" s="193">
        <f>H91</f>
        <v/>
      </c>
      <c r="I108" s="193">
        <f>I91</f>
        <v/>
      </c>
      <c r="J108" s="193">
        <f>J91</f>
        <v/>
      </c>
      <c r="K108" s="193">
        <f>K91</f>
        <v/>
      </c>
      <c r="L108" s="193">
        <f>L91</f>
        <v/>
      </c>
      <c r="M108" s="193">
        <f>M91</f>
        <v/>
      </c>
      <c r="N108" s="193">
        <f>N91</f>
        <v/>
      </c>
      <c r="O108" s="193">
        <f>O91</f>
        <v/>
      </c>
      <c r="P108" s="193">
        <f>P91</f>
        <v/>
      </c>
      <c r="Q108" s="193">
        <f>Q91</f>
        <v/>
      </c>
      <c r="R108" s="193">
        <f>R91</f>
        <v/>
      </c>
      <c r="S108" s="193">
        <f>S91</f>
        <v/>
      </c>
      <c r="T108" s="193">
        <f>T91</f>
        <v/>
      </c>
      <c r="U108" s="193">
        <f>U91</f>
        <v/>
      </c>
      <c r="V108" s="193">
        <f>V91</f>
        <v/>
      </c>
      <c r="W108" s="193">
        <f>W91</f>
        <v/>
      </c>
      <c r="X108" s="193">
        <f>X91</f>
        <v/>
      </c>
      <c r="Y108" s="193">
        <f>Y91</f>
        <v/>
      </c>
      <c r="Z108" s="193">
        <f>Z91</f>
        <v/>
      </c>
      <c r="AA108" s="193">
        <f>AA91</f>
        <v/>
      </c>
      <c r="AB108" s="193">
        <f>AB91</f>
        <v/>
      </c>
      <c r="AC108" s="193">
        <f>AC91</f>
        <v/>
      </c>
      <c r="AD108" s="193">
        <f>AD91</f>
        <v/>
      </c>
      <c r="AE108" s="193">
        <f>AE91</f>
        <v/>
      </c>
      <c r="AF108" s="394" t="n"/>
      <c r="AG108" s="394" t="n"/>
      <c r="AH108" s="830" t="n"/>
    </row>
    <row r="109" customFormat="1" s="194">
      <c r="A109" s="394">
        <f>A92</f>
        <v/>
      </c>
      <c r="B109" s="241">
        <f>B92+C109</f>
        <v/>
      </c>
      <c r="C109" s="241">
        <f>C92+D109</f>
        <v/>
      </c>
      <c r="D109" s="241">
        <f>D92+E109</f>
        <v/>
      </c>
      <c r="E109" s="241">
        <f>E92+F109</f>
        <v/>
      </c>
      <c r="F109" s="241">
        <f>F92+G109</f>
        <v/>
      </c>
      <c r="G109" s="241">
        <f>G92+H109</f>
        <v/>
      </c>
      <c r="H109" s="241">
        <f>H92+I109</f>
        <v/>
      </c>
      <c r="I109" s="241">
        <f>I92+J109</f>
        <v/>
      </c>
      <c r="J109" s="241">
        <f>J92+K109</f>
        <v/>
      </c>
      <c r="K109" s="241">
        <f>K92+L109</f>
        <v/>
      </c>
      <c r="L109" s="241">
        <f>L92+M109</f>
        <v/>
      </c>
      <c r="M109" s="241">
        <f>M92+N109</f>
        <v/>
      </c>
      <c r="N109" s="241">
        <f>N92+O109</f>
        <v/>
      </c>
      <c r="O109" s="241">
        <f>O92+P109</f>
        <v/>
      </c>
      <c r="P109" s="241">
        <f>P92+Q109</f>
        <v/>
      </c>
      <c r="Q109" s="241">
        <f>Q92+R109</f>
        <v/>
      </c>
      <c r="R109" s="241">
        <f>R92+S109</f>
        <v/>
      </c>
      <c r="S109" s="241">
        <f>S92+T109</f>
        <v/>
      </c>
      <c r="T109" s="241">
        <f>T92+U109</f>
        <v/>
      </c>
      <c r="U109" s="241">
        <f>U92+V109</f>
        <v/>
      </c>
      <c r="V109" s="241">
        <f>V92+W109</f>
        <v/>
      </c>
      <c r="W109" s="241">
        <f>W92+X109</f>
        <v/>
      </c>
      <c r="X109" s="241">
        <f>X92+Y109</f>
        <v/>
      </c>
      <c r="Y109" s="241">
        <f>Y92+Z109</f>
        <v/>
      </c>
      <c r="Z109" s="241">
        <f>Z92+AA109</f>
        <v/>
      </c>
      <c r="AA109" s="241">
        <f>AA92+AB109</f>
        <v/>
      </c>
      <c r="AB109" s="241">
        <f>AB92+AC109</f>
        <v/>
      </c>
      <c r="AC109" s="241">
        <f>AC92+AD109</f>
        <v/>
      </c>
      <c r="AD109" s="241">
        <f>AD92+AE109</f>
        <v/>
      </c>
      <c r="AE109" s="244">
        <f>AE92</f>
        <v/>
      </c>
      <c r="AF109" s="394" t="n"/>
      <c r="AG109" s="394" t="n"/>
      <c r="AH109" s="830" t="n"/>
    </row>
    <row r="110" customFormat="1" s="194">
      <c r="A110" s="394">
        <f>A93</f>
        <v/>
      </c>
      <c r="B110" s="241">
        <f>B93+C110</f>
        <v/>
      </c>
      <c r="C110" s="241">
        <f>C93+D110</f>
        <v/>
      </c>
      <c r="D110" s="241">
        <f>D93+E110</f>
        <v/>
      </c>
      <c r="E110" s="241">
        <f>E93+F110</f>
        <v/>
      </c>
      <c r="F110" s="241">
        <f>F93+G110</f>
        <v/>
      </c>
      <c r="G110" s="241">
        <f>G93+H110</f>
        <v/>
      </c>
      <c r="H110" s="241">
        <f>H93+I110</f>
        <v/>
      </c>
      <c r="I110" s="241">
        <f>I93+J110</f>
        <v/>
      </c>
      <c r="J110" s="241">
        <f>J93+K110</f>
        <v/>
      </c>
      <c r="K110" s="241">
        <f>K93+L110</f>
        <v/>
      </c>
      <c r="L110" s="241">
        <f>L93+M110</f>
        <v/>
      </c>
      <c r="M110" s="241">
        <f>M93+N110</f>
        <v/>
      </c>
      <c r="N110" s="241">
        <f>N93+O110</f>
        <v/>
      </c>
      <c r="O110" s="241">
        <f>O93+P110</f>
        <v/>
      </c>
      <c r="P110" s="241">
        <f>P93+Q110</f>
        <v/>
      </c>
      <c r="Q110" s="241">
        <f>Q93+R110</f>
        <v/>
      </c>
      <c r="R110" s="241">
        <f>R93+S110</f>
        <v/>
      </c>
      <c r="S110" s="241">
        <f>S93+T110</f>
        <v/>
      </c>
      <c r="T110" s="241">
        <f>T93+U110</f>
        <v/>
      </c>
      <c r="U110" s="241">
        <f>U93+V110</f>
        <v/>
      </c>
      <c r="V110" s="241">
        <f>V93+W110</f>
        <v/>
      </c>
      <c r="W110" s="241">
        <f>W93+X110</f>
        <v/>
      </c>
      <c r="X110" s="241">
        <f>X93+Y110</f>
        <v/>
      </c>
      <c r="Y110" s="241">
        <f>Y93+Z110</f>
        <v/>
      </c>
      <c r="Z110" s="241">
        <f>Z93+AA110</f>
        <v/>
      </c>
      <c r="AA110" s="241">
        <f>AA93+AB110</f>
        <v/>
      </c>
      <c r="AB110" s="241">
        <f>AB93+AC110</f>
        <v/>
      </c>
      <c r="AC110" s="241">
        <f>AC93+AD110</f>
        <v/>
      </c>
      <c r="AD110" s="241">
        <f>AD93+AE110</f>
        <v/>
      </c>
      <c r="AE110" s="244">
        <f>AE93</f>
        <v/>
      </c>
      <c r="AF110" s="394" t="n"/>
      <c r="AG110" s="394" t="n"/>
      <c r="AH110" s="830" t="n"/>
    </row>
    <row r="111" customFormat="1" s="194">
      <c r="A111" s="394">
        <f>A94</f>
        <v/>
      </c>
      <c r="B111" s="241">
        <f>B94+C111</f>
        <v/>
      </c>
      <c r="C111" s="241">
        <f>C94+D111</f>
        <v/>
      </c>
      <c r="D111" s="241">
        <f>D94+E111</f>
        <v/>
      </c>
      <c r="E111" s="241">
        <f>E94+F111</f>
        <v/>
      </c>
      <c r="F111" s="241">
        <f>F94+G111</f>
        <v/>
      </c>
      <c r="G111" s="241">
        <f>G94+H111</f>
        <v/>
      </c>
      <c r="H111" s="241">
        <f>H94+I111</f>
        <v/>
      </c>
      <c r="I111" s="241">
        <f>I94+J111</f>
        <v/>
      </c>
      <c r="J111" s="241">
        <f>J94+K111</f>
        <v/>
      </c>
      <c r="K111" s="241">
        <f>K94+L111</f>
        <v/>
      </c>
      <c r="L111" s="241">
        <f>L94+M111</f>
        <v/>
      </c>
      <c r="M111" s="241">
        <f>M94+N111</f>
        <v/>
      </c>
      <c r="N111" s="241">
        <f>N94+O111</f>
        <v/>
      </c>
      <c r="O111" s="241">
        <f>O94+P111</f>
        <v/>
      </c>
      <c r="P111" s="241">
        <f>P94+Q111</f>
        <v/>
      </c>
      <c r="Q111" s="241">
        <f>Q94+R111</f>
        <v/>
      </c>
      <c r="R111" s="241">
        <f>R94+S111</f>
        <v/>
      </c>
      <c r="S111" s="241">
        <f>S94+T111</f>
        <v/>
      </c>
      <c r="T111" s="241">
        <f>T94+U111</f>
        <v/>
      </c>
      <c r="U111" s="241">
        <f>U94+V111</f>
        <v/>
      </c>
      <c r="V111" s="241">
        <f>V94+W111</f>
        <v/>
      </c>
      <c r="W111" s="241">
        <f>W94+X111</f>
        <v/>
      </c>
      <c r="X111" s="241">
        <f>X94+Y111</f>
        <v/>
      </c>
      <c r="Y111" s="241">
        <f>Y94+Z111</f>
        <v/>
      </c>
      <c r="Z111" s="241">
        <f>Z94+AA111</f>
        <v/>
      </c>
      <c r="AA111" s="241">
        <f>AA94+AB111</f>
        <v/>
      </c>
      <c r="AB111" s="241">
        <f>AB94+AC111</f>
        <v/>
      </c>
      <c r="AC111" s="241">
        <f>AC94+AD111</f>
        <v/>
      </c>
      <c r="AD111" s="241">
        <f>AD94+AE111</f>
        <v/>
      </c>
      <c r="AE111" s="244">
        <f>AE94</f>
        <v/>
      </c>
      <c r="AF111" s="394" t="n"/>
      <c r="AG111" s="394" t="n"/>
      <c r="AH111" s="830" t="n"/>
    </row>
    <row r="112" customFormat="1" s="194">
      <c r="A112" s="394">
        <f>A95</f>
        <v/>
      </c>
      <c r="B112" s="241">
        <f>B95+C112</f>
        <v/>
      </c>
      <c r="C112" s="241">
        <f>C95+D112</f>
        <v/>
      </c>
      <c r="D112" s="241">
        <f>D95+E112</f>
        <v/>
      </c>
      <c r="E112" s="241">
        <f>E95+F112</f>
        <v/>
      </c>
      <c r="F112" s="241">
        <f>F95+G112</f>
        <v/>
      </c>
      <c r="G112" s="241">
        <f>G95+H112</f>
        <v/>
      </c>
      <c r="H112" s="241">
        <f>H95+I112</f>
        <v/>
      </c>
      <c r="I112" s="241">
        <f>I95+J112</f>
        <v/>
      </c>
      <c r="J112" s="241">
        <f>J95+K112</f>
        <v/>
      </c>
      <c r="K112" s="241">
        <f>K95+L112</f>
        <v/>
      </c>
      <c r="L112" s="241">
        <f>L95+M112</f>
        <v/>
      </c>
      <c r="M112" s="241">
        <f>M95+N112</f>
        <v/>
      </c>
      <c r="N112" s="241">
        <f>N95+O112</f>
        <v/>
      </c>
      <c r="O112" s="241">
        <f>O95+P112</f>
        <v/>
      </c>
      <c r="P112" s="241">
        <f>P95+Q112</f>
        <v/>
      </c>
      <c r="Q112" s="241">
        <f>Q95+R112</f>
        <v/>
      </c>
      <c r="R112" s="241">
        <f>R95+S112</f>
        <v/>
      </c>
      <c r="S112" s="241">
        <f>S95+T112</f>
        <v/>
      </c>
      <c r="T112" s="241">
        <f>T95+U112</f>
        <v/>
      </c>
      <c r="U112" s="241">
        <f>U95+V112</f>
        <v/>
      </c>
      <c r="V112" s="241">
        <f>V95+W112</f>
        <v/>
      </c>
      <c r="W112" s="241">
        <f>W95+X112</f>
        <v/>
      </c>
      <c r="X112" s="241">
        <f>X95+Y112</f>
        <v/>
      </c>
      <c r="Y112" s="241">
        <f>Y95+Z112</f>
        <v/>
      </c>
      <c r="Z112" s="241">
        <f>Z95+AA112</f>
        <v/>
      </c>
      <c r="AA112" s="241">
        <f>AA95+AB112</f>
        <v/>
      </c>
      <c r="AB112" s="241">
        <f>AB95+AC112</f>
        <v/>
      </c>
      <c r="AC112" s="241">
        <f>AC95+AD112</f>
        <v/>
      </c>
      <c r="AD112" s="241">
        <f>AD95+AE112</f>
        <v/>
      </c>
      <c r="AE112" s="244">
        <f>AE95</f>
        <v/>
      </c>
      <c r="AF112" s="394" t="n"/>
      <c r="AG112" s="394" t="n"/>
      <c r="AH112" s="830" t="n"/>
    </row>
    <row r="113" customFormat="1" s="194">
      <c r="A113" s="394">
        <f>A96</f>
        <v/>
      </c>
      <c r="B113" s="241">
        <f>B96+C113</f>
        <v/>
      </c>
      <c r="C113" s="241">
        <f>C96+D113</f>
        <v/>
      </c>
      <c r="D113" s="241">
        <f>D96+E113</f>
        <v/>
      </c>
      <c r="E113" s="241">
        <f>E96+F113</f>
        <v/>
      </c>
      <c r="F113" s="241">
        <f>F96+G113</f>
        <v/>
      </c>
      <c r="G113" s="241">
        <f>G96+H113</f>
        <v/>
      </c>
      <c r="H113" s="241">
        <f>H96+I113</f>
        <v/>
      </c>
      <c r="I113" s="241">
        <f>I96+J113</f>
        <v/>
      </c>
      <c r="J113" s="241">
        <f>J96+K113</f>
        <v/>
      </c>
      <c r="K113" s="241">
        <f>K96+L113</f>
        <v/>
      </c>
      <c r="L113" s="241">
        <f>L96+M113</f>
        <v/>
      </c>
      <c r="M113" s="241">
        <f>M96+N113</f>
        <v/>
      </c>
      <c r="N113" s="241">
        <f>N96+O113</f>
        <v/>
      </c>
      <c r="O113" s="241">
        <f>O96+P113</f>
        <v/>
      </c>
      <c r="P113" s="241">
        <f>P96+Q113</f>
        <v/>
      </c>
      <c r="Q113" s="241">
        <f>Q96+R113</f>
        <v/>
      </c>
      <c r="R113" s="241">
        <f>R96+S113</f>
        <v/>
      </c>
      <c r="S113" s="241">
        <f>S96+T113</f>
        <v/>
      </c>
      <c r="T113" s="241">
        <f>T96+U113</f>
        <v/>
      </c>
      <c r="U113" s="241">
        <f>U96+V113</f>
        <v/>
      </c>
      <c r="V113" s="241">
        <f>V96+W113</f>
        <v/>
      </c>
      <c r="W113" s="241">
        <f>W96+X113</f>
        <v/>
      </c>
      <c r="X113" s="241">
        <f>X96+Y113</f>
        <v/>
      </c>
      <c r="Y113" s="241">
        <f>Y96+Z113</f>
        <v/>
      </c>
      <c r="Z113" s="241">
        <f>Z96+AA113</f>
        <v/>
      </c>
      <c r="AA113" s="241">
        <f>AA96+AB113</f>
        <v/>
      </c>
      <c r="AB113" s="241">
        <f>AB96+AC113</f>
        <v/>
      </c>
      <c r="AC113" s="241">
        <f>AC96+AD113</f>
        <v/>
      </c>
      <c r="AD113" s="241">
        <f>AD96+AE113</f>
        <v/>
      </c>
      <c r="AE113" s="244">
        <f>AE96</f>
        <v/>
      </c>
      <c r="AF113" s="394" t="n"/>
      <c r="AG113" s="394" t="n"/>
      <c r="AH113" s="830" t="n"/>
    </row>
    <row r="114" customFormat="1" s="194">
      <c r="A114" s="394">
        <f>A97</f>
        <v/>
      </c>
      <c r="B114" s="241">
        <f>B97+C114</f>
        <v/>
      </c>
      <c r="C114" s="241">
        <f>C97+D114</f>
        <v/>
      </c>
      <c r="D114" s="241">
        <f>D97+E114</f>
        <v/>
      </c>
      <c r="E114" s="241">
        <f>E97+F114</f>
        <v/>
      </c>
      <c r="F114" s="241">
        <f>F97+G114</f>
        <v/>
      </c>
      <c r="G114" s="241">
        <f>G97+H114</f>
        <v/>
      </c>
      <c r="H114" s="241">
        <f>H97+I114</f>
        <v/>
      </c>
      <c r="I114" s="241">
        <f>I97+J114</f>
        <v/>
      </c>
      <c r="J114" s="241">
        <f>J97+K114</f>
        <v/>
      </c>
      <c r="K114" s="241">
        <f>K97+L114</f>
        <v/>
      </c>
      <c r="L114" s="241">
        <f>L97+M114</f>
        <v/>
      </c>
      <c r="M114" s="241">
        <f>M97+N114</f>
        <v/>
      </c>
      <c r="N114" s="241">
        <f>N97+O114</f>
        <v/>
      </c>
      <c r="O114" s="241">
        <f>O97+P114</f>
        <v/>
      </c>
      <c r="P114" s="241">
        <f>P97+Q114</f>
        <v/>
      </c>
      <c r="Q114" s="241">
        <f>Q97+R114</f>
        <v/>
      </c>
      <c r="R114" s="241">
        <f>R97+S114</f>
        <v/>
      </c>
      <c r="S114" s="241">
        <f>S97+T114</f>
        <v/>
      </c>
      <c r="T114" s="241">
        <f>T97+U114</f>
        <v/>
      </c>
      <c r="U114" s="241">
        <f>U97+V114</f>
        <v/>
      </c>
      <c r="V114" s="241">
        <f>V97+W114</f>
        <v/>
      </c>
      <c r="W114" s="241">
        <f>W97+X114</f>
        <v/>
      </c>
      <c r="X114" s="241">
        <f>X97+Y114</f>
        <v/>
      </c>
      <c r="Y114" s="241">
        <f>Y97+Z114</f>
        <v/>
      </c>
      <c r="Z114" s="241">
        <f>Z97+AA114</f>
        <v/>
      </c>
      <c r="AA114" s="241">
        <f>AA97+AB114</f>
        <v/>
      </c>
      <c r="AB114" s="241">
        <f>AB97+AC114</f>
        <v/>
      </c>
      <c r="AC114" s="241">
        <f>AC97+AD114</f>
        <v/>
      </c>
      <c r="AD114" s="241">
        <f>AD97+AE114</f>
        <v/>
      </c>
      <c r="AE114" s="244">
        <f>AE97</f>
        <v/>
      </c>
      <c r="AF114" s="394" t="n"/>
      <c r="AG114" s="394" t="n"/>
      <c r="AH114" s="830" t="n"/>
    </row>
    <row r="115" customFormat="1" s="194">
      <c r="A115" s="394">
        <f>A98</f>
        <v/>
      </c>
      <c r="B115" s="241">
        <f>B98+C115</f>
        <v/>
      </c>
      <c r="C115" s="241">
        <f>C98+D115</f>
        <v/>
      </c>
      <c r="D115" s="241">
        <f>D98+E115</f>
        <v/>
      </c>
      <c r="E115" s="241">
        <f>E98+F115</f>
        <v/>
      </c>
      <c r="F115" s="241">
        <f>F98+G115</f>
        <v/>
      </c>
      <c r="G115" s="241">
        <f>G98+H115</f>
        <v/>
      </c>
      <c r="H115" s="241">
        <f>H98+I115</f>
        <v/>
      </c>
      <c r="I115" s="241">
        <f>I98+J115</f>
        <v/>
      </c>
      <c r="J115" s="241">
        <f>J98+K115</f>
        <v/>
      </c>
      <c r="K115" s="241">
        <f>K98+L115</f>
        <v/>
      </c>
      <c r="L115" s="241">
        <f>L98+M115</f>
        <v/>
      </c>
      <c r="M115" s="241">
        <f>M98+N115</f>
        <v/>
      </c>
      <c r="N115" s="241">
        <f>N98+O115</f>
        <v/>
      </c>
      <c r="O115" s="241">
        <f>O98+P115</f>
        <v/>
      </c>
      <c r="P115" s="241">
        <f>P98+Q115</f>
        <v/>
      </c>
      <c r="Q115" s="241">
        <f>Q98+R115</f>
        <v/>
      </c>
      <c r="R115" s="241">
        <f>R98+S115</f>
        <v/>
      </c>
      <c r="S115" s="241">
        <f>S98+T115</f>
        <v/>
      </c>
      <c r="T115" s="241">
        <f>T98+U115</f>
        <v/>
      </c>
      <c r="U115" s="241">
        <f>U98+V115</f>
        <v/>
      </c>
      <c r="V115" s="241">
        <f>V98+W115</f>
        <v/>
      </c>
      <c r="W115" s="241">
        <f>W98+X115</f>
        <v/>
      </c>
      <c r="X115" s="241">
        <f>X98+Y115</f>
        <v/>
      </c>
      <c r="Y115" s="241">
        <f>Y98+Z115</f>
        <v/>
      </c>
      <c r="Z115" s="241">
        <f>Z98+AA115</f>
        <v/>
      </c>
      <c r="AA115" s="241">
        <f>AA98+AB115</f>
        <v/>
      </c>
      <c r="AB115" s="241">
        <f>AB98+AC115</f>
        <v/>
      </c>
      <c r="AC115" s="241">
        <f>AC98+AD115</f>
        <v/>
      </c>
      <c r="AD115" s="241">
        <f>AD98+AE115</f>
        <v/>
      </c>
      <c r="AE115" s="244">
        <f>AE98</f>
        <v/>
      </c>
      <c r="AF115" s="394" t="n"/>
      <c r="AG115" s="394" t="n"/>
      <c r="AH115" s="830" t="n"/>
    </row>
    <row r="116" ht="30" customFormat="1" customHeight="1" s="194">
      <c r="A116" s="394">
        <f>A99</f>
        <v/>
      </c>
      <c r="B116" s="241">
        <f>B99+C116</f>
        <v/>
      </c>
      <c r="C116" s="241">
        <f>C99+D116</f>
        <v/>
      </c>
      <c r="D116" s="241">
        <f>D99+E116</f>
        <v/>
      </c>
      <c r="E116" s="241">
        <f>E99+F116</f>
        <v/>
      </c>
      <c r="F116" s="241">
        <f>F99+G116</f>
        <v/>
      </c>
      <c r="G116" s="241">
        <f>G99+H116</f>
        <v/>
      </c>
      <c r="H116" s="241">
        <f>H99+I116</f>
        <v/>
      </c>
      <c r="I116" s="241">
        <f>I99+J116</f>
        <v/>
      </c>
      <c r="J116" s="241">
        <f>J99+K116</f>
        <v/>
      </c>
      <c r="K116" s="241">
        <f>K99+L116</f>
        <v/>
      </c>
      <c r="L116" s="241">
        <f>L99+M116</f>
        <v/>
      </c>
      <c r="M116" s="241">
        <f>M99+N116</f>
        <v/>
      </c>
      <c r="N116" s="241">
        <f>N99+O116</f>
        <v/>
      </c>
      <c r="O116" s="241">
        <f>O99+P116</f>
        <v/>
      </c>
      <c r="P116" s="241">
        <f>P99+Q116</f>
        <v/>
      </c>
      <c r="Q116" s="241">
        <f>Q99+R116</f>
        <v/>
      </c>
      <c r="R116" s="241">
        <f>R99+S116</f>
        <v/>
      </c>
      <c r="S116" s="241">
        <f>S99+T116</f>
        <v/>
      </c>
      <c r="T116" s="241">
        <f>T99+U116</f>
        <v/>
      </c>
      <c r="U116" s="241">
        <f>U99+V116</f>
        <v/>
      </c>
      <c r="V116" s="241">
        <f>V99+W116</f>
        <v/>
      </c>
      <c r="W116" s="241">
        <f>W99+X116</f>
        <v/>
      </c>
      <c r="X116" s="241">
        <f>X99+Y116</f>
        <v/>
      </c>
      <c r="Y116" s="241">
        <f>Y99+Z116</f>
        <v/>
      </c>
      <c r="Z116" s="241">
        <f>Z99+AA116</f>
        <v/>
      </c>
      <c r="AA116" s="241">
        <f>AA99+AB116</f>
        <v/>
      </c>
      <c r="AB116" s="241">
        <f>AB99+AC116</f>
        <v/>
      </c>
      <c r="AC116" s="241">
        <f>AC99+AD116</f>
        <v/>
      </c>
      <c r="AD116" s="241">
        <f>AD99+AE116</f>
        <v/>
      </c>
      <c r="AE116" s="244">
        <f>AE99</f>
        <v/>
      </c>
      <c r="AF116" s="394" t="n"/>
      <c r="AG116" s="394" t="n"/>
      <c r="AH116" s="830" t="n"/>
    </row>
    <row r="117" ht="30" customFormat="1" customHeight="1" s="194">
      <c r="A117" s="394">
        <f>A100</f>
        <v/>
      </c>
      <c r="B117" s="241">
        <f>B100+C117</f>
        <v/>
      </c>
      <c r="C117" s="241">
        <f>C100+D117</f>
        <v/>
      </c>
      <c r="D117" s="241">
        <f>D100+E117</f>
        <v/>
      </c>
      <c r="E117" s="241">
        <f>E100+F117</f>
        <v/>
      </c>
      <c r="F117" s="241">
        <f>F100+G117</f>
        <v/>
      </c>
      <c r="G117" s="241">
        <f>G100+H117</f>
        <v/>
      </c>
      <c r="H117" s="241">
        <f>H100+I117</f>
        <v/>
      </c>
      <c r="I117" s="241">
        <f>I100+J117</f>
        <v/>
      </c>
      <c r="J117" s="241">
        <f>J100+K117</f>
        <v/>
      </c>
      <c r="K117" s="241">
        <f>K100+L117</f>
        <v/>
      </c>
      <c r="L117" s="241">
        <f>L100+M117</f>
        <v/>
      </c>
      <c r="M117" s="241">
        <f>M100+N117</f>
        <v/>
      </c>
      <c r="N117" s="241">
        <f>N100+O117</f>
        <v/>
      </c>
      <c r="O117" s="241">
        <f>O100+P117</f>
        <v/>
      </c>
      <c r="P117" s="241">
        <f>P100+Q117</f>
        <v/>
      </c>
      <c r="Q117" s="241">
        <f>Q100+R117</f>
        <v/>
      </c>
      <c r="R117" s="241">
        <f>R100+S117</f>
        <v/>
      </c>
      <c r="S117" s="241">
        <f>S100+T117</f>
        <v/>
      </c>
      <c r="T117" s="241">
        <f>T100+U117</f>
        <v/>
      </c>
      <c r="U117" s="241">
        <f>U100+V117</f>
        <v/>
      </c>
      <c r="V117" s="241">
        <f>V100+W117</f>
        <v/>
      </c>
      <c r="W117" s="241">
        <f>W100+X117</f>
        <v/>
      </c>
      <c r="X117" s="241">
        <f>X100+Y117</f>
        <v/>
      </c>
      <c r="Y117" s="241">
        <f>Y100+Z117</f>
        <v/>
      </c>
      <c r="Z117" s="241">
        <f>Z100+AA117</f>
        <v/>
      </c>
      <c r="AA117" s="241">
        <f>AA100+AB117</f>
        <v/>
      </c>
      <c r="AB117" s="241">
        <f>AB100+AC117</f>
        <v/>
      </c>
      <c r="AC117" s="241">
        <f>AC100+AD117</f>
        <v/>
      </c>
      <c r="AD117" s="241">
        <f>AD100+AE117</f>
        <v/>
      </c>
      <c r="AE117" s="244">
        <f>AE100</f>
        <v/>
      </c>
      <c r="AF117" s="394" t="n"/>
      <c r="AG117" s="394" t="n"/>
      <c r="AH117" s="830" t="n"/>
    </row>
    <row r="118" ht="30" customFormat="1" customHeight="1" s="194">
      <c r="A118" s="394">
        <f>A101</f>
        <v/>
      </c>
      <c r="B118" s="241">
        <f>B101+C118</f>
        <v/>
      </c>
      <c r="C118" s="241">
        <f>C101+D118</f>
        <v/>
      </c>
      <c r="D118" s="241">
        <f>D101+E118</f>
        <v/>
      </c>
      <c r="E118" s="241">
        <f>E101+F118</f>
        <v/>
      </c>
      <c r="F118" s="241">
        <f>F101+G118</f>
        <v/>
      </c>
      <c r="G118" s="241">
        <f>G101+H118</f>
        <v/>
      </c>
      <c r="H118" s="241">
        <f>H101+I118</f>
        <v/>
      </c>
      <c r="I118" s="241">
        <f>I101+J118</f>
        <v/>
      </c>
      <c r="J118" s="241">
        <f>J101+K118</f>
        <v/>
      </c>
      <c r="K118" s="241">
        <f>K101+L118</f>
        <v/>
      </c>
      <c r="L118" s="241">
        <f>L101+M118</f>
        <v/>
      </c>
      <c r="M118" s="241">
        <f>M101+N118</f>
        <v/>
      </c>
      <c r="N118" s="241">
        <f>N101+O118</f>
        <v/>
      </c>
      <c r="O118" s="241">
        <f>O101+P118</f>
        <v/>
      </c>
      <c r="P118" s="241">
        <f>P101+Q118</f>
        <v/>
      </c>
      <c r="Q118" s="241">
        <f>Q101+R118</f>
        <v/>
      </c>
      <c r="R118" s="241">
        <f>R101+S118</f>
        <v/>
      </c>
      <c r="S118" s="241">
        <f>S101+T118</f>
        <v/>
      </c>
      <c r="T118" s="241">
        <f>T101+U118</f>
        <v/>
      </c>
      <c r="U118" s="241">
        <f>U101+V118</f>
        <v/>
      </c>
      <c r="V118" s="241">
        <f>V101+W118</f>
        <v/>
      </c>
      <c r="W118" s="241">
        <f>W101+X118</f>
        <v/>
      </c>
      <c r="X118" s="241">
        <f>X101+Y118</f>
        <v/>
      </c>
      <c r="Y118" s="241">
        <f>Y101+Z118</f>
        <v/>
      </c>
      <c r="Z118" s="241">
        <f>Z101+AA118</f>
        <v/>
      </c>
      <c r="AA118" s="241">
        <f>AA101+AB118</f>
        <v/>
      </c>
      <c r="AB118" s="241">
        <f>AB101+AC118</f>
        <v/>
      </c>
      <c r="AC118" s="241">
        <f>AC101+AD118</f>
        <v/>
      </c>
      <c r="AD118" s="241">
        <f>AD101+AE118</f>
        <v/>
      </c>
      <c r="AE118" s="244">
        <f>AE101</f>
        <v/>
      </c>
      <c r="AF118" s="394" t="n"/>
      <c r="AG118" s="394" t="n"/>
      <c r="AH118" s="830" t="n"/>
    </row>
    <row r="119" ht="30" customFormat="1" customHeight="1" s="194">
      <c r="A119" s="394">
        <f>A102</f>
        <v/>
      </c>
      <c r="B119" s="241">
        <f>B102+C119</f>
        <v/>
      </c>
      <c r="C119" s="241">
        <f>C102+D119</f>
        <v/>
      </c>
      <c r="D119" s="241">
        <f>D102+E119</f>
        <v/>
      </c>
      <c r="E119" s="241">
        <f>E102+F119</f>
        <v/>
      </c>
      <c r="F119" s="241">
        <f>F102+G119</f>
        <v/>
      </c>
      <c r="G119" s="241">
        <f>G102+H119</f>
        <v/>
      </c>
      <c r="H119" s="241">
        <f>H102+I119</f>
        <v/>
      </c>
      <c r="I119" s="241">
        <f>I102+J119</f>
        <v/>
      </c>
      <c r="J119" s="241">
        <f>J102+K119</f>
        <v/>
      </c>
      <c r="K119" s="241">
        <f>K102+L119</f>
        <v/>
      </c>
      <c r="L119" s="241">
        <f>L102+M119</f>
        <v/>
      </c>
      <c r="M119" s="241">
        <f>M102+N119</f>
        <v/>
      </c>
      <c r="N119" s="241">
        <f>N102+O119</f>
        <v/>
      </c>
      <c r="O119" s="241">
        <f>O102+P119</f>
        <v/>
      </c>
      <c r="P119" s="241">
        <f>P102+Q119</f>
        <v/>
      </c>
      <c r="Q119" s="241">
        <f>Q102+R119</f>
        <v/>
      </c>
      <c r="R119" s="241">
        <f>R102+S119</f>
        <v/>
      </c>
      <c r="S119" s="241">
        <f>S102+T119</f>
        <v/>
      </c>
      <c r="T119" s="241">
        <f>T102+U119</f>
        <v/>
      </c>
      <c r="U119" s="241">
        <f>U102+V119</f>
        <v/>
      </c>
      <c r="V119" s="241">
        <f>V102+W119</f>
        <v/>
      </c>
      <c r="W119" s="241">
        <f>W102+X119</f>
        <v/>
      </c>
      <c r="X119" s="241">
        <f>X102+Y119</f>
        <v/>
      </c>
      <c r="Y119" s="241">
        <f>Y102+Z119</f>
        <v/>
      </c>
      <c r="Z119" s="241">
        <f>Z102+AA119</f>
        <v/>
      </c>
      <c r="AA119" s="241">
        <f>AA102+AB119</f>
        <v/>
      </c>
      <c r="AB119" s="241">
        <f>AB102+AC119</f>
        <v/>
      </c>
      <c r="AC119" s="241">
        <f>AC102+AD119</f>
        <v/>
      </c>
      <c r="AD119" s="241">
        <f>AD102+AE119</f>
        <v/>
      </c>
      <c r="AE119" s="244">
        <f>AE102</f>
        <v/>
      </c>
      <c r="AF119" s="394" t="n"/>
      <c r="AG119" s="394" t="n"/>
      <c r="AH119" s="830" t="n"/>
    </row>
    <row r="120" ht="30" customFormat="1" customHeight="1" s="194">
      <c r="A120" s="394">
        <f>A103</f>
        <v/>
      </c>
      <c r="B120" s="241">
        <f>B103+C120</f>
        <v/>
      </c>
      <c r="C120" s="241">
        <f>C103+D120</f>
        <v/>
      </c>
      <c r="D120" s="241">
        <f>D103+E120</f>
        <v/>
      </c>
      <c r="E120" s="241">
        <f>E103+F120</f>
        <v/>
      </c>
      <c r="F120" s="241">
        <f>F103+G120</f>
        <v/>
      </c>
      <c r="G120" s="241">
        <f>G103+H120</f>
        <v/>
      </c>
      <c r="H120" s="241">
        <f>H103+I120</f>
        <v/>
      </c>
      <c r="I120" s="241">
        <f>I103+J120</f>
        <v/>
      </c>
      <c r="J120" s="241">
        <f>J103+K120</f>
        <v/>
      </c>
      <c r="K120" s="241">
        <f>K103+L120</f>
        <v/>
      </c>
      <c r="L120" s="241">
        <f>L103+M120</f>
        <v/>
      </c>
      <c r="M120" s="241">
        <f>M103+N120</f>
        <v/>
      </c>
      <c r="N120" s="241">
        <f>N103+O120</f>
        <v/>
      </c>
      <c r="O120" s="241">
        <f>O103+P120</f>
        <v/>
      </c>
      <c r="P120" s="241">
        <f>P103+Q120</f>
        <v/>
      </c>
      <c r="Q120" s="241">
        <f>Q103+R120</f>
        <v/>
      </c>
      <c r="R120" s="241">
        <f>R103+S120</f>
        <v/>
      </c>
      <c r="S120" s="241">
        <f>S103+T120</f>
        <v/>
      </c>
      <c r="T120" s="241">
        <f>T103+U120</f>
        <v/>
      </c>
      <c r="U120" s="241">
        <f>U103+V120</f>
        <v/>
      </c>
      <c r="V120" s="241">
        <f>V103+W120</f>
        <v/>
      </c>
      <c r="W120" s="241">
        <f>W103+X120</f>
        <v/>
      </c>
      <c r="X120" s="241">
        <f>X103+Y120</f>
        <v/>
      </c>
      <c r="Y120" s="241">
        <f>Y103+Z120</f>
        <v/>
      </c>
      <c r="Z120" s="241">
        <f>Z103+AA120</f>
        <v/>
      </c>
      <c r="AA120" s="241">
        <f>AA103+AB120</f>
        <v/>
      </c>
      <c r="AB120" s="241">
        <f>AB103+AC120</f>
        <v/>
      </c>
      <c r="AC120" s="241">
        <f>AC103+AD120</f>
        <v/>
      </c>
      <c r="AD120" s="241">
        <f>AD103+AE120</f>
        <v/>
      </c>
      <c r="AE120" s="244">
        <f>AE103</f>
        <v/>
      </c>
      <c r="AF120" s="394" t="n"/>
      <c r="AG120" s="394" t="n"/>
      <c r="AH120" s="830" t="n"/>
    </row>
    <row r="121" ht="30" customFormat="1" customHeight="1" s="194">
      <c r="A121" s="398">
        <f>A104</f>
        <v/>
      </c>
      <c r="B121" s="242">
        <f>B104+C121</f>
        <v/>
      </c>
      <c r="C121" s="242">
        <f>C104+D121</f>
        <v/>
      </c>
      <c r="D121" s="242">
        <f>D104+E121</f>
        <v/>
      </c>
      <c r="E121" s="242">
        <f>E104+F121</f>
        <v/>
      </c>
      <c r="F121" s="242">
        <f>F104+G121</f>
        <v/>
      </c>
      <c r="G121" s="242">
        <f>G104+H121</f>
        <v/>
      </c>
      <c r="H121" s="242">
        <f>H104+I121</f>
        <v/>
      </c>
      <c r="I121" s="242">
        <f>I104+J121</f>
        <v/>
      </c>
      <c r="J121" s="242">
        <f>J104+K121</f>
        <v/>
      </c>
      <c r="K121" s="242">
        <f>K104+L121</f>
        <v/>
      </c>
      <c r="L121" s="242">
        <f>L104+M121</f>
        <v/>
      </c>
      <c r="M121" s="242">
        <f>M104+N121</f>
        <v/>
      </c>
      <c r="N121" s="242">
        <f>N104+O121</f>
        <v/>
      </c>
      <c r="O121" s="242">
        <f>O104+P121</f>
        <v/>
      </c>
      <c r="P121" s="242">
        <f>P104+Q121</f>
        <v/>
      </c>
      <c r="Q121" s="242">
        <f>Q104+R121</f>
        <v/>
      </c>
      <c r="R121" s="242">
        <f>R104+S121</f>
        <v/>
      </c>
      <c r="S121" s="242">
        <f>S104+T121</f>
        <v/>
      </c>
      <c r="T121" s="242">
        <f>T104+U121</f>
        <v/>
      </c>
      <c r="U121" s="242">
        <f>U104+V121</f>
        <v/>
      </c>
      <c r="V121" s="242">
        <f>V104+W121</f>
        <v/>
      </c>
      <c r="W121" s="242">
        <f>W104+X121</f>
        <v/>
      </c>
      <c r="X121" s="242">
        <f>X104+Y121</f>
        <v/>
      </c>
      <c r="Y121" s="242">
        <f>Y104+Z121</f>
        <v/>
      </c>
      <c r="Z121" s="242">
        <f>Z104+AA121</f>
        <v/>
      </c>
      <c r="AA121" s="242">
        <f>AA104+AB121</f>
        <v/>
      </c>
      <c r="AB121" s="242">
        <f>AB104+AC121</f>
        <v/>
      </c>
      <c r="AC121" s="242">
        <f>AC104+AD121</f>
        <v/>
      </c>
      <c r="AD121" s="242">
        <f>AD104+AE121</f>
        <v/>
      </c>
      <c r="AE121" s="245">
        <f>AE104</f>
        <v/>
      </c>
      <c r="AF121" s="394" t="n"/>
      <c r="AG121" s="394" t="n"/>
      <c r="AH121" s="830" t="n"/>
    </row>
  </sheetData>
  <pageMargins left="0.2" right="0.2" top="0.25" bottom="0.25" header="0.05" footer="0.05"/>
  <pageSetup orientation="landscape" scale="57" fitToWidth="0"/>
  <colBreaks count="3" manualBreakCount="3">
    <brk id="11" min="5" max="103" man="1"/>
    <brk id="19" min="5" max="103" man="1"/>
    <brk id="26" min="5" max="103" man="1"/>
  </colBreaks>
</worksheet>
</file>

<file path=xl/worksheets/sheet8.xml><?xml version="1.0" encoding="utf-8"?>
<worksheet xmlns="http://schemas.openxmlformats.org/spreadsheetml/2006/main">
  <sheetPr>
    <outlinePr summaryBelow="1" summaryRight="1"/>
    <pageSetUpPr/>
  </sheetPr>
  <dimension ref="A1:L32"/>
  <sheetViews>
    <sheetView workbookViewId="0">
      <selection activeCell="A1" sqref="A1"/>
    </sheetView>
  </sheetViews>
  <sheetFormatPr baseColWidth="8" defaultRowHeight="15"/>
  <cols>
    <col width="2.7109375" customWidth="1" style="685" min="1" max="1"/>
    <col width="8.7109375" customWidth="1" style="685" min="2" max="2"/>
    <col width="20.85546875" customWidth="1" style="685" min="3" max="3"/>
    <col width="51.28515625" customWidth="1" style="685" min="4" max="4"/>
    <col width="8.7109375" customWidth="1" style="685" min="5" max="5"/>
    <col width="2.7109375" customWidth="1" style="685" min="6" max="6"/>
    <col width="3.5703125" customWidth="1" style="685" min="7" max="7"/>
    <col width="9.140625" customWidth="1" style="685" min="8" max="8"/>
    <col width="9.140625" customWidth="1" style="685" min="17" max="17"/>
  </cols>
  <sheetData>
    <row r="1" ht="45.75" customHeight="1" s="685">
      <c r="A1" s="930" t="n"/>
    </row>
    <row r="2" ht="76.5" customHeight="1" s="685">
      <c r="A2" s="931" t="n"/>
      <c r="B2" s="931" t="n"/>
      <c r="C2" s="931" t="n"/>
      <c r="D2" s="931" t="n"/>
      <c r="E2" s="931" t="n"/>
      <c r="F2" s="931" t="n"/>
      <c r="J2" s="472" t="n"/>
      <c r="K2" s="472" t="n"/>
    </row>
    <row r="3" ht="23.25" customHeight="1" s="685">
      <c r="A3" s="932" t="n"/>
    </row>
    <row r="5" ht="23.25" customHeight="1" s="685">
      <c r="A5" s="932" t="n"/>
    </row>
    <row r="8" ht="65.45" customHeight="1" s="685">
      <c r="A8" s="933" t="inlineStr">
        <is>
          <t xml:space="preserve">CECL Allowance Report </t>
        </is>
      </c>
    </row>
    <row r="9" ht="47.25" customHeight="1" s="685">
      <c r="A9" s="934" t="inlineStr">
        <is>
          <t>Using SCALE Methodology</t>
        </is>
      </c>
    </row>
    <row r="10" ht="45" customHeight="1" s="685">
      <c r="A10" s="935">
        <f>Cover!A13</f>
        <v/>
      </c>
    </row>
    <row r="11" ht="45" customHeight="1" s="685">
      <c r="A11" s="936">
        <f>Cover!A17</f>
        <v/>
      </c>
    </row>
    <row r="12" ht="21" customHeight="1" s="685">
      <c r="A12" s="937" t="n"/>
      <c r="B12" s="938" t="inlineStr">
        <is>
          <t>The following analysis and all parts thereof (‘analysis’) are based upon information obtained by Vizo Financial Corporate Credit Union (Vizo Financial) from the credit union that is subject of this analysis and other sources that Vizo Financial believes to be reliable and utilized in models using methods and assumptions which Vizo Financial believes to be reasonable.  However, actual performance compared to estimated performance of the subject credit union may be different and cannot be guaranteed.  This analysis is for informational purposes only and is intended only for the use of the subject credit union.  The analysis does not constitute either legal or tax advice. 
All reports are confidential.</t>
        </is>
      </c>
      <c r="F12" s="937" t="n"/>
      <c r="L12" s="939" t="n"/>
    </row>
    <row r="13"/>
    <row r="14"/>
    <row r="15"/>
    <row r="16"/>
    <row r="17" ht="19.9" customHeight="1" s="685"/>
    <row r="18"/>
    <row r="19"/>
    <row r="28">
      <c r="C28" s="940" t="n"/>
      <c r="D28" s="940" t="n"/>
      <c r="E28" s="941" t="n"/>
    </row>
    <row r="29">
      <c r="B29" s="940" t="n"/>
      <c r="C29" s="940" t="n"/>
      <c r="D29" s="940" t="n"/>
      <c r="E29" s="942" t="n"/>
    </row>
    <row r="30" ht="15" customHeight="1" s="685">
      <c r="C30" s="940" t="n"/>
      <c r="D30" s="940" t="n"/>
      <c r="E30" s="940" t="n"/>
    </row>
    <row r="31">
      <c r="B31" s="940" t="n"/>
      <c r="C31" s="940" t="n"/>
      <c r="D31" s="940" t="n"/>
      <c r="E31" s="942" t="n"/>
    </row>
    <row r="32">
      <c r="B32" s="940" t="inlineStr">
        <is>
          <t>© 2025 TCT Risk Solutions</t>
        </is>
      </c>
      <c r="C32" s="940" t="n"/>
      <c r="D32" s="940" t="n"/>
      <c r="E32" s="940" t="n"/>
    </row>
    <row r="33" ht="12.75" customHeight="1" s="685"/>
  </sheetData>
  <mergeCells count="8">
    <mergeCell ref="A11:F11"/>
    <mergeCell ref="A10:F10"/>
    <mergeCell ref="A8:G8"/>
    <mergeCell ref="A1:F1"/>
    <mergeCell ref="A5:F5"/>
    <mergeCell ref="A9:F9"/>
    <mergeCell ref="B12:E19"/>
    <mergeCell ref="A3:F3"/>
  </mergeCells>
  <pageMargins left="0.25" right="0.25" top="0.25" bottom="0.25" header="0.25" footer="0.25"/>
  <pageSetup orientation="portrait" scale="98"/>
  <headerFooter>
    <oddHeader>&amp;L&amp;G</oddHeader>
    <oddFooter>&amp;L&amp;G</oddFooter>
    <evenHeader/>
    <evenFooter/>
    <firstHeader/>
    <firstFooter/>
  </headerFooter>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P25"/>
  <sheetViews>
    <sheetView workbookViewId="0">
      <selection activeCell="A1" sqref="A1"/>
    </sheetView>
  </sheetViews>
  <sheetFormatPr baseColWidth="8" defaultRowHeight="15"/>
  <cols>
    <col width="8.43" customWidth="1" style="685" min="1" max="1"/>
    <col width="42" customWidth="1" style="685" min="2" max="2"/>
    <col width="18.1" customWidth="1" style="685" min="3" max="3"/>
    <col width="8.43" customWidth="1" style="685" min="4" max="4"/>
  </cols>
  <sheetData>
    <row r="1" ht="21" customHeight="1" s="685">
      <c r="A1" s="686" t="inlineStr">
        <is>
          <t>CECL Allowances for Credit Losses (ACL) Calculation</t>
        </is>
      </c>
      <c r="E1" s="199" t="n"/>
      <c r="F1" s="199" t="n"/>
      <c r="G1" s="199" t="n"/>
      <c r="H1" s="199" t="n"/>
      <c r="I1" s="199" t="n"/>
      <c r="J1" s="199" t="n"/>
      <c r="K1" s="199" t="n"/>
      <c r="L1" s="199" t="n"/>
      <c r="M1" s="199" t="n"/>
      <c r="N1" s="199" t="n"/>
      <c r="O1" s="199" t="n"/>
      <c r="P1" s="199" t="n"/>
    </row>
    <row r="2" ht="21" customHeight="1" s="685">
      <c r="A2" s="686">
        <f>"Prepared For "&amp;'Cover-Vizo'!A10</f>
        <v/>
      </c>
      <c r="E2" s="199" t="n"/>
      <c r="F2" s="199" t="n"/>
      <c r="G2" s="199" t="n"/>
      <c r="H2" s="199" t="n"/>
      <c r="I2" s="199" t="n"/>
      <c r="J2" s="199" t="n"/>
      <c r="K2" s="199" t="n"/>
      <c r="L2" s="199" t="n"/>
      <c r="M2" s="199" t="n"/>
      <c r="N2" s="199" t="n"/>
      <c r="O2" s="199" t="n"/>
      <c r="P2" s="199" t="n"/>
    </row>
    <row r="3" ht="21" customHeight="1" s="685">
      <c r="A3" s="686">
        <f>"Quarter Ended "&amp;TEXT('Cover-Vizo'!A11,"m/d/yyyy")</f>
        <v/>
      </c>
      <c r="E3" s="199" t="n"/>
      <c r="F3" s="199" t="n"/>
      <c r="G3" s="199" t="n"/>
      <c r="H3" s="199" t="n"/>
      <c r="I3" s="199" t="n"/>
      <c r="J3" s="199" t="n"/>
      <c r="K3" s="199" t="n"/>
      <c r="L3" s="199" t="n"/>
      <c r="M3" s="199" t="n"/>
      <c r="N3" s="199" t="n"/>
      <c r="O3" s="199" t="n"/>
      <c r="P3" s="199" t="n"/>
    </row>
    <row r="7" ht="15.75" customHeight="1" s="685">
      <c r="B7" s="943" t="inlineStr">
        <is>
          <t>Executive Summary</t>
        </is>
      </c>
      <c r="C7" s="944" t="n"/>
    </row>
    <row r="8" ht="6" customHeight="1" s="685">
      <c r="B8" s="945" t="n"/>
      <c r="C8" s="946" t="n"/>
    </row>
    <row r="9" ht="15.75" customHeight="1" s="685">
      <c r="B9" s="947" t="inlineStr">
        <is>
          <t xml:space="preserve">Current ACL  </t>
        </is>
      </c>
      <c r="C9" s="948">
        <f>'Calc tab'!AE6</f>
        <v/>
      </c>
    </row>
    <row r="10" ht="21" customHeight="1" s="685">
      <c r="B10" s="949">
        <f>'Scale Calculation-Vizo'!O27</f>
        <v/>
      </c>
      <c r="C10" s="949">
        <f>'Scale Calculation-Vizo'!S27</f>
        <v/>
      </c>
    </row>
    <row r="11" ht="21" customHeight="1" s="685">
      <c r="B11" s="949">
        <f>'Scale Calculation-Vizo'!O28</f>
        <v/>
      </c>
      <c r="C11" s="949">
        <f>'Scale Calculation-Vizo'!S28</f>
        <v/>
      </c>
    </row>
    <row r="12" ht="21" customHeight="1" s="685">
      <c r="B12" s="949">
        <f>'Scale Calculation-Vizo'!O29</f>
        <v/>
      </c>
      <c r="C12" s="949">
        <f>'Scale Calculation-Vizo'!S29</f>
        <v/>
      </c>
    </row>
    <row r="13" ht="21" customHeight="1" s="685">
      <c r="B13" s="949">
        <f>'Scale Calculation-Vizo'!O30</f>
        <v/>
      </c>
      <c r="C13" s="950">
        <f>'Scale Calculation-Vizo'!S30</f>
        <v/>
      </c>
    </row>
    <row r="14" ht="21" customHeight="1" s="685">
      <c r="B14" s="951" t="n"/>
      <c r="C14" s="951" t="n"/>
    </row>
    <row r="15" ht="15.75" customHeight="1" s="685">
      <c r="B15" s="947" t="inlineStr">
        <is>
          <t>Prior ACL</t>
        </is>
      </c>
      <c r="C15" s="948">
        <f>OFFSET('Calc tab'!AE6,0,-1)</f>
        <v/>
      </c>
    </row>
    <row r="16" ht="21" customHeight="1" s="685">
      <c r="B16" s="949" t="inlineStr">
        <is>
          <t>Total Expected Losses on Loans</t>
        </is>
      </c>
      <c r="C16" s="949">
        <f>OFFSET('Historical Data'!AZ2,0,-1)</f>
        <v/>
      </c>
    </row>
    <row r="17" ht="21" customHeight="1" s="685">
      <c r="B17" s="949" t="inlineStr">
        <is>
          <t>Current ACL Balance</t>
        </is>
      </c>
      <c r="C17" s="949">
        <f>OFFSET('Historical Data'!AZ3,0,-1)</f>
        <v/>
      </c>
    </row>
    <row r="18" ht="21" customHeight="1" s="685">
      <c r="B18" s="949" t="inlineStr">
        <is>
          <t xml:space="preserve">Adjustment </t>
        </is>
      </c>
      <c r="C18" s="949">
        <f>OFFSET('Historical Data'!AZ4,0,-1)</f>
        <v/>
      </c>
    </row>
    <row r="19" ht="21" customHeight="1" s="685">
      <c r="B19" s="949" t="inlineStr">
        <is>
          <t>ACL/Total Loans</t>
        </is>
      </c>
      <c r="C19" s="950">
        <f>OFFSET('Historical Data'!AZ5,0,-1)</f>
        <v/>
      </c>
    </row>
    <row r="20" ht="21" customHeight="1" s="685">
      <c r="B20" s="951" t="n"/>
      <c r="C20" s="951" t="n"/>
    </row>
    <row r="21" ht="15.75" customHeight="1" s="685">
      <c r="B21" s="952" t="inlineStr">
        <is>
          <t>Change</t>
        </is>
      </c>
      <c r="C21" s="947" t="n"/>
    </row>
    <row r="22" ht="21" customHeight="1" s="685">
      <c r="B22" s="949" t="inlineStr">
        <is>
          <t>Total Expected Losses on Loans</t>
        </is>
      </c>
      <c r="C22" s="949">
        <f>C10-C16</f>
        <v/>
      </c>
    </row>
    <row r="23" ht="21" customHeight="1" s="685">
      <c r="B23" s="949" t="inlineStr">
        <is>
          <t>Current ACL Balance</t>
        </is>
      </c>
      <c r="C23" s="949">
        <f>C11-C17</f>
        <v/>
      </c>
    </row>
    <row r="24" ht="21" customHeight="1" s="685">
      <c r="B24" s="949" t="inlineStr">
        <is>
          <t xml:space="preserve">Adjustment </t>
        </is>
      </c>
      <c r="C24" s="949">
        <f>C12-C18</f>
        <v/>
      </c>
    </row>
    <row r="25" ht="21" customHeight="1" s="685">
      <c r="B25" s="949" t="inlineStr">
        <is>
          <t>ACL/Total Loans</t>
        </is>
      </c>
      <c r="C25" s="950">
        <f>C13-C19</f>
        <v/>
      </c>
    </row>
  </sheetData>
  <mergeCells count="3">
    <mergeCell ref="A1:D1"/>
    <mergeCell ref="A3:D3"/>
    <mergeCell ref="A2:D2"/>
  </mergeCells>
  <printOptions horizontalCentered="1" verticalCentered="0"/>
  <pageMargins left="0.7" right="0.7" top="0.75" bottom="0.75" header="0.3" footer="0.3"/>
  <pageSetup orientation="portrait"/>
  <headerFooter>
    <oddHeader/>
    <oddFooter>&amp;RPage &amp;P of &amp;N</oddFooter>
    <evenHeader/>
    <evenFooter/>
    <firstHeader/>
    <firstFooter/>
  </headerFooter>
</worksheet>
</file>

<file path=xl/worksheets/sheet10.xml><?xml version="1.0" encoding="utf-8"?>
<worksheet xmlns="http://schemas.openxmlformats.org/spreadsheetml/2006/main">
  <sheetPr>
    <tabColor rgb="FF00B0F0"/>
    <outlinePr summaryBelow="1" summaryRight="1"/>
    <pageSetUpPr fitToPage="1"/>
  </sheetPr>
  <dimension ref="A2:U64"/>
  <sheetViews>
    <sheetView workbookViewId="0">
      <selection activeCell="O13" sqref="O13"/>
    </sheetView>
  </sheetViews>
  <sheetFormatPr baseColWidth="8" defaultRowHeight="15"/>
  <cols>
    <col width="82.7109375" customWidth="1" style="685" min="1" max="1"/>
    <col width="0.42578125" customWidth="1" style="685" min="2" max="2"/>
    <col width="16.140625" customWidth="1" style="685" min="3" max="3"/>
    <col width="2.140625" customWidth="1" style="685" min="4" max="4"/>
    <col width="13.85546875" customWidth="1" style="685" min="5" max="5"/>
    <col width="2.5703125" customWidth="1" style="685" min="6" max="6"/>
    <col width="14.5703125" customWidth="1" style="685" min="7" max="7"/>
    <col width="0.5703125" customWidth="1" style="685" min="8" max="8"/>
    <col width="14.5703125" customWidth="1" style="685" min="9" max="9"/>
    <col width="3.5703125" customWidth="1" style="685" min="10" max="10"/>
    <col width="14" customWidth="1" style="685" min="11" max="11"/>
    <col width="2.42578125" customWidth="1" style="685" min="12" max="12"/>
    <col width="13.85546875" customWidth="1" style="685" min="13" max="13"/>
    <col width="0.42578125" customWidth="1" style="685" min="14" max="14"/>
    <col width="15.42578125" customWidth="1" style="685" min="15" max="15"/>
    <col width="3.7109375" customWidth="1" style="685" min="16" max="16"/>
    <col width="14" customWidth="1" style="685" min="17" max="17"/>
    <col width="0.5703125" customWidth="1" style="685" min="18" max="18"/>
    <col width="16" customWidth="1" style="685" min="19" max="19"/>
    <col width="3.7109375" customWidth="1" style="685" min="20" max="20"/>
    <col width="3.42578125" customWidth="1" style="685" min="21" max="21"/>
    <col width="13.140625" customWidth="1" style="685" min="23" max="23"/>
    <col width="2.140625" customWidth="1" style="685" min="24" max="24"/>
  </cols>
  <sheetData>
    <row r="2" ht="21" customHeight="1" s="685">
      <c r="A2" s="686" t="inlineStr">
        <is>
          <t>CECL Allowances for Credit Losses (ACL) Calculation</t>
        </is>
      </c>
    </row>
    <row r="3" ht="21" customHeight="1" s="685">
      <c r="A3" s="686">
        <f>"Prepared For "&amp;'Cover-Vizo'!A10</f>
        <v/>
      </c>
    </row>
    <row r="4" ht="21" customHeight="1" s="685">
      <c r="A4" s="686">
        <f>"Quarter Ended "&amp;TEXT('Cover-Vizo'!A11,"m/d/yyyy")</f>
        <v/>
      </c>
    </row>
    <row r="5" ht="21" customHeight="1" s="685">
      <c r="A5" s="686" t="n"/>
    </row>
    <row r="6" ht="9.75" customHeight="1" s="685">
      <c r="A6" s="487" t="n"/>
      <c r="B6" s="487" t="n"/>
      <c r="C6" s="487" t="n"/>
      <c r="D6" s="487" t="n"/>
      <c r="E6" s="487" t="n"/>
      <c r="F6" s="487" t="n"/>
      <c r="G6" s="487" t="n"/>
      <c r="H6" s="487" t="n"/>
      <c r="I6" s="487" t="n"/>
      <c r="J6" s="487" t="n"/>
      <c r="K6" s="487" t="n"/>
      <c r="L6" s="487" t="n"/>
      <c r="M6" s="487" t="n"/>
      <c r="N6" s="487" t="n"/>
      <c r="O6" s="487" t="n"/>
      <c r="P6" s="487" t="n"/>
      <c r="Q6" s="487" t="n"/>
      <c r="R6" s="487" t="n"/>
      <c r="S6" s="487" t="n"/>
      <c r="T6" s="3" t="n"/>
      <c r="U6" s="3" t="n"/>
    </row>
    <row r="7" ht="15.75" customHeight="1" s="685">
      <c r="E7" s="56" t="n"/>
      <c r="F7" s="57" t="n"/>
      <c r="G7" s="56" t="n"/>
      <c r="K7" s="56" t="n"/>
      <c r="M7" s="56" t="n"/>
      <c r="O7" s="56" t="n"/>
      <c r="Q7" s="56" t="n"/>
      <c r="S7" s="56" t="n"/>
    </row>
    <row r="8" ht="63" customHeight="1" s="685">
      <c r="A8" s="478">
        <f>'Scale Calculation'!C8</f>
        <v/>
      </c>
      <c r="B8" s="6" t="n"/>
      <c r="C8" s="488">
        <f>'Scale Calculation'!E8</f>
        <v/>
      </c>
      <c r="D8" s="489" t="inlineStr">
        <is>
          <t>-</t>
        </is>
      </c>
      <c r="E8" s="488">
        <f>'Scale Calculation'!G8</f>
        <v/>
      </c>
      <c r="F8" s="489" t="inlineStr">
        <is>
          <t>=</t>
        </is>
      </c>
      <c r="G8" s="488">
        <f>'Scale Calculation'!I8</f>
        <v/>
      </c>
      <c r="H8" s="10" t="n"/>
      <c r="I8" s="488">
        <f>'Scale Calculation'!K8</f>
        <v/>
      </c>
      <c r="J8" s="489" t="inlineStr">
        <is>
          <t>+/-</t>
        </is>
      </c>
      <c r="K8" s="488">
        <f>'Scale Calculation'!M8</f>
        <v/>
      </c>
      <c r="L8" s="489" t="inlineStr">
        <is>
          <t>=</t>
        </is>
      </c>
      <c r="M8" s="488">
        <f>'Scale Calculation'!O8</f>
        <v/>
      </c>
      <c r="O8" s="488">
        <f>'Scale Calculation'!Q8</f>
        <v/>
      </c>
      <c r="P8" s="489" t="inlineStr">
        <is>
          <t>+/-</t>
        </is>
      </c>
      <c r="Q8" s="488">
        <f>'Scale Calculation'!S8</f>
        <v/>
      </c>
      <c r="S8" s="488">
        <f>'Scale Calculation'!U8</f>
        <v/>
      </c>
    </row>
    <row r="9" ht="15.75" customHeight="1" s="685">
      <c r="A9">
        <f>'Scale Calculation'!C9</f>
        <v/>
      </c>
      <c r="C9" s="490">
        <f>'Calc tab'!AE7</f>
        <v/>
      </c>
      <c r="D9" s="489" t="n"/>
      <c r="E9" s="491">
        <f>SUMIF(' Impaired Loans ASC 310-10'!$D$27:$D$412,A9,' Impaired Loans ASC 310-10'!$Q$27:$Q$412)</f>
        <v/>
      </c>
      <c r="F9" s="492" t="n"/>
      <c r="G9" s="491">
        <f>C9-E9</f>
        <v/>
      </c>
      <c r="H9" s="493" t="n"/>
      <c r="I9" s="656">
        <f>'Calc tab'!AI58</f>
        <v/>
      </c>
      <c r="J9" s="494" t="n"/>
      <c r="K9" s="656">
        <f>'Management Adjustment'!B4</f>
        <v/>
      </c>
      <c r="L9" s="492" t="n"/>
      <c r="M9" s="495">
        <f>I9+K9</f>
        <v/>
      </c>
      <c r="N9" s="496" t="n"/>
      <c r="O9" s="491">
        <f>G9*M9</f>
        <v/>
      </c>
      <c r="P9" s="494" t="n"/>
      <c r="Q9" s="495">
        <f>'Env Factor by Pool-Vizo'!G13</f>
        <v/>
      </c>
      <c r="R9" s="496" t="n"/>
      <c r="S9" s="491">
        <f>O9+(O9*Q9)</f>
        <v/>
      </c>
    </row>
    <row r="10" ht="15.75" customHeight="1" s="685">
      <c r="A10">
        <f>'Scale Calculation'!C10</f>
        <v/>
      </c>
      <c r="C10" s="490">
        <f>'Calc tab'!AE8</f>
        <v/>
      </c>
      <c r="D10" s="489" t="n"/>
      <c r="E10" s="491">
        <f>SUMIF(' Impaired Loans ASC 310-10'!$D$27:$D$412,A10,' Impaired Loans ASC 310-10'!$Q$27:$Q$412)</f>
        <v/>
      </c>
      <c r="F10" s="492" t="n"/>
      <c r="G10" s="491">
        <f>C10-E10</f>
        <v/>
      </c>
      <c r="H10" s="493" t="n"/>
      <c r="I10" s="656">
        <f>'Calc tab'!AI59</f>
        <v/>
      </c>
      <c r="J10" s="494" t="n"/>
      <c r="K10" s="656">
        <f>'Management Adjustment'!B5</f>
        <v/>
      </c>
      <c r="L10" s="492" t="n"/>
      <c r="M10" s="495">
        <f>I10+K10</f>
        <v/>
      </c>
      <c r="N10" s="496" t="n"/>
      <c r="O10" s="491">
        <f>'Scale Calculation'!Q10</f>
        <v/>
      </c>
      <c r="P10" s="494" t="n"/>
      <c r="Q10" s="495">
        <f>'Env Factor by Pool-Vizo'!G14</f>
        <v/>
      </c>
      <c r="R10" s="496" t="n"/>
      <c r="S10" s="491">
        <f>O10+(O10*Q10)</f>
        <v/>
      </c>
    </row>
    <row r="11" ht="15.75" customHeight="1" s="685">
      <c r="A11">
        <f>'Scale Calculation'!C11</f>
        <v/>
      </c>
      <c r="C11" s="490">
        <f>'Calc tab'!AE9</f>
        <v/>
      </c>
      <c r="D11" s="489" t="n"/>
      <c r="E11" s="491">
        <f>SUMIF(' Impaired Loans ASC 310-10'!$D$27:$D$412,A11,' Impaired Loans ASC 310-10'!$Q$27:$Q$412)</f>
        <v/>
      </c>
      <c r="F11" s="492" t="n"/>
      <c r="G11" s="491">
        <f>C11-E11</f>
        <v/>
      </c>
      <c r="H11" s="493" t="n"/>
      <c r="I11" s="656">
        <f>'Calc tab'!AI60</f>
        <v/>
      </c>
      <c r="J11" s="494" t="n"/>
      <c r="K11" s="656">
        <f>'Management Adjustment'!B6</f>
        <v/>
      </c>
      <c r="L11" s="492" t="n"/>
      <c r="M11" s="495">
        <f>I11+K11</f>
        <v/>
      </c>
      <c r="N11" s="496" t="n"/>
      <c r="O11" s="491">
        <f>'Scale Calculation'!Q11</f>
        <v/>
      </c>
      <c r="P11" s="494" t="n"/>
      <c r="Q11" s="495">
        <f>'Env Factor by Pool-Vizo'!G15</f>
        <v/>
      </c>
      <c r="R11" s="496" t="n"/>
      <c r="S11" s="491">
        <f>O11+(O11*Q11)</f>
        <v/>
      </c>
    </row>
    <row r="12" ht="15.75" customHeight="1" s="685">
      <c r="A12">
        <f>'Scale Calculation'!C12</f>
        <v/>
      </c>
      <c r="C12" s="490">
        <f>'Calc tab'!AE10</f>
        <v/>
      </c>
      <c r="D12" s="489" t="n"/>
      <c r="E12" s="491">
        <f>SUMIF(' Impaired Loans ASC 310-10'!$D$27:$D$412,A12,' Impaired Loans ASC 310-10'!$Q$27:$Q$412)</f>
        <v/>
      </c>
      <c r="F12" s="492" t="n"/>
      <c r="G12" s="491">
        <f>C12-E12</f>
        <v/>
      </c>
      <c r="H12" s="493" t="n"/>
      <c r="I12" s="656">
        <f>'Calc tab'!AI61</f>
        <v/>
      </c>
      <c r="J12" s="494" t="n"/>
      <c r="K12" s="656">
        <f>'Management Adjustment'!B7</f>
        <v/>
      </c>
      <c r="L12" s="492" t="n"/>
      <c r="M12" s="495">
        <f>I12+K12</f>
        <v/>
      </c>
      <c r="N12" s="496" t="n"/>
      <c r="O12" s="491">
        <f>'Scale Calculation'!Q12</f>
        <v/>
      </c>
      <c r="P12" s="494" t="n"/>
      <c r="Q12" s="495">
        <f>'Env Factor by Pool-Vizo'!G16</f>
        <v/>
      </c>
      <c r="R12" s="496" t="n"/>
      <c r="S12" s="491">
        <f>O12+(O12*Q12)</f>
        <v/>
      </c>
    </row>
    <row r="13" ht="15.75" customHeight="1" s="685">
      <c r="A13">
        <f>'Scale Calculation'!C13</f>
        <v/>
      </c>
      <c r="C13" s="490">
        <f>'Calc tab'!AE11</f>
        <v/>
      </c>
      <c r="D13" s="489" t="n"/>
      <c r="E13" s="491">
        <f>SUMIF(' Impaired Loans ASC 310-10'!$D$27:$D$412,A13,' Impaired Loans ASC 310-10'!$Q$27:$Q$412)</f>
        <v/>
      </c>
      <c r="F13" s="492" t="n"/>
      <c r="G13" s="491">
        <f>C13-E13</f>
        <v/>
      </c>
      <c r="H13" s="493" t="n"/>
      <c r="I13" s="656">
        <f>'Calc tab'!AI62</f>
        <v/>
      </c>
      <c r="J13" s="494" t="n"/>
      <c r="K13" s="656">
        <f>'Management Adjustment'!B8</f>
        <v/>
      </c>
      <c r="L13" s="492" t="n"/>
      <c r="M13" s="495">
        <f>I13+K13</f>
        <v/>
      </c>
      <c r="N13" s="496" t="n"/>
      <c r="O13" s="491">
        <f>'Scale Calculation'!Q13</f>
        <v/>
      </c>
      <c r="P13" s="494" t="n"/>
      <c r="Q13" s="495">
        <f>'Env Factor by Pool-Vizo'!G17</f>
        <v/>
      </c>
      <c r="R13" s="496" t="n"/>
      <c r="S13" s="491">
        <f>O13+(O13*Q13)</f>
        <v/>
      </c>
    </row>
    <row r="14" ht="15.75" customHeight="1" s="685">
      <c r="A14">
        <f>'Scale Calculation'!C14</f>
        <v/>
      </c>
      <c r="C14" s="490">
        <f>'Calc tab'!AE12</f>
        <v/>
      </c>
      <c r="D14" s="489" t="n"/>
      <c r="E14" s="491">
        <f>SUMIF(' Impaired Loans ASC 310-10'!$D$27:$D$412,A14,' Impaired Loans ASC 310-10'!$Q$27:$Q$412)</f>
        <v/>
      </c>
      <c r="F14" s="492" t="n"/>
      <c r="G14" s="491">
        <f>C14-E14</f>
        <v/>
      </c>
      <c r="H14" s="493" t="n"/>
      <c r="I14" s="656">
        <f>'Calc tab'!AI63</f>
        <v/>
      </c>
      <c r="J14" s="494" t="n"/>
      <c r="K14" s="656">
        <f>'Management Adjustment'!B9</f>
        <v/>
      </c>
      <c r="L14" s="492" t="n"/>
      <c r="M14" s="495">
        <f>I14+K14</f>
        <v/>
      </c>
      <c r="N14" s="496" t="n"/>
      <c r="O14" s="491">
        <f>'Scale Calculation'!Q14</f>
        <v/>
      </c>
      <c r="P14" s="494" t="n"/>
      <c r="Q14" s="495">
        <f>'Env Factor by Pool-Vizo'!G18</f>
        <v/>
      </c>
      <c r="R14" s="496" t="n"/>
      <c r="S14" s="491">
        <f>O14+(O14*Q14)</f>
        <v/>
      </c>
    </row>
    <row r="15" ht="15.75" customHeight="1" s="685">
      <c r="A15">
        <f>'Scale Calculation'!C15</f>
        <v/>
      </c>
      <c r="C15" s="490">
        <f>'Calc tab'!AE13</f>
        <v/>
      </c>
      <c r="D15" s="489" t="n"/>
      <c r="E15" s="491">
        <f>SUMIF(' Impaired Loans ASC 310-10'!$D$27:$D$412,A15,' Impaired Loans ASC 310-10'!$Q$27:$Q$412)</f>
        <v/>
      </c>
      <c r="F15" s="492" t="n"/>
      <c r="G15" s="491">
        <f>C15-E15</f>
        <v/>
      </c>
      <c r="H15" s="493" t="n"/>
      <c r="I15" s="656">
        <f>'Calc tab'!AI64</f>
        <v/>
      </c>
      <c r="J15" s="494" t="n"/>
      <c r="K15" s="656">
        <f>'Management Adjustment'!B10</f>
        <v/>
      </c>
      <c r="L15" s="492" t="n"/>
      <c r="M15" s="495">
        <f>I15+K15</f>
        <v/>
      </c>
      <c r="N15" s="496" t="n"/>
      <c r="O15" s="491">
        <f>'Scale Calculation'!Q15</f>
        <v/>
      </c>
      <c r="P15" s="494" t="n"/>
      <c r="Q15" s="495">
        <f>'Env Factor by Pool-Vizo'!G19</f>
        <v/>
      </c>
      <c r="R15" s="496" t="n"/>
      <c r="S15" s="491">
        <f>O15+(O15*Q15)</f>
        <v/>
      </c>
    </row>
    <row r="16" ht="15.75" customHeight="1" s="685">
      <c r="A16">
        <f>'Scale Calculation'!C16</f>
        <v/>
      </c>
      <c r="C16" s="490">
        <f>'Calc tab'!AE14</f>
        <v/>
      </c>
      <c r="D16" s="489" t="n"/>
      <c r="E16" s="491">
        <f>SUMIF(' Impaired Loans ASC 310-10'!$D$27:$D$412,A16,' Impaired Loans ASC 310-10'!$Q$27:$Q$412)</f>
        <v/>
      </c>
      <c r="F16" s="492" t="n"/>
      <c r="G16" s="491">
        <f>C16-E16</f>
        <v/>
      </c>
      <c r="H16" s="493" t="n"/>
      <c r="I16" s="656">
        <f>'Calc tab'!AI65</f>
        <v/>
      </c>
      <c r="J16" s="494" t="n"/>
      <c r="K16" s="656">
        <f>'Management Adjustment'!B11</f>
        <v/>
      </c>
      <c r="L16" s="492" t="n"/>
      <c r="M16" s="495">
        <f>I16+K16</f>
        <v/>
      </c>
      <c r="N16" s="496" t="n"/>
      <c r="O16" s="491">
        <f>'Scale Calculation'!Q16</f>
        <v/>
      </c>
      <c r="P16" s="494" t="n"/>
      <c r="Q16" s="495">
        <f>'Env Factor by Pool-Vizo'!G20</f>
        <v/>
      </c>
      <c r="R16" s="496" t="n"/>
      <c r="S16" s="491">
        <f>O16+(O16*Q16)</f>
        <v/>
      </c>
    </row>
    <row r="17" ht="15.75" customHeight="1" s="685">
      <c r="A17">
        <f>'Scale Calculation'!C17</f>
        <v/>
      </c>
      <c r="C17" s="490">
        <f>'Calc tab'!AE15</f>
        <v/>
      </c>
      <c r="D17" s="489" t="n"/>
      <c r="E17" s="491">
        <f>SUMIF(' Impaired Loans ASC 310-10'!$D$27:$D$412,A17,' Impaired Loans ASC 310-10'!$Q$27:$Q$412)</f>
        <v/>
      </c>
      <c r="F17" s="492" t="n"/>
      <c r="G17" s="491">
        <f>C17-E17</f>
        <v/>
      </c>
      <c r="H17" s="493" t="n"/>
      <c r="I17" s="656">
        <f>'Calc tab'!AI66</f>
        <v/>
      </c>
      <c r="J17" s="494" t="n"/>
      <c r="K17" s="656">
        <f>'Management Adjustment'!B12</f>
        <v/>
      </c>
      <c r="L17" s="492" t="n"/>
      <c r="M17" s="495">
        <f>I17+K17</f>
        <v/>
      </c>
      <c r="N17" s="496" t="n"/>
      <c r="O17" s="491">
        <f>'Scale Calculation'!Q17</f>
        <v/>
      </c>
      <c r="P17" s="494" t="n"/>
      <c r="Q17" s="495">
        <f>'Env Factor by Pool-Vizo'!G21</f>
        <v/>
      </c>
      <c r="R17" s="496" t="n"/>
      <c r="S17" s="491">
        <f>O17+(O17*Q17)</f>
        <v/>
      </c>
    </row>
    <row r="18" ht="15.75" customHeight="1" s="685">
      <c r="A18">
        <f>'Scale Calculation'!C18</f>
        <v/>
      </c>
      <c r="C18" s="490">
        <f>'Calc tab'!AE16</f>
        <v/>
      </c>
      <c r="D18" s="489" t="n"/>
      <c r="E18" s="491">
        <f>SUMIF(' Impaired Loans ASC 310-10'!$D$27:$D$412,A18,' Impaired Loans ASC 310-10'!$Q$27:$Q$412)</f>
        <v/>
      </c>
      <c r="F18" s="492" t="n"/>
      <c r="G18" s="491">
        <f>C18-E18</f>
        <v/>
      </c>
      <c r="H18" s="493" t="n"/>
      <c r="I18" s="656">
        <f>'Calc tab'!AI67</f>
        <v/>
      </c>
      <c r="J18" s="494" t="n"/>
      <c r="K18" s="656">
        <f>'Management Adjustment'!B13</f>
        <v/>
      </c>
      <c r="L18" s="492" t="n"/>
      <c r="M18" s="495">
        <f>I18+K18</f>
        <v/>
      </c>
      <c r="N18" s="496" t="n"/>
      <c r="O18" s="491">
        <f>'Scale Calculation'!Q18</f>
        <v/>
      </c>
      <c r="P18" s="494" t="n"/>
      <c r="Q18" s="495">
        <f>'Env Factor by Pool-Vizo'!G22</f>
        <v/>
      </c>
      <c r="R18" s="496" t="n"/>
      <c r="S18" s="491">
        <f>O18+(O18*Q18)</f>
        <v/>
      </c>
    </row>
    <row r="19" ht="16.5" customHeight="1" s="685">
      <c r="A19">
        <f>'Scale Calculation'!C19</f>
        <v/>
      </c>
      <c r="C19" s="490">
        <f>'Calc tab'!AE17</f>
        <v/>
      </c>
      <c r="D19" s="489" t="n"/>
      <c r="E19" s="491">
        <f>SUMIF(' Impaired Loans ASC 310-10'!$D$27:$D$412,A19,' Impaired Loans ASC 310-10'!$Q$27:$Q$412)</f>
        <v/>
      </c>
      <c r="F19" s="492" t="n"/>
      <c r="G19" s="491">
        <f>C19-E19</f>
        <v/>
      </c>
      <c r="H19" s="493" t="n"/>
      <c r="I19" s="656">
        <f>'Calc tab'!AI68</f>
        <v/>
      </c>
      <c r="J19" s="494" t="n"/>
      <c r="K19" s="656">
        <f>'Management Adjustment'!B14</f>
        <v/>
      </c>
      <c r="L19" s="492" t="n"/>
      <c r="M19" s="495">
        <f>I19+K19</f>
        <v/>
      </c>
      <c r="N19" s="496" t="n"/>
      <c r="O19" s="491">
        <f>'Scale Calculation'!Q19</f>
        <v/>
      </c>
      <c r="P19" s="494" t="n"/>
      <c r="Q19" s="495">
        <f>'Env Factor by Pool-Vizo'!G23</f>
        <v/>
      </c>
      <c r="R19" s="496" t="n"/>
      <c r="S19" s="491">
        <f>O19+(O19*Q19)</f>
        <v/>
      </c>
    </row>
    <row r="20">
      <c r="A20">
        <f>'Scale Calculation'!C20</f>
        <v/>
      </c>
      <c r="C20" s="490">
        <f>'Calc tab'!AE18</f>
        <v/>
      </c>
      <c r="D20" s="493" t="n"/>
      <c r="E20" s="491">
        <f>SUMIF(' Impaired Loans ASC 310-10'!$D$27:$D$412,A20,' Impaired Loans ASC 310-10'!$Q$27:$Q$412)</f>
        <v/>
      </c>
      <c r="F20" s="492" t="n"/>
      <c r="G20" s="491">
        <f>C20-E20</f>
        <v/>
      </c>
      <c r="H20" s="493" t="n"/>
      <c r="I20" s="656">
        <f>'Calc tab'!AI69</f>
        <v/>
      </c>
      <c r="J20" s="494" t="n"/>
      <c r="K20" s="656">
        <f>'Management Adjustment'!B15</f>
        <v/>
      </c>
      <c r="L20" s="492" t="n"/>
      <c r="M20" s="495">
        <f>I20+K20</f>
        <v/>
      </c>
      <c r="N20" s="496" t="n"/>
      <c r="O20" s="491">
        <f>'Scale Calculation'!Q20</f>
        <v/>
      </c>
      <c r="P20" s="494" t="n"/>
      <c r="Q20" s="495">
        <f>'Env Factor by Pool-Vizo'!G24</f>
        <v/>
      </c>
      <c r="R20" s="496" t="n"/>
      <c r="S20" s="491">
        <f>O20+(O20*Q20)</f>
        <v/>
      </c>
    </row>
    <row r="21">
      <c r="A21">
        <f>'Scale Calculation'!C21</f>
        <v/>
      </c>
      <c r="C21" s="490">
        <f>'Calc tab'!AE19</f>
        <v/>
      </c>
      <c r="D21" s="493" t="n"/>
      <c r="E21" s="491">
        <f>SUMIF(' Impaired Loans ASC 310-10'!$D$27:$D$412,A21,' Impaired Loans ASC 310-10'!$Q$27:$Q$412)</f>
        <v/>
      </c>
      <c r="F21" s="492" t="n"/>
      <c r="G21" s="491">
        <f>C21-E21</f>
        <v/>
      </c>
      <c r="H21" s="493" t="n"/>
      <c r="I21" s="656">
        <f>'Calc tab'!AI70</f>
        <v/>
      </c>
      <c r="J21" s="494" t="n"/>
      <c r="K21" s="656">
        <f>'Management Adjustment'!B16</f>
        <v/>
      </c>
      <c r="L21" s="492" t="n"/>
      <c r="M21" s="495">
        <f>I21+K21</f>
        <v/>
      </c>
      <c r="N21" s="496" t="n"/>
      <c r="O21" s="491">
        <f>'Scale Calculation'!Q21</f>
        <v/>
      </c>
      <c r="P21" s="494" t="n"/>
      <c r="Q21" s="495">
        <f>'Env Factor by Pool-Vizo'!G25</f>
        <v/>
      </c>
      <c r="R21" s="496" t="n"/>
      <c r="S21" s="491">
        <f>O21+(O21*Q21)</f>
        <v/>
      </c>
    </row>
    <row r="22" ht="8.449999999999999" customHeight="1" s="685">
      <c r="C22" s="490" t="n"/>
      <c r="D22" s="484" t="n"/>
      <c r="E22" s="496" t="n"/>
      <c r="F22" s="496" t="n"/>
      <c r="G22" s="496" t="n"/>
      <c r="H22" s="484" t="n"/>
      <c r="I22" s="484" t="n"/>
      <c r="J22" s="484" t="n"/>
      <c r="K22" s="484" t="n"/>
      <c r="L22" s="484" t="n"/>
      <c r="M22" s="497" t="n"/>
      <c r="N22" s="484" t="n"/>
      <c r="O22" s="484" t="n"/>
      <c r="P22" s="484" t="n"/>
      <c r="Q22" s="484" t="n"/>
      <c r="R22" s="484" t="n"/>
      <c r="S22" s="484" t="n"/>
    </row>
    <row r="23">
      <c r="A23" s="1">
        <f>'Scale Calculation'!C23</f>
        <v/>
      </c>
      <c r="B23" s="36" t="n"/>
      <c r="C23" s="498">
        <f>SUM(C9:C21)</f>
        <v/>
      </c>
      <c r="D23" s="499" t="n"/>
      <c r="E23" s="499" t="n"/>
      <c r="F23" s="499" t="n"/>
      <c r="G23" s="498">
        <f>SUM(G9:G21)</f>
        <v/>
      </c>
      <c r="H23" s="499" t="n"/>
      <c r="I23" s="499" t="n"/>
      <c r="J23" s="499" t="n"/>
      <c r="K23" s="499" t="n"/>
      <c r="L23" s="499" t="n"/>
      <c r="M23" s="500" t="n"/>
      <c r="N23" s="499" t="n"/>
      <c r="O23" s="498">
        <f>SUM(O9:$O$21)</f>
        <v/>
      </c>
      <c r="P23" s="499" t="n"/>
      <c r="Q23" s="499" t="n"/>
      <c r="R23" s="499" t="n"/>
      <c r="S23" s="498">
        <f>SUM(S9:S21)</f>
        <v/>
      </c>
      <c r="T23" s="501" t="n"/>
      <c r="U23" s="38" t="n"/>
    </row>
    <row r="24">
      <c r="B24" s="36" t="n"/>
      <c r="C24" s="496" t="n"/>
      <c r="D24" s="496" t="n"/>
      <c r="E24" s="496" t="n"/>
      <c r="F24" s="496" t="n"/>
      <c r="G24" s="496" t="n"/>
      <c r="H24" s="496" t="n"/>
      <c r="I24" s="496" t="n"/>
      <c r="J24" s="496" t="n"/>
      <c r="K24" s="496" t="n"/>
      <c r="L24" s="496" t="n"/>
      <c r="M24" s="496" t="n"/>
      <c r="N24" s="496" t="n"/>
      <c r="O24" s="496" t="n"/>
      <c r="P24" s="496" t="n"/>
      <c r="Q24" s="496" t="n"/>
      <c r="R24" s="496" t="n"/>
      <c r="S24" s="496" t="n"/>
      <c r="T24" s="36" t="n"/>
      <c r="U24" s="36" t="n"/>
    </row>
    <row r="25" ht="15.75" customHeight="1" s="685">
      <c r="B25" s="36" t="n"/>
      <c r="C25" s="496" t="n"/>
      <c r="D25" s="496" t="n"/>
      <c r="E25" s="484" t="n"/>
      <c r="F25" s="484" t="n"/>
      <c r="G25" s="484" t="n"/>
      <c r="H25" s="496" t="n"/>
      <c r="I25" s="484" t="n"/>
      <c r="J25" s="484" t="n"/>
      <c r="K25" s="484" t="n"/>
      <c r="L25" s="484" t="n"/>
      <c r="M25" s="484" t="n"/>
      <c r="N25" s="496" t="n"/>
      <c r="O25" s="502" t="inlineStr">
        <is>
          <t xml:space="preserve">Management Adjustment-Additional Environmental Factor </t>
        </is>
      </c>
      <c r="P25" s="503" t="n"/>
      <c r="Q25" s="495">
        <f>'Historical Data'!AY159</f>
        <v/>
      </c>
      <c r="R25" s="496" t="n"/>
      <c r="S25" s="504">
        <f>G23*Q25</f>
        <v/>
      </c>
      <c r="T25" s="36" t="n"/>
      <c r="U25" s="36" t="n"/>
    </row>
    <row r="26" ht="15.75" customHeight="1" s="685">
      <c r="B26" s="36" t="n"/>
      <c r="C26" s="496" t="n"/>
      <c r="D26" s="496" t="n"/>
      <c r="E26" s="496" t="n"/>
      <c r="F26" s="496" t="n"/>
      <c r="G26" s="496" t="n"/>
      <c r="H26" s="496" t="n"/>
      <c r="I26" s="484" t="n"/>
      <c r="J26" s="484" t="n"/>
      <c r="K26" s="496" t="n"/>
      <c r="L26" s="505" t="n"/>
      <c r="M26" s="484" t="n"/>
      <c r="N26" s="496" t="n"/>
      <c r="O26" s="502" t="inlineStr">
        <is>
          <t>Expected Losses on Loans Assessed on Individual Basis</t>
        </is>
      </c>
      <c r="P26" s="502" t="n"/>
      <c r="Q26" s="496" t="n"/>
      <c r="R26" s="496" t="n"/>
      <c r="S26" s="506">
        <f>' Impaired Loans ASC 310-10'!P24</f>
        <v/>
      </c>
      <c r="T26" s="36" t="n"/>
      <c r="U26" s="36" t="n"/>
    </row>
    <row r="27">
      <c r="B27" s="36" t="n"/>
      <c r="C27" s="496" t="n"/>
      <c r="D27" s="496" t="n"/>
      <c r="E27" s="496" t="n"/>
      <c r="F27" s="496" t="n"/>
      <c r="G27" s="496" t="n"/>
      <c r="H27" s="496" t="n"/>
      <c r="I27" s="484" t="n"/>
      <c r="J27" s="484" t="n"/>
      <c r="K27" s="496" t="n"/>
      <c r="L27" s="496" t="n"/>
      <c r="M27" s="496" t="n"/>
      <c r="N27" s="496" t="n"/>
      <c r="O27" s="502" t="inlineStr">
        <is>
          <t>Total Expected Losses on Loans</t>
        </is>
      </c>
      <c r="P27" s="502" t="n"/>
      <c r="Q27" s="496" t="n"/>
      <c r="R27" s="496" t="n"/>
      <c r="S27" s="506">
        <f>S23+S25+S26</f>
        <v/>
      </c>
      <c r="T27" s="36" t="n"/>
      <c r="U27" s="39" t="n"/>
    </row>
    <row r="28">
      <c r="B28" s="36" t="n"/>
      <c r="C28" s="496" t="n"/>
      <c r="D28" s="496" t="n"/>
      <c r="E28" s="496" t="n"/>
      <c r="F28" s="496" t="n"/>
      <c r="G28" s="496" t="n"/>
      <c r="H28" s="496" t="n"/>
      <c r="I28" s="484" t="n"/>
      <c r="J28" s="484" t="n"/>
      <c r="K28" s="496" t="n"/>
      <c r="L28" s="496" t="n"/>
      <c r="M28" s="496" t="n"/>
      <c r="N28" s="496" t="n"/>
      <c r="O28" s="502" t="inlineStr">
        <is>
          <t>Current ACL Balance</t>
        </is>
      </c>
      <c r="P28" s="502" t="n"/>
      <c r="Q28" s="496" t="n"/>
      <c r="R28" s="496" t="n"/>
      <c r="S28" s="506">
        <f>'Historical Data'!AY177</f>
        <v/>
      </c>
      <c r="T28" s="36" t="n"/>
      <c r="U28" s="39" t="n"/>
    </row>
    <row r="29">
      <c r="B29" s="36" t="n"/>
      <c r="C29" s="496" t="n"/>
      <c r="D29" s="496" t="n"/>
      <c r="E29" s="496" t="n"/>
      <c r="F29" s="496" t="n"/>
      <c r="G29" s="496" t="n"/>
      <c r="H29" s="496" t="n"/>
      <c r="I29" s="484" t="n"/>
      <c r="J29" s="484" t="n"/>
      <c r="K29" s="496" t="n"/>
      <c r="L29" s="496" t="n"/>
      <c r="M29" s="496" t="n"/>
      <c r="N29" s="496" t="n"/>
      <c r="O29" s="502" t="inlineStr">
        <is>
          <t xml:space="preserve">Adjustment </t>
        </is>
      </c>
      <c r="P29" s="502" t="n"/>
      <c r="Q29" s="496" t="n"/>
      <c r="R29" s="496" t="n"/>
      <c r="S29" s="506">
        <f>S27-S28</f>
        <v/>
      </c>
      <c r="T29" s="36" t="n"/>
      <c r="U29" s="39" t="n"/>
    </row>
    <row r="30">
      <c r="B30" s="36" t="n"/>
      <c r="C30" s="496" t="n"/>
      <c r="D30" s="496" t="n"/>
      <c r="E30" s="496" t="n"/>
      <c r="F30" s="496" t="n"/>
      <c r="G30" s="496" t="n"/>
      <c r="H30" s="496" t="n"/>
      <c r="I30" s="484" t="n"/>
      <c r="J30" s="484" t="n"/>
      <c r="K30" s="496" t="n"/>
      <c r="L30" s="496" t="n"/>
      <c r="M30" s="496" t="n"/>
      <c r="N30" s="496" t="n"/>
      <c r="O30" s="502" t="inlineStr">
        <is>
          <t>ACL/Total Loans</t>
        </is>
      </c>
      <c r="P30" s="502" t="n"/>
      <c r="Q30" s="496" t="n"/>
      <c r="R30" s="496" t="n"/>
      <c r="S30" s="38">
        <f>IF(S27=0,0,S27/C23)</f>
        <v/>
      </c>
      <c r="T30" s="36" t="n"/>
      <c r="U30" s="36" t="n"/>
    </row>
    <row r="31">
      <c r="B31" s="36" t="n"/>
      <c r="C31" s="36" t="n"/>
      <c r="D31" s="36" t="n"/>
      <c r="E31" s="36" t="n"/>
      <c r="F31" s="36" t="n"/>
      <c r="G31" s="36" t="n"/>
      <c r="H31" s="36" t="n"/>
      <c r="I31" s="37" t="n"/>
      <c r="J31" s="36" t="n"/>
      <c r="K31" s="36" t="n"/>
      <c r="L31" s="36" t="n"/>
      <c r="M31" s="36" t="n"/>
      <c r="N31" s="36" t="n"/>
      <c r="O31" s="36" t="n"/>
      <c r="P31" s="36" t="n"/>
      <c r="Q31" s="36" t="n"/>
      <c r="R31" s="36" t="n"/>
      <c r="S31" s="36" t="n"/>
      <c r="T31" s="36" t="n"/>
      <c r="U31" s="36" t="n"/>
    </row>
    <row r="32">
      <c r="A32" s="501" t="inlineStr">
        <is>
          <t>Calculations:</t>
        </is>
      </c>
      <c r="U32" s="36" t="n"/>
    </row>
    <row r="33">
      <c r="A33" t="inlineStr">
        <is>
          <t>Loans Assessed on Pooled Basis = End of Period Loan Balance - Loans Assessed on Individual Basis</t>
        </is>
      </c>
      <c r="U33" s="36" t="n"/>
    </row>
    <row r="34">
      <c r="A34" t="inlineStr">
        <is>
          <t>Life of Loan Loss Rate = CECL ACL Lifetime Loss Rate +/- Management Adjustment</t>
        </is>
      </c>
      <c r="U34" s="36" t="n"/>
    </row>
    <row r="35">
      <c r="A35" t="inlineStr">
        <is>
          <t>Base CECL ACL = Net Loans Asses on Pooled Basis x Life of Loan Loss Rate</t>
        </is>
      </c>
    </row>
    <row r="36">
      <c r="A36" t="inlineStr">
        <is>
          <t>Final CECL ACL = Base CECL ACL + (Base CECL ACL x Adjustment for Qualitative Factors)</t>
        </is>
      </c>
    </row>
    <row r="37">
      <c r="A37" t="inlineStr">
        <is>
          <t>See Appendix for detailed descriptions.</t>
        </is>
      </c>
    </row>
    <row r="64">
      <c r="S64" s="507" t="n"/>
    </row>
  </sheetData>
  <mergeCells count="4">
    <mergeCell ref="A4:S4"/>
    <mergeCell ref="A3:S3"/>
    <mergeCell ref="A2:S2"/>
    <mergeCell ref="A5:S5"/>
  </mergeCells>
  <conditionalFormatting sqref="M9:M21">
    <cfRule type="cellIs" priority="2" operator="lessThan" dxfId="0">
      <formula>0</formula>
    </cfRule>
  </conditionalFormatting>
  <conditionalFormatting sqref="S9:S21">
    <cfRule type="cellIs" priority="1" operator="lessThan" dxfId="0">
      <formula>0</formula>
    </cfRule>
  </conditionalFormatting>
  <printOptions horizontalCentered="1"/>
  <pageMargins left="0.25" right="0.25" top="0.25" bottom="0.25" header="0.05" footer="0.05"/>
  <pageSetup orientation="landscape" scale="57"/>
  <headerFooter>
    <oddHeader/>
    <oddFooter>&amp;L&amp;G&amp;RPage &amp;P of &amp;N</oddFooter>
    <evenHeader/>
    <evenFooter/>
    <firstHeader/>
    <firstFooter/>
  </headerFooter>
</worksheet>
</file>

<file path=xl/worksheets/sheet11.xml><?xml version="1.0" encoding="utf-8"?>
<worksheet xmlns="http://schemas.openxmlformats.org/spreadsheetml/2006/main">
  <sheetPr>
    <tabColor rgb="FF00B0F0"/>
    <outlinePr summaryBelow="1" summaryRight="1"/>
    <pageSetUpPr/>
  </sheetPr>
  <dimension ref="A1:AC413"/>
  <sheetViews>
    <sheetView view="pageBreakPreview" zoomScale="60" zoomScaleNormal="100" workbookViewId="0">
      <selection activeCell="H61" sqref="H61"/>
    </sheetView>
  </sheetViews>
  <sheetFormatPr baseColWidth="8" defaultColWidth="9.140625" defaultRowHeight="15"/>
  <cols>
    <col width="22.28515625" customWidth="1" style="734" min="1" max="1"/>
    <col width="14.28515625" customWidth="1" style="733" min="2" max="2"/>
    <col width="15" customWidth="1" style="734" min="3" max="3"/>
    <col width="66.7109375" customWidth="1" style="734" min="4" max="4"/>
    <col width="13.7109375" customWidth="1" style="734" min="5" max="5"/>
    <col width="12.5703125" customWidth="1" style="734" min="6" max="6"/>
    <col width="18.85546875" customWidth="1" style="843" min="7" max="7"/>
    <col width="20.5703125" customWidth="1" style="843" min="8" max="8"/>
    <col width="28.28515625" customWidth="1" style="843" min="9" max="9"/>
    <col width="32.7109375" customWidth="1" style="843" min="10" max="10"/>
    <col width="0.85546875" customWidth="1" style="843" min="11" max="11"/>
    <col width="26.5703125" customWidth="1" style="843" min="12" max="12"/>
    <col width="25.7109375" bestFit="1" customWidth="1" style="734" min="13" max="13"/>
    <col width="24.85546875" bestFit="1" customWidth="1" style="736" min="14" max="14"/>
    <col width="12.5703125" customWidth="1" style="737" min="15" max="15"/>
    <col width="15.28515625" customWidth="1" style="734" min="16" max="16"/>
    <col width="20.42578125" customWidth="1" style="736" min="17" max="17"/>
    <col width="16.42578125" customWidth="1" style="736" min="18" max="18"/>
    <col width="19.28515625" customWidth="1" style="736" min="19" max="19"/>
    <col width="9.140625" customWidth="1" style="734" min="20" max="26"/>
    <col width="9.140625" customWidth="1" style="734" min="27" max="16384"/>
  </cols>
  <sheetData>
    <row r="1" ht="23.25" customHeight="1" s="685">
      <c r="A1" s="732">
        <f>"Prepared For "&amp;'Cover-Vizo'!A10</f>
        <v/>
      </c>
      <c r="K1" s="732" t="n"/>
      <c r="L1" s="732">
        <f>A1</f>
        <v/>
      </c>
    </row>
    <row r="2" ht="15.75" customHeight="1" s="685">
      <c r="A2" s="728" t="inlineStr">
        <is>
          <t>Impaired Loans  Report Data Entry</t>
        </is>
      </c>
      <c r="K2" s="728" t="n"/>
      <c r="L2" s="728" t="inlineStr">
        <is>
          <t>Impaired Loans Calculation</t>
        </is>
      </c>
    </row>
    <row r="3" ht="14.45" customHeight="1" s="685">
      <c r="A3" s="738" t="n"/>
      <c r="K3" s="738" t="n"/>
      <c r="L3" s="532" t="n"/>
      <c r="M3" s="532" t="n"/>
      <c r="N3" s="532" t="n"/>
    </row>
    <row r="4" ht="38.45" customHeight="1" s="685">
      <c r="A4" s="546">
        <f>' Impaired Loans ASC 310-10'!A4</f>
        <v/>
      </c>
      <c r="B4" s="547">
        <f>' Impaired Loans ASC 310-10'!B4</f>
        <v/>
      </c>
      <c r="G4" s="734" t="n"/>
      <c r="H4" s="734" t="n"/>
      <c r="I4" s="734" t="n"/>
      <c r="J4" s="734" t="n"/>
      <c r="K4" s="734" t="n"/>
      <c r="L4" s="548">
        <f>A4</f>
        <v/>
      </c>
      <c r="M4" s="549" t="n"/>
      <c r="N4" s="550" t="n"/>
      <c r="O4" s="551" t="n"/>
      <c r="P4" s="549" t="n"/>
      <c r="Q4" s="552">
        <f>"Sum of "&amp;Q27</f>
        <v/>
      </c>
      <c r="R4" s="552">
        <f>"Sum of "&amp;R27</f>
        <v/>
      </c>
      <c r="S4" s="552">
        <f>"Sum of "&amp;S27</f>
        <v/>
      </c>
    </row>
    <row r="5" ht="12.75" customHeight="1" s="685">
      <c r="A5" s="553">
        <f>IF(' Impaired Loans ASC 310-10'!A5="","",' Impaired Loans ASC 310-10'!A5)</f>
        <v/>
      </c>
      <c r="B5" s="554">
        <f>' Impaired Loans ASC 310-10'!B5</f>
        <v/>
      </c>
      <c r="G5" s="734" t="n"/>
      <c r="H5" s="734" t="n"/>
      <c r="I5" s="734" t="n"/>
      <c r="J5" s="734" t="n"/>
      <c r="K5" s="734" t="n"/>
      <c r="L5" s="555">
        <f>IF(A5=0,"",A5)</f>
        <v/>
      </c>
      <c r="Q5" s="555">
        <f>IF(A5=0,"",SUMIF($A$28:$A$412,L5,$Q$28:$Q$412))</f>
        <v/>
      </c>
      <c r="R5" s="555">
        <f>IF(A5=0,"",SUMIF($A$28:$A$412,L5,$R$28:$R$412))</f>
        <v/>
      </c>
      <c r="S5" s="555">
        <f>IF(A5=0,"",SUMIF($A$28:$A$412,L5,$S$28:$S$412))</f>
        <v/>
      </c>
    </row>
    <row r="6" ht="12.75" customHeight="1" s="685">
      <c r="A6" s="553">
        <f>IF(' Impaired Loans ASC 310-10'!A6="","",' Impaired Loans ASC 310-10'!A6)</f>
        <v/>
      </c>
      <c r="B6" s="554">
        <f>' Impaired Loans ASC 310-10'!B6</f>
        <v/>
      </c>
      <c r="G6" s="734" t="n"/>
      <c r="H6" s="734" t="n"/>
      <c r="I6" s="734" t="n"/>
      <c r="J6" s="734" t="n"/>
      <c r="K6" s="734" t="n"/>
      <c r="L6" s="555">
        <f>IF(A6=0,"",A6)</f>
        <v/>
      </c>
      <c r="Q6" s="555">
        <f>IF(A6=0,"",SUMIF($A$28:$A$412,L6,$Q$28:$Q$412))</f>
        <v/>
      </c>
      <c r="R6" s="555">
        <f>IF(A6=0,"",SUMIF($A$28:$A$412,L6,$R$28:$R$412))</f>
        <v/>
      </c>
      <c r="S6" s="555">
        <f>IF(A6=0,"",SUMIF($A$28:$A$412,L6,$S$28:$S$412))</f>
        <v/>
      </c>
    </row>
    <row r="7">
      <c r="A7" s="553">
        <f>IF(' Impaired Loans ASC 310-10'!A7="","",' Impaired Loans ASC 310-10'!A7)</f>
        <v/>
      </c>
      <c r="B7" s="554">
        <f>' Impaired Loans ASC 310-10'!B7</f>
        <v/>
      </c>
      <c r="H7" s="734" t="n"/>
      <c r="I7" s="734" t="n"/>
      <c r="J7" s="734" t="n"/>
      <c r="K7" s="734" t="n"/>
      <c r="L7" s="555">
        <f>IF(A7=0,"",A7)</f>
        <v/>
      </c>
      <c r="Q7" s="555">
        <f>IF(A7=0,"",SUMIF($A$28:$A$412,L7,$Q$28:$Q$412))</f>
        <v/>
      </c>
      <c r="R7" s="555">
        <f>IF(A7=0,"",SUMIF($A$28:$A$412,L7,$R$28:$R$412))</f>
        <v/>
      </c>
      <c r="S7" s="555">
        <f>IF(A7=0,"",SUMIF($A$28:$A$412,L7,$S$28:$S$412))</f>
        <v/>
      </c>
    </row>
    <row r="8">
      <c r="A8" s="553">
        <f>IF(' Impaired Loans ASC 310-10'!A8="","",' Impaired Loans ASC 310-10'!A8)</f>
        <v/>
      </c>
      <c r="B8" s="554">
        <f>' Impaired Loans ASC 310-10'!B8</f>
        <v/>
      </c>
      <c r="H8" s="734" t="n"/>
      <c r="I8" s="734" t="n"/>
      <c r="J8" s="734" t="n"/>
      <c r="K8" s="734" t="n"/>
      <c r="L8" s="555">
        <f>IF(A8=0,"",A8)</f>
        <v/>
      </c>
      <c r="Q8" s="555">
        <f>IF(A8=0,"",SUMIF($A$28:$A$412,L8,$Q$28:$Q$412))</f>
        <v/>
      </c>
      <c r="R8" s="555">
        <f>IF(A8=0,"",SUMIF($A$28:$A$412,L8,$R$28:$R$412))</f>
        <v/>
      </c>
      <c r="S8" s="555">
        <f>IF(A8=0,"",SUMIF($A$28:$A$412,L8,$S$28:$S$412))</f>
        <v/>
      </c>
    </row>
    <row r="9">
      <c r="A9" s="553">
        <f>IF(' Impaired Loans ASC 310-10'!A9="","",' Impaired Loans ASC 310-10'!A9)</f>
        <v/>
      </c>
      <c r="B9" s="554">
        <f>' Impaired Loans ASC 310-10'!B9</f>
        <v/>
      </c>
      <c r="H9" s="734" t="n"/>
      <c r="I9" s="734" t="n"/>
      <c r="J9" s="734" t="n"/>
      <c r="K9" s="734" t="n"/>
      <c r="L9" s="555">
        <f>IF(A9=0,"",A9)</f>
        <v/>
      </c>
      <c r="Q9" s="555">
        <f>IF(A9=0,"",SUMIF($A$28:$A$412,L9,$Q$28:$Q$412))</f>
        <v/>
      </c>
      <c r="R9" s="555">
        <f>IF(A9=0,"",SUMIF($A$28:$A$412,L9,$R$28:$R$412))</f>
        <v/>
      </c>
      <c r="S9" s="555">
        <f>IF(A9=0,"",SUMIF($A$28:$A$412,L9,$S$28:$S$412))</f>
        <v/>
      </c>
    </row>
    <row r="10" hidden="1" s="685">
      <c r="A10" s="553">
        <f>IF(' Impaired Loans ASC 310-10'!A10="","",' Impaired Loans ASC 310-10'!A10)</f>
        <v/>
      </c>
      <c r="B10" s="554">
        <f>' Impaired Loans ASC 310-10'!B10</f>
        <v/>
      </c>
      <c r="C10" s="553" t="n"/>
      <c r="H10" s="734" t="n"/>
      <c r="I10" s="734" t="n"/>
      <c r="J10" s="734" t="n"/>
      <c r="K10" s="734" t="n"/>
      <c r="L10" s="555">
        <f>IF(A10=0,"",A10)</f>
        <v/>
      </c>
      <c r="Q10" s="555">
        <f>IF(A10=0,"",SUMIF($A$28:$A$412,L10,$Q$28:$Q$412))</f>
        <v/>
      </c>
      <c r="R10" s="555">
        <f>IF(A10=0,"",SUMIF($A$28:$A$412,L10,$R$28:$R$412))</f>
        <v/>
      </c>
      <c r="S10" s="555">
        <f>IF(A10=0,"",SUMIF($A$28:$A$412,L10,$S$28:$S$412))</f>
        <v/>
      </c>
    </row>
    <row r="11" hidden="1" customFormat="1" s="557">
      <c r="A11" s="553">
        <f>IF(' Impaired Loans ASC 310-10'!A11="","",' Impaired Loans ASC 310-10'!A11)</f>
        <v/>
      </c>
      <c r="B11" s="554">
        <f>' Impaired Loans ASC 310-10'!B11</f>
        <v/>
      </c>
      <c r="C11" s="553" t="n"/>
      <c r="G11" s="804" t="n"/>
      <c r="H11" s="804" t="n"/>
      <c r="I11" s="804" t="n"/>
      <c r="J11" s="804" t="n"/>
      <c r="K11" s="804" t="n"/>
      <c r="L11" s="555">
        <f>IF(A11=0,"",A11)</f>
        <v/>
      </c>
      <c r="Q11" s="555">
        <f>IF(A11=0,"",SUMIF($A$28:$A$412,L11,$Q$28:$Q$412))</f>
        <v/>
      </c>
      <c r="R11" s="555">
        <f>IF(A11=0,"",SUMIF($A$28:$A$412,L11,$R$28:$R$412))</f>
        <v/>
      </c>
      <c r="S11" s="555">
        <f>IF(A11=0,"",SUMIF($A$28:$A$412,L11,$S$28:$S$412))</f>
        <v/>
      </c>
    </row>
    <row r="12" hidden="1" customFormat="1" s="557">
      <c r="A12" s="553">
        <f>IF(' Impaired Loans ASC 310-10'!A12="","",' Impaired Loans ASC 310-10'!A12)</f>
        <v/>
      </c>
      <c r="B12" s="554">
        <f>' Impaired Loans ASC 310-10'!B12</f>
        <v/>
      </c>
      <c r="C12" s="553" t="n"/>
      <c r="G12" s="804" t="n"/>
      <c r="H12" s="804" t="n"/>
      <c r="I12" s="804" t="n"/>
      <c r="J12" s="804" t="n"/>
      <c r="K12" s="804" t="n"/>
      <c r="L12" s="555">
        <f>IF(A12=0,"",A12)</f>
        <v/>
      </c>
      <c r="Q12" s="555">
        <f>IF(A12=0,"",SUMIF($A$28:$A$412,L12,$Q$28:$Q$412))</f>
        <v/>
      </c>
      <c r="R12" s="555">
        <f>IF(A12=0,"",SUMIF($A$28:$A$412,L12,$R$28:$R$412))</f>
        <v/>
      </c>
      <c r="S12" s="555">
        <f>IF(A12=0,"",SUMIF($A$28:$A$412,L12,$S$28:$S$412))</f>
        <v/>
      </c>
    </row>
    <row r="13" hidden="1" customFormat="1" s="557">
      <c r="A13" s="553">
        <f>IF(' Impaired Loans ASC 310-10'!A13="","",' Impaired Loans ASC 310-10'!A13)</f>
        <v/>
      </c>
      <c r="B13" s="554">
        <f>' Impaired Loans ASC 310-10'!B13</f>
        <v/>
      </c>
      <c r="C13" s="553" t="n"/>
      <c r="G13" s="804" t="n"/>
      <c r="L13" s="555">
        <f>IF(A13=0,"",A13)</f>
        <v/>
      </c>
      <c r="Q13" s="555">
        <f>IF(A13=0,"",SUMIF($A$28:$A$412,L13,$Q$28:$Q$412))</f>
        <v/>
      </c>
      <c r="R13" s="555">
        <f>IF(A13=0,"",SUMIF($A$28:$A$412,L13,$R$28:$R$412))</f>
        <v/>
      </c>
      <c r="S13" s="555">
        <f>IF(A13=0,"",SUMIF($A$28:$A$412,L13,$S$28:$S$412))</f>
        <v/>
      </c>
    </row>
    <row r="14" hidden="1" customFormat="1" s="557">
      <c r="A14" s="553">
        <f>IF(' Impaired Loans ASC 310-10'!A14="","",' Impaired Loans ASC 310-10'!A14)</f>
        <v/>
      </c>
      <c r="B14" s="554">
        <f>' Impaired Loans ASC 310-10'!B14</f>
        <v/>
      </c>
      <c r="C14" s="553" t="n"/>
      <c r="G14" s="804" t="n"/>
      <c r="H14" s="804" t="n"/>
      <c r="I14" s="804" t="n"/>
      <c r="J14" s="804" t="n"/>
      <c r="K14" s="804" t="n"/>
      <c r="L14" s="555">
        <f>IF(A14=0,"",A14)</f>
        <v/>
      </c>
      <c r="Q14" s="555">
        <f>IF(A14=0,"",SUMIF($A$28:$A$412,L14,$Q$28:$Q$412))</f>
        <v/>
      </c>
      <c r="R14" s="555">
        <f>IF(A14=0,"",SUMIF($A$28:$A$412,L14,$R$28:$R$412))</f>
        <v/>
      </c>
      <c r="S14" s="555">
        <f>IF(A14=0,"",SUMIF($A$28:$A$412,L14,$S$28:$S$412))</f>
        <v/>
      </c>
    </row>
    <row r="15" hidden="1" customFormat="1" s="557">
      <c r="A15" s="553">
        <f>IF(' Impaired Loans ASC 310-10'!A15="","",' Impaired Loans ASC 310-10'!A15)</f>
        <v/>
      </c>
      <c r="B15" s="554">
        <f>' Impaired Loans ASC 310-10'!B15</f>
        <v/>
      </c>
      <c r="C15" s="553" t="n"/>
      <c r="G15" s="804" t="n"/>
      <c r="H15" s="804" t="n"/>
      <c r="I15" s="804" t="n"/>
      <c r="J15" s="804" t="n"/>
      <c r="K15" s="804" t="n"/>
      <c r="L15" s="555">
        <f>IF(A15=0,"",A15)</f>
        <v/>
      </c>
      <c r="Q15" s="555">
        <f>IF(A15=0,"",SUMIF($A$28:$A$412,L15,$Q$28:$Q$412))</f>
        <v/>
      </c>
      <c r="R15" s="555">
        <f>IF(A15=0,"",SUMIF($A$28:$A$412,L15,$R$28:$R$412))</f>
        <v/>
      </c>
      <c r="S15" s="555">
        <f>IF(A15=0,"",SUMIF($A$28:$A$412,L15,$S$28:$S$412))</f>
        <v/>
      </c>
    </row>
    <row r="16" hidden="1" customFormat="1" s="557">
      <c r="A16" s="553">
        <f>IF(' Impaired Loans ASC 310-10'!A16="","",' Impaired Loans ASC 310-10'!A16)</f>
        <v/>
      </c>
      <c r="B16" s="554">
        <f>' Impaired Loans ASC 310-10'!B16</f>
        <v/>
      </c>
      <c r="C16" s="553" t="n"/>
      <c r="G16" s="804" t="n"/>
      <c r="H16" s="804" t="n"/>
      <c r="I16" s="804" t="n"/>
      <c r="J16" s="804" t="n"/>
      <c r="K16" s="804" t="n"/>
      <c r="L16" s="555">
        <f>IF(A16=0,"",A16)</f>
        <v/>
      </c>
      <c r="Q16" s="555">
        <f>IF(A16=0,"",SUMIF($A$28:$A$412,L16,$Q$28:$Q$412))</f>
        <v/>
      </c>
      <c r="R16" s="555">
        <f>IF(A16=0,"",SUMIF($A$28:$A$412,L16,$R$28:$R$412))</f>
        <v/>
      </c>
      <c r="S16" s="555">
        <f>IF(A16=0,"",SUMIF($A$28:$A$412,L16,$S$28:$S$412))</f>
        <v/>
      </c>
    </row>
    <row r="17" hidden="1" customFormat="1" s="557">
      <c r="A17" s="553">
        <f>IF(' Impaired Loans ASC 310-10'!A17="","",' Impaired Loans ASC 310-10'!A17)</f>
        <v/>
      </c>
      <c r="B17" s="554">
        <f>' Impaired Loans ASC 310-10'!B17</f>
        <v/>
      </c>
      <c r="C17" s="553" t="n"/>
      <c r="G17" s="804" t="n"/>
      <c r="H17" s="804" t="n"/>
      <c r="I17" s="804" t="n"/>
      <c r="J17" s="804" t="n"/>
      <c r="K17" s="804" t="n"/>
      <c r="L17" s="555">
        <f>IF(A17=0,"",A17)</f>
        <v/>
      </c>
      <c r="Q17" s="555">
        <f>IF(A17=0,"",SUMIF($A$28:$A$412,L17,$Q$28:$Q$412))</f>
        <v/>
      </c>
      <c r="R17" s="555">
        <f>IF(A17=0,"",SUMIF($A$28:$A$412,L17,$R$28:$R$412))</f>
        <v/>
      </c>
      <c r="S17" s="555">
        <f>IF(A17=0,"",SUMIF($A$28:$A$412,L17,$S$28:$S$412))</f>
        <v/>
      </c>
    </row>
    <row r="18" hidden="1" customFormat="1" s="557">
      <c r="A18" s="553">
        <f>IF(' Impaired Loans ASC 310-10'!A18="","",' Impaired Loans ASC 310-10'!A18)</f>
        <v/>
      </c>
      <c r="B18" s="554">
        <f>' Impaired Loans ASC 310-10'!B18</f>
        <v/>
      </c>
      <c r="C18" s="553" t="n"/>
      <c r="G18" s="804" t="n"/>
      <c r="H18" s="804" t="n"/>
      <c r="I18" s="804" t="n"/>
      <c r="J18" s="804" t="n"/>
      <c r="K18" s="804" t="n"/>
      <c r="L18" s="555">
        <f>IF(A18=0,"",A18)</f>
        <v/>
      </c>
      <c r="Q18" s="555">
        <f>IF(A18=0,"",SUMIF($A$28:$A$412,L18,$Q$28:$Q$412))</f>
        <v/>
      </c>
      <c r="R18" s="555">
        <f>IF(A18=0,"",SUMIF($A$28:$A$412,L18,$R$28:$R$412))</f>
        <v/>
      </c>
      <c r="S18" s="555">
        <f>IF(A18=0,"",SUMIF($A$28:$A$412,L18,$S$28:$S$412))</f>
        <v/>
      </c>
    </row>
    <row r="19" hidden="1" customFormat="1" s="557">
      <c r="A19" s="553">
        <f>IF(' Impaired Loans ASC 310-10'!A19="","",' Impaired Loans ASC 310-10'!A19)</f>
        <v/>
      </c>
      <c r="B19" s="554">
        <f>' Impaired Loans ASC 310-10'!B19</f>
        <v/>
      </c>
      <c r="C19" s="553" t="n"/>
      <c r="G19" s="804" t="n"/>
      <c r="H19" s="804" t="n"/>
      <c r="I19" s="804" t="n"/>
      <c r="J19" s="804" t="n"/>
      <c r="K19" s="804" t="n"/>
      <c r="L19" s="555">
        <f>IF(A19=0,"",A19)</f>
        <v/>
      </c>
      <c r="Q19" s="555">
        <f>IF(A19=0,"",SUMIF($A$28:$A$412,L19,$Q$28:$Q$412))</f>
        <v/>
      </c>
      <c r="R19" s="555">
        <f>IF(A19=0,"",SUMIF($A$28:$A$412,L19,$R$28:$R$412))</f>
        <v/>
      </c>
      <c r="S19" s="555">
        <f>IF(A19=0,"",SUMIF($A$28:$A$412,L19,$S$28:$S$412))</f>
        <v/>
      </c>
    </row>
    <row r="20" hidden="1" customFormat="1" s="557">
      <c r="A20" s="553">
        <f>IF(' Impaired Loans ASC 310-10'!A20="","",' Impaired Loans ASC 310-10'!A20)</f>
        <v/>
      </c>
      <c r="B20" s="554">
        <f>' Impaired Loans ASC 310-10'!B20</f>
        <v/>
      </c>
      <c r="C20" s="553" t="n"/>
      <c r="G20" s="804" t="n"/>
      <c r="H20" s="804" t="n"/>
      <c r="I20" s="804" t="n"/>
      <c r="J20" s="804" t="n"/>
      <c r="K20" s="804" t="n"/>
      <c r="L20" s="555">
        <f>IF(A20=0,"",A20)</f>
        <v/>
      </c>
      <c r="Q20" s="555">
        <f>IF(A20=0,"",SUMIF($A$28:$A$412,L20,$Q$28:$Q$412))</f>
        <v/>
      </c>
      <c r="R20" s="555">
        <f>IF(A20=0,"",SUMIF($A$28:$A$412,L20,$R$28:$R$412))</f>
        <v/>
      </c>
      <c r="S20" s="555">
        <f>IF(A20=0,"",SUMIF($A$28:$A$412,L20,$S$28:$S$412))</f>
        <v/>
      </c>
    </row>
    <row r="21" hidden="1" customFormat="1" s="557">
      <c r="A21" s="553">
        <f>IF(' Impaired Loans ASC 310-10'!A21="","",' Impaired Loans ASC 310-10'!A21)</f>
        <v/>
      </c>
      <c r="B21" s="554">
        <f>' Impaired Loans ASC 310-10'!B21</f>
        <v/>
      </c>
      <c r="C21" s="553" t="n"/>
      <c r="G21" s="804" t="n"/>
      <c r="H21" s="804" t="n"/>
      <c r="I21" s="804" t="n"/>
      <c r="J21" s="804" t="n"/>
      <c r="K21" s="804" t="n"/>
      <c r="L21" s="555">
        <f>IF(A21=0,"",A21)</f>
        <v/>
      </c>
      <c r="Q21" s="555">
        <f>IF(A21=0,"",SUMIF($A$28:$A$412,L21,$Q$28:$Q$412))</f>
        <v/>
      </c>
      <c r="R21" s="555">
        <f>IF(A21=0,"",SUMIF($A$28:$A$412,L21,$R$28:$R$412))</f>
        <v/>
      </c>
      <c r="S21" s="555">
        <f>IF(A21=0,"",SUMIF($A$28:$A$412,L21,$S$28:$S$412))</f>
        <v/>
      </c>
    </row>
    <row r="22" hidden="1" customFormat="1" s="557">
      <c r="A22" s="553">
        <f>IF(' Impaired Loans ASC 310-10'!A22="","",' Impaired Loans ASC 310-10'!A22)</f>
        <v/>
      </c>
      <c r="B22" s="554">
        <f>' Impaired Loans ASC 310-10'!B22</f>
        <v/>
      </c>
      <c r="C22" s="553" t="n"/>
      <c r="G22" s="804" t="n"/>
      <c r="H22" s="804" t="n"/>
      <c r="I22" s="804" t="n"/>
      <c r="J22" s="804" t="n"/>
      <c r="K22" s="804" t="n"/>
      <c r="L22" s="555">
        <f>IF(A22=0,"",A22)</f>
        <v/>
      </c>
      <c r="Q22" s="555">
        <f>IF(A22=0,"",SUMIF($A$28:$A$412,L22,$Q$28:$Q$412))</f>
        <v/>
      </c>
      <c r="R22" s="555">
        <f>IF(A22=0,"",SUMIF($A$28:$A$412,L22,$R$28:$R$412))</f>
        <v/>
      </c>
      <c r="S22" s="555">
        <f>IF(A22=0,"",SUMIF($A$28:$A$412,L22,$S$28:$S$412))</f>
        <v/>
      </c>
    </row>
    <row r="23" hidden="1" customFormat="1" s="557">
      <c r="A23" s="553">
        <f>IF(' Impaired Loans ASC 310-10'!A23="","",' Impaired Loans ASC 310-10'!A23)</f>
        <v/>
      </c>
      <c r="B23" s="554">
        <f>' Impaired Loans ASC 310-10'!B23</f>
        <v/>
      </c>
      <c r="C23" s="553" t="n"/>
      <c r="G23" s="804" t="n"/>
      <c r="H23" s="804" t="n"/>
      <c r="I23" s="804" t="n"/>
      <c r="J23" s="804" t="n"/>
      <c r="K23" s="804" t="n"/>
      <c r="L23" s="555">
        <f>IF(A23=0,"",A23)</f>
        <v/>
      </c>
      <c r="Q23" s="555">
        <f>IF(A23=0,"",SUMIF($A$28:$A$412,L23,$Q$28:$Q$412))</f>
        <v/>
      </c>
      <c r="R23" s="555">
        <f>IF(A23=0,"",SUMIF($A$28:$A$412,L23,$R$28:$R$412))</f>
        <v/>
      </c>
      <c r="S23" s="555">
        <f>IF(A23=0,"",SUMIF($A$28:$A$412,L23,$S$28:$S$412))</f>
        <v/>
      </c>
    </row>
    <row r="24">
      <c r="B24" s="558" t="n"/>
      <c r="L24" s="559" t="inlineStr">
        <is>
          <t>Total</t>
        </is>
      </c>
      <c r="Q24" s="559">
        <f>SUM(Q5:Q10)</f>
        <v/>
      </c>
      <c r="R24" s="559">
        <f>SUM(R5:R10)</f>
        <v/>
      </c>
      <c r="S24" s="559">
        <f>SUM(S5:S10)</f>
        <v/>
      </c>
    </row>
    <row r="26" ht="21" customFormat="1" customHeight="1" s="740">
      <c r="A26" s="739" t="n"/>
      <c r="K26" s="739" t="n"/>
      <c r="L26" s="562" t="n"/>
      <c r="M26" s="563" t="n"/>
      <c r="N26" s="563" t="n"/>
      <c r="O26" s="563" t="n"/>
      <c r="P26" s="563" t="n"/>
      <c r="Q26" s="563" t="n"/>
      <c r="R26" s="563" t="n"/>
      <c r="S26" s="563" t="n"/>
    </row>
    <row r="27" ht="51" customFormat="1" customHeight="1" s="572">
      <c r="A27" s="565">
        <f>' Impaired Loans ASC 310-10'!A27</f>
        <v/>
      </c>
      <c r="B27" s="566">
        <f>' Impaired Loans ASC 310-10'!B27</f>
        <v/>
      </c>
      <c r="C27" s="566">
        <f>' Impaired Loans ASC 310-10'!C27</f>
        <v/>
      </c>
      <c r="D27" s="566">
        <f>' Impaired Loans ASC 310-10'!D27</f>
        <v/>
      </c>
      <c r="E27" s="844">
        <f>' Impaired Loans ASC 310-10'!E27</f>
        <v/>
      </c>
      <c r="F27" s="568">
        <f>' Impaired Loans ASC 310-10'!F27</f>
        <v/>
      </c>
      <c r="G27" s="844">
        <f>' Impaired Loans ASC 310-10'!G27</f>
        <v/>
      </c>
      <c r="H27" s="844">
        <f>' Impaired Loans ASC 310-10'!H27</f>
        <v/>
      </c>
      <c r="I27" s="844">
        <f>' Impaired Loans ASC 310-10'!I27</f>
        <v/>
      </c>
      <c r="J27" s="845">
        <f>' Impaired Loans ASC 310-10'!J27</f>
        <v/>
      </c>
      <c r="K27" s="846" t="n"/>
      <c r="L27" s="845">
        <f>A27</f>
        <v/>
      </c>
      <c r="M27" s="566">
        <f>' Impaired Loans ASC 310-10'!K27</f>
        <v/>
      </c>
      <c r="N27" s="552">
        <f>' Impaired Loans ASC 310-10'!L27</f>
        <v/>
      </c>
      <c r="O27" s="571">
        <f>' Impaired Loans ASC 310-10'!M27</f>
        <v/>
      </c>
      <c r="P27" s="566">
        <f>' Impaired Loans ASC 310-10'!O27</f>
        <v/>
      </c>
      <c r="Q27" s="552">
        <f>' Impaired Loans ASC 310-10'!N27</f>
        <v/>
      </c>
      <c r="R27" s="552">
        <f>' Impaired Loans ASC 310-10'!P27</f>
        <v/>
      </c>
      <c r="S27" s="552">
        <f>' Impaired Loans ASC 310-10'!Q27</f>
        <v/>
      </c>
    </row>
    <row r="28" customFormat="1" s="729">
      <c r="A28" s="573">
        <f>IF(' Impaired Loans ASC 310-10'!A28="","",' Impaired Loans ASC 310-10'!A28)</f>
        <v/>
      </c>
      <c r="B28" s="573">
        <f>IF(' Impaired Loans ASC 310-10'!B28="","",' Impaired Loans ASC 310-10'!B28)</f>
        <v/>
      </c>
      <c r="C28" s="573">
        <f>IF(' Impaired Loans ASC 310-10'!C28="","",' Impaired Loans ASC 310-10'!C28)</f>
        <v/>
      </c>
      <c r="D28" s="573">
        <f>IF(' Impaired Loans ASC 310-10'!D28="","",' Impaired Loans ASC 310-10'!D28)</f>
        <v/>
      </c>
      <c r="E28" s="574">
        <f>IF(' Impaired Loans ASC 310-10'!E28="","",' Impaired Loans ASC 310-10'!E28)</f>
        <v/>
      </c>
      <c r="F28" s="575">
        <f>IF(' Impaired Loans ASC 310-10'!F28="","",' Impaired Loans ASC 310-10'!F28)</f>
        <v/>
      </c>
      <c r="G28" s="847">
        <f>IF(' Impaired Loans ASC 310-10'!G28="","",' Impaired Loans ASC 310-10'!G28)</f>
        <v/>
      </c>
      <c r="H28" s="574">
        <f>IF(' Impaired Loans ASC 310-10'!H28="","",' Impaired Loans ASC 310-10'!H28)</f>
        <v/>
      </c>
      <c r="I28" s="847">
        <f>IF(' Impaired Loans ASC 310-10'!I28="","",' Impaired Loans ASC 310-10'!I28)</f>
        <v/>
      </c>
      <c r="J28" s="847">
        <f>IF(' Impaired Loans ASC 310-10'!J28="","",' Impaired Loans ASC 310-10'!J28)</f>
        <v/>
      </c>
      <c r="K28" s="848" t="n"/>
      <c r="L28" s="578">
        <f>A28</f>
        <v/>
      </c>
      <c r="M28" s="849">
        <f>IF(' Impaired Loans ASC 310-10'!A28="","",' Impaired Loans ASC 310-10'!K28)</f>
        <v/>
      </c>
      <c r="N28" s="580">
        <f>IF(' Impaired Loans ASC 310-10'!A28="","",' Impaired Loans ASC 310-10'!L28)</f>
        <v/>
      </c>
      <c r="O28" s="581">
        <f>IF(' Impaired Loans ASC 310-10'!A28="","",' Impaired Loans ASC 310-10'!M28)</f>
        <v/>
      </c>
      <c r="P28" s="582">
        <f>IF(' Impaired Loans ASC 310-10'!A28="","",' Impaired Loans ASC 310-10'!O28)</f>
        <v/>
      </c>
      <c r="Q28" s="583">
        <f>IF(' Impaired Loans ASC 310-10'!A28="","",' Impaired Loans ASC 310-10'!N28)</f>
        <v/>
      </c>
      <c r="R28" s="583">
        <f>IF(' Impaired Loans ASC 310-10'!A28="","",' Impaired Loans ASC 310-10'!P28)</f>
        <v/>
      </c>
      <c r="S28" s="583">
        <f>IF(' Impaired Loans ASC 310-10'!A28="","",' Impaired Loans ASC 310-10'!Q28)</f>
        <v/>
      </c>
    </row>
    <row r="29" customFormat="1" s="729">
      <c r="A29" s="573">
        <f>IF(' Impaired Loans ASC 310-10'!A29="","",' Impaired Loans ASC 310-10'!A29)</f>
        <v/>
      </c>
      <c r="B29" s="573">
        <f>IF(' Impaired Loans ASC 310-10'!B29="","",' Impaired Loans ASC 310-10'!B29)</f>
        <v/>
      </c>
      <c r="C29" s="573">
        <f>IF(' Impaired Loans ASC 310-10'!C29="","",' Impaired Loans ASC 310-10'!C29)</f>
        <v/>
      </c>
      <c r="D29" s="573">
        <f>IF(' Impaired Loans ASC 310-10'!D29="","",' Impaired Loans ASC 310-10'!D29)</f>
        <v/>
      </c>
      <c r="E29" s="574">
        <f>IF(' Impaired Loans ASC 310-10'!E29="","",' Impaired Loans ASC 310-10'!E29)</f>
        <v/>
      </c>
      <c r="F29" s="575">
        <f>IF(' Impaired Loans ASC 310-10'!F29="","",' Impaired Loans ASC 310-10'!F29)</f>
        <v/>
      </c>
      <c r="G29" s="574">
        <f>IF(' Impaired Loans ASC 310-10'!G29="","",' Impaired Loans ASC 310-10'!G29)</f>
        <v/>
      </c>
      <c r="H29" s="574">
        <f>IF(' Impaired Loans ASC 310-10'!H29="","",' Impaired Loans ASC 310-10'!H29)</f>
        <v/>
      </c>
      <c r="I29" s="574">
        <f>IF(' Impaired Loans ASC 310-10'!I29="","",' Impaired Loans ASC 310-10'!I29)</f>
        <v/>
      </c>
      <c r="J29" s="574">
        <f>IF(' Impaired Loans ASC 310-10'!J29="","",' Impaired Loans ASC 310-10'!J29)</f>
        <v/>
      </c>
      <c r="K29" s="584" t="n"/>
      <c r="L29" s="578">
        <f>A29</f>
        <v/>
      </c>
      <c r="M29" s="849">
        <f>IF(' Impaired Loans ASC 310-10'!A29="","",' Impaired Loans ASC 310-10'!K29)</f>
        <v/>
      </c>
      <c r="N29" s="580">
        <f>IF(' Impaired Loans ASC 310-10'!A29="","",' Impaired Loans ASC 310-10'!L29)</f>
        <v/>
      </c>
      <c r="O29" s="581">
        <f>IF(' Impaired Loans ASC 310-10'!A29="","",' Impaired Loans ASC 310-10'!M29)</f>
        <v/>
      </c>
      <c r="P29" s="582">
        <f>IF(' Impaired Loans ASC 310-10'!A29="","",' Impaired Loans ASC 310-10'!O29)</f>
        <v/>
      </c>
      <c r="Q29" s="583">
        <f>IF(' Impaired Loans ASC 310-10'!A29="","",' Impaired Loans ASC 310-10'!N29)</f>
        <v/>
      </c>
      <c r="R29" s="583">
        <f>IF(' Impaired Loans ASC 310-10'!A29="","",' Impaired Loans ASC 310-10'!P29)</f>
        <v/>
      </c>
      <c r="S29" s="583">
        <f>IF(' Impaired Loans ASC 310-10'!A29="","",' Impaired Loans ASC 310-10'!Q29)</f>
        <v/>
      </c>
    </row>
    <row r="30" customFormat="1" s="729">
      <c r="A30" s="573">
        <f>IF(' Impaired Loans ASC 310-10'!A30="","",' Impaired Loans ASC 310-10'!A30)</f>
        <v/>
      </c>
      <c r="B30" s="573">
        <f>IF(' Impaired Loans ASC 310-10'!B30="","",' Impaired Loans ASC 310-10'!B30)</f>
        <v/>
      </c>
      <c r="C30" s="573">
        <f>IF(' Impaired Loans ASC 310-10'!C30="","",' Impaired Loans ASC 310-10'!C30)</f>
        <v/>
      </c>
      <c r="D30" s="573">
        <f>IF(' Impaired Loans ASC 310-10'!D30="","",' Impaired Loans ASC 310-10'!D30)</f>
        <v/>
      </c>
      <c r="E30" s="574">
        <f>IF(' Impaired Loans ASC 310-10'!E30="","",' Impaired Loans ASC 310-10'!E30)</f>
        <v/>
      </c>
      <c r="F30" s="575">
        <f>IF(' Impaired Loans ASC 310-10'!F30="","",' Impaired Loans ASC 310-10'!F30)</f>
        <v/>
      </c>
      <c r="G30" s="574">
        <f>IF(' Impaired Loans ASC 310-10'!G30="","",' Impaired Loans ASC 310-10'!G30)</f>
        <v/>
      </c>
      <c r="H30" s="574">
        <f>IF(' Impaired Loans ASC 310-10'!H30="","",' Impaired Loans ASC 310-10'!H30)</f>
        <v/>
      </c>
      <c r="I30" s="574">
        <f>IF(' Impaired Loans ASC 310-10'!I30="","",' Impaired Loans ASC 310-10'!I30)</f>
        <v/>
      </c>
      <c r="J30" s="574">
        <f>IF(' Impaired Loans ASC 310-10'!J30="","",' Impaired Loans ASC 310-10'!J30)</f>
        <v/>
      </c>
      <c r="K30" s="584" t="n"/>
      <c r="L30" s="578">
        <f>A30</f>
        <v/>
      </c>
      <c r="M30" s="849">
        <f>IF(' Impaired Loans ASC 310-10'!A30="","",' Impaired Loans ASC 310-10'!K30)</f>
        <v/>
      </c>
      <c r="N30" s="580">
        <f>IF(' Impaired Loans ASC 310-10'!A30="","",' Impaired Loans ASC 310-10'!L30)</f>
        <v/>
      </c>
      <c r="O30" s="581">
        <f>IF(' Impaired Loans ASC 310-10'!A30="","",' Impaired Loans ASC 310-10'!M30)</f>
        <v/>
      </c>
      <c r="P30" s="582">
        <f>IF(' Impaired Loans ASC 310-10'!A30="","",' Impaired Loans ASC 310-10'!O30)</f>
        <v/>
      </c>
      <c r="Q30" s="583">
        <f>IF(' Impaired Loans ASC 310-10'!A30="","",' Impaired Loans ASC 310-10'!N30)</f>
        <v/>
      </c>
      <c r="R30" s="583">
        <f>IF(' Impaired Loans ASC 310-10'!A30="","",' Impaired Loans ASC 310-10'!P30)</f>
        <v/>
      </c>
      <c r="S30" s="583">
        <f>IF(' Impaired Loans ASC 310-10'!A30="","",' Impaired Loans ASC 310-10'!Q30)</f>
        <v/>
      </c>
    </row>
    <row r="31" customFormat="1" s="729">
      <c r="A31" s="573">
        <f>IF(' Impaired Loans ASC 310-10'!A31="","",' Impaired Loans ASC 310-10'!A31)</f>
        <v/>
      </c>
      <c r="B31" s="573">
        <f>IF(' Impaired Loans ASC 310-10'!B31="","",' Impaired Loans ASC 310-10'!B31)</f>
        <v/>
      </c>
      <c r="C31" s="573">
        <f>IF(' Impaired Loans ASC 310-10'!C31="","",' Impaired Loans ASC 310-10'!C31)</f>
        <v/>
      </c>
      <c r="D31" s="573">
        <f>IF(' Impaired Loans ASC 310-10'!D31="","",' Impaired Loans ASC 310-10'!D31)</f>
        <v/>
      </c>
      <c r="E31" s="574">
        <f>IF(' Impaired Loans ASC 310-10'!E31="","",' Impaired Loans ASC 310-10'!E31)</f>
        <v/>
      </c>
      <c r="F31" s="575">
        <f>IF(' Impaired Loans ASC 310-10'!F31="","",' Impaired Loans ASC 310-10'!F31)</f>
        <v/>
      </c>
      <c r="G31" s="574">
        <f>IF(' Impaired Loans ASC 310-10'!G31="","",' Impaired Loans ASC 310-10'!G31)</f>
        <v/>
      </c>
      <c r="H31" s="574">
        <f>IF(' Impaired Loans ASC 310-10'!H31="","",' Impaired Loans ASC 310-10'!H31)</f>
        <v/>
      </c>
      <c r="I31" s="574">
        <f>IF(' Impaired Loans ASC 310-10'!I31="","",' Impaired Loans ASC 310-10'!I31)</f>
        <v/>
      </c>
      <c r="J31" s="574">
        <f>IF(' Impaired Loans ASC 310-10'!J31="","",' Impaired Loans ASC 310-10'!J31)</f>
        <v/>
      </c>
      <c r="K31" s="584" t="n"/>
      <c r="L31" s="578">
        <f>A31</f>
        <v/>
      </c>
      <c r="M31" s="849">
        <f>IF(' Impaired Loans ASC 310-10'!A31="","",' Impaired Loans ASC 310-10'!K31)</f>
        <v/>
      </c>
      <c r="N31" s="580">
        <f>IF(' Impaired Loans ASC 310-10'!A31="","",' Impaired Loans ASC 310-10'!L31)</f>
        <v/>
      </c>
      <c r="O31" s="581">
        <f>IF(' Impaired Loans ASC 310-10'!A31="","",' Impaired Loans ASC 310-10'!M31)</f>
        <v/>
      </c>
      <c r="P31" s="582">
        <f>IF(' Impaired Loans ASC 310-10'!A31="","",' Impaired Loans ASC 310-10'!O31)</f>
        <v/>
      </c>
      <c r="Q31" s="583">
        <f>IF(' Impaired Loans ASC 310-10'!A31="","",' Impaired Loans ASC 310-10'!N31)</f>
        <v/>
      </c>
      <c r="R31" s="583">
        <f>IF(' Impaired Loans ASC 310-10'!A31="","",' Impaired Loans ASC 310-10'!P31)</f>
        <v/>
      </c>
      <c r="S31" s="583">
        <f>IF(' Impaired Loans ASC 310-10'!A31="","",' Impaired Loans ASC 310-10'!Q31)</f>
        <v/>
      </c>
    </row>
    <row r="32" customFormat="1" s="729">
      <c r="A32" s="573">
        <f>IF(' Impaired Loans ASC 310-10'!A32="","",' Impaired Loans ASC 310-10'!A32)</f>
        <v/>
      </c>
      <c r="B32" s="573">
        <f>IF(' Impaired Loans ASC 310-10'!B32="","",' Impaired Loans ASC 310-10'!B32)</f>
        <v/>
      </c>
      <c r="C32" s="573">
        <f>IF(' Impaired Loans ASC 310-10'!C32="","",' Impaired Loans ASC 310-10'!C32)</f>
        <v/>
      </c>
      <c r="D32" s="573">
        <f>IF(' Impaired Loans ASC 310-10'!D32="","",' Impaired Loans ASC 310-10'!D32)</f>
        <v/>
      </c>
      <c r="E32" s="574">
        <f>IF(' Impaired Loans ASC 310-10'!E32="","",' Impaired Loans ASC 310-10'!E32)</f>
        <v/>
      </c>
      <c r="F32" s="575">
        <f>IF(' Impaired Loans ASC 310-10'!F32="","",' Impaired Loans ASC 310-10'!F32)</f>
        <v/>
      </c>
      <c r="G32" s="574">
        <f>IF(' Impaired Loans ASC 310-10'!G32="","",' Impaired Loans ASC 310-10'!G32)</f>
        <v/>
      </c>
      <c r="H32" s="574">
        <f>IF(' Impaired Loans ASC 310-10'!H32="","",' Impaired Loans ASC 310-10'!H32)</f>
        <v/>
      </c>
      <c r="I32" s="574">
        <f>IF(' Impaired Loans ASC 310-10'!I32="","",' Impaired Loans ASC 310-10'!I32)</f>
        <v/>
      </c>
      <c r="J32" s="574">
        <f>IF(' Impaired Loans ASC 310-10'!J32="","",' Impaired Loans ASC 310-10'!J32)</f>
        <v/>
      </c>
      <c r="K32" s="584" t="n"/>
      <c r="L32" s="578">
        <f>A32</f>
        <v/>
      </c>
      <c r="M32" s="849">
        <f>IF(' Impaired Loans ASC 310-10'!A32="","",' Impaired Loans ASC 310-10'!K32)</f>
        <v/>
      </c>
      <c r="N32" s="580">
        <f>IF(' Impaired Loans ASC 310-10'!A32="","",' Impaired Loans ASC 310-10'!L32)</f>
        <v/>
      </c>
      <c r="O32" s="581">
        <f>IF(' Impaired Loans ASC 310-10'!A32="","",' Impaired Loans ASC 310-10'!M32)</f>
        <v/>
      </c>
      <c r="P32" s="582">
        <f>IF(' Impaired Loans ASC 310-10'!A32="","",' Impaired Loans ASC 310-10'!O32)</f>
        <v/>
      </c>
      <c r="Q32" s="583">
        <f>IF(' Impaired Loans ASC 310-10'!A32="","",' Impaired Loans ASC 310-10'!N32)</f>
        <v/>
      </c>
      <c r="R32" s="583">
        <f>IF(' Impaired Loans ASC 310-10'!A32="","",' Impaired Loans ASC 310-10'!P32)</f>
        <v/>
      </c>
      <c r="S32" s="583">
        <f>IF(' Impaired Loans ASC 310-10'!A32="","",' Impaired Loans ASC 310-10'!Q32)</f>
        <v/>
      </c>
    </row>
    <row r="33" customFormat="1" s="729">
      <c r="A33" s="573">
        <f>IF(' Impaired Loans ASC 310-10'!A33="","",' Impaired Loans ASC 310-10'!A33)</f>
        <v/>
      </c>
      <c r="B33" s="573">
        <f>IF(' Impaired Loans ASC 310-10'!B33="","",' Impaired Loans ASC 310-10'!B33)</f>
        <v/>
      </c>
      <c r="C33" s="573">
        <f>IF(' Impaired Loans ASC 310-10'!C33="","",' Impaired Loans ASC 310-10'!C33)</f>
        <v/>
      </c>
      <c r="D33" s="573">
        <f>IF(' Impaired Loans ASC 310-10'!D33="","",' Impaired Loans ASC 310-10'!D33)</f>
        <v/>
      </c>
      <c r="E33" s="574">
        <f>IF(' Impaired Loans ASC 310-10'!E33="","",' Impaired Loans ASC 310-10'!E33)</f>
        <v/>
      </c>
      <c r="F33" s="575">
        <f>IF(' Impaired Loans ASC 310-10'!F33="","",' Impaired Loans ASC 310-10'!F33)</f>
        <v/>
      </c>
      <c r="G33" s="574">
        <f>IF(' Impaired Loans ASC 310-10'!G33="","",' Impaired Loans ASC 310-10'!G33)</f>
        <v/>
      </c>
      <c r="H33" s="574">
        <f>IF(' Impaired Loans ASC 310-10'!H33="","",' Impaired Loans ASC 310-10'!H33)</f>
        <v/>
      </c>
      <c r="I33" s="574">
        <f>IF(' Impaired Loans ASC 310-10'!I33="","",' Impaired Loans ASC 310-10'!I33)</f>
        <v/>
      </c>
      <c r="J33" s="574">
        <f>IF(' Impaired Loans ASC 310-10'!J33="","",' Impaired Loans ASC 310-10'!J33)</f>
        <v/>
      </c>
      <c r="K33" s="584" t="n"/>
      <c r="L33" s="578">
        <f>A33</f>
        <v/>
      </c>
      <c r="M33" s="849">
        <f>IF(' Impaired Loans ASC 310-10'!A33="","",' Impaired Loans ASC 310-10'!K33)</f>
        <v/>
      </c>
      <c r="N33" s="580">
        <f>IF(' Impaired Loans ASC 310-10'!A33="","",' Impaired Loans ASC 310-10'!L33)</f>
        <v/>
      </c>
      <c r="O33" s="581">
        <f>IF(' Impaired Loans ASC 310-10'!A33="","",' Impaired Loans ASC 310-10'!M33)</f>
        <v/>
      </c>
      <c r="P33" s="582">
        <f>IF(' Impaired Loans ASC 310-10'!A33="","",' Impaired Loans ASC 310-10'!O33)</f>
        <v/>
      </c>
      <c r="Q33" s="583">
        <f>IF(' Impaired Loans ASC 310-10'!A33="","",' Impaired Loans ASC 310-10'!N33)</f>
        <v/>
      </c>
      <c r="R33" s="583">
        <f>IF(' Impaired Loans ASC 310-10'!A33="","",' Impaired Loans ASC 310-10'!P33)</f>
        <v/>
      </c>
      <c r="S33" s="583">
        <f>IF(' Impaired Loans ASC 310-10'!A33="","",' Impaired Loans ASC 310-10'!Q33)</f>
        <v/>
      </c>
    </row>
    <row r="34" customFormat="1" s="729">
      <c r="A34" s="573">
        <f>IF(' Impaired Loans ASC 310-10'!A34="","",' Impaired Loans ASC 310-10'!A34)</f>
        <v/>
      </c>
      <c r="B34" s="573">
        <f>IF(' Impaired Loans ASC 310-10'!B34="","",' Impaired Loans ASC 310-10'!B34)</f>
        <v/>
      </c>
      <c r="C34" s="573">
        <f>IF(' Impaired Loans ASC 310-10'!C34="","",' Impaired Loans ASC 310-10'!C34)</f>
        <v/>
      </c>
      <c r="D34" s="573">
        <f>IF(' Impaired Loans ASC 310-10'!D34="","",' Impaired Loans ASC 310-10'!D34)</f>
        <v/>
      </c>
      <c r="E34" s="574">
        <f>IF(' Impaired Loans ASC 310-10'!E34="","",' Impaired Loans ASC 310-10'!E34)</f>
        <v/>
      </c>
      <c r="F34" s="575">
        <f>IF(' Impaired Loans ASC 310-10'!F34="","",' Impaired Loans ASC 310-10'!F34)</f>
        <v/>
      </c>
      <c r="G34" s="574">
        <f>IF(' Impaired Loans ASC 310-10'!G34="","",' Impaired Loans ASC 310-10'!G34)</f>
        <v/>
      </c>
      <c r="H34" s="574">
        <f>IF(' Impaired Loans ASC 310-10'!H34="","",' Impaired Loans ASC 310-10'!H34)</f>
        <v/>
      </c>
      <c r="I34" s="574">
        <f>IF(' Impaired Loans ASC 310-10'!I34="","",' Impaired Loans ASC 310-10'!I34)</f>
        <v/>
      </c>
      <c r="J34" s="574">
        <f>IF(' Impaired Loans ASC 310-10'!J34="","",' Impaired Loans ASC 310-10'!J34)</f>
        <v/>
      </c>
      <c r="K34" s="584" t="n"/>
      <c r="L34" s="578">
        <f>A34</f>
        <v/>
      </c>
      <c r="M34" s="849">
        <f>IF(' Impaired Loans ASC 310-10'!A34="","",' Impaired Loans ASC 310-10'!K34)</f>
        <v/>
      </c>
      <c r="N34" s="580">
        <f>IF(' Impaired Loans ASC 310-10'!A34="","",' Impaired Loans ASC 310-10'!L34)</f>
        <v/>
      </c>
      <c r="O34" s="581">
        <f>IF(' Impaired Loans ASC 310-10'!A34="","",' Impaired Loans ASC 310-10'!M34)</f>
        <v/>
      </c>
      <c r="P34" s="582">
        <f>IF(' Impaired Loans ASC 310-10'!A34="","",' Impaired Loans ASC 310-10'!O34)</f>
        <v/>
      </c>
      <c r="Q34" s="583">
        <f>IF(' Impaired Loans ASC 310-10'!A34="","",' Impaired Loans ASC 310-10'!N34)</f>
        <v/>
      </c>
      <c r="R34" s="583">
        <f>IF(' Impaired Loans ASC 310-10'!A34="","",' Impaired Loans ASC 310-10'!P34)</f>
        <v/>
      </c>
      <c r="S34" s="583">
        <f>IF(' Impaired Loans ASC 310-10'!A34="","",' Impaired Loans ASC 310-10'!Q34)</f>
        <v/>
      </c>
    </row>
    <row r="35" customFormat="1" s="729">
      <c r="A35" s="573">
        <f>IF(' Impaired Loans ASC 310-10'!A35="","",' Impaired Loans ASC 310-10'!A35)</f>
        <v/>
      </c>
      <c r="B35" s="573">
        <f>IF(' Impaired Loans ASC 310-10'!B35="","",' Impaired Loans ASC 310-10'!B35)</f>
        <v/>
      </c>
      <c r="C35" s="573">
        <f>IF(' Impaired Loans ASC 310-10'!C35="","",' Impaired Loans ASC 310-10'!C35)</f>
        <v/>
      </c>
      <c r="D35" s="573">
        <f>IF(' Impaired Loans ASC 310-10'!D35="","",' Impaired Loans ASC 310-10'!D35)</f>
        <v/>
      </c>
      <c r="E35" s="574">
        <f>IF(' Impaired Loans ASC 310-10'!E35="","",' Impaired Loans ASC 310-10'!E35)</f>
        <v/>
      </c>
      <c r="F35" s="575">
        <f>IF(' Impaired Loans ASC 310-10'!F35="","",' Impaired Loans ASC 310-10'!F35)</f>
        <v/>
      </c>
      <c r="G35" s="574">
        <f>IF(' Impaired Loans ASC 310-10'!G35="","",' Impaired Loans ASC 310-10'!G35)</f>
        <v/>
      </c>
      <c r="H35" s="574">
        <f>IF(' Impaired Loans ASC 310-10'!H35="","",' Impaired Loans ASC 310-10'!H35)</f>
        <v/>
      </c>
      <c r="I35" s="574">
        <f>IF(' Impaired Loans ASC 310-10'!I35="","",' Impaired Loans ASC 310-10'!I35)</f>
        <v/>
      </c>
      <c r="J35" s="574">
        <f>IF(' Impaired Loans ASC 310-10'!J35="","",' Impaired Loans ASC 310-10'!J35)</f>
        <v/>
      </c>
      <c r="K35" s="584" t="n"/>
      <c r="L35" s="578">
        <f>A35</f>
        <v/>
      </c>
      <c r="M35" s="849">
        <f>IF(' Impaired Loans ASC 310-10'!A35="","",' Impaired Loans ASC 310-10'!K35)</f>
        <v/>
      </c>
      <c r="N35" s="580">
        <f>IF(' Impaired Loans ASC 310-10'!A35="","",' Impaired Loans ASC 310-10'!L35)</f>
        <v/>
      </c>
      <c r="O35" s="581">
        <f>IF(' Impaired Loans ASC 310-10'!A35="","",' Impaired Loans ASC 310-10'!M35)</f>
        <v/>
      </c>
      <c r="P35" s="582">
        <f>IF(' Impaired Loans ASC 310-10'!A35="","",' Impaired Loans ASC 310-10'!O35)</f>
        <v/>
      </c>
      <c r="Q35" s="583">
        <f>IF(' Impaired Loans ASC 310-10'!A35="","",' Impaired Loans ASC 310-10'!N35)</f>
        <v/>
      </c>
      <c r="R35" s="583">
        <f>IF(' Impaired Loans ASC 310-10'!A35="","",' Impaired Loans ASC 310-10'!P35)</f>
        <v/>
      </c>
      <c r="S35" s="583">
        <f>IF(' Impaired Loans ASC 310-10'!A35="","",' Impaired Loans ASC 310-10'!Q35)</f>
        <v/>
      </c>
      <c r="AC35" s="585" t="n"/>
    </row>
    <row r="36" customFormat="1" s="729">
      <c r="A36" s="573">
        <f>IF(' Impaired Loans ASC 310-10'!A36="","",' Impaired Loans ASC 310-10'!A36)</f>
        <v/>
      </c>
      <c r="B36" s="573">
        <f>IF(' Impaired Loans ASC 310-10'!B36="","",' Impaired Loans ASC 310-10'!B36)</f>
        <v/>
      </c>
      <c r="C36" s="573">
        <f>IF(' Impaired Loans ASC 310-10'!C36="","",' Impaired Loans ASC 310-10'!C36)</f>
        <v/>
      </c>
      <c r="D36" s="573">
        <f>IF(' Impaired Loans ASC 310-10'!D36="","",' Impaired Loans ASC 310-10'!D36)</f>
        <v/>
      </c>
      <c r="E36" s="574">
        <f>IF(' Impaired Loans ASC 310-10'!E36="","",' Impaired Loans ASC 310-10'!E36)</f>
        <v/>
      </c>
      <c r="F36" s="575">
        <f>IF(' Impaired Loans ASC 310-10'!F36="","",' Impaired Loans ASC 310-10'!F36)</f>
        <v/>
      </c>
      <c r="G36" s="574">
        <f>IF(' Impaired Loans ASC 310-10'!G36="","",' Impaired Loans ASC 310-10'!G36)</f>
        <v/>
      </c>
      <c r="H36" s="574">
        <f>IF(' Impaired Loans ASC 310-10'!H36="","",' Impaired Loans ASC 310-10'!H36)</f>
        <v/>
      </c>
      <c r="I36" s="574">
        <f>IF(' Impaired Loans ASC 310-10'!I36="","",' Impaired Loans ASC 310-10'!I36)</f>
        <v/>
      </c>
      <c r="J36" s="574">
        <f>IF(' Impaired Loans ASC 310-10'!J36="","",' Impaired Loans ASC 310-10'!J36)</f>
        <v/>
      </c>
      <c r="K36" s="584" t="n"/>
      <c r="L36" s="578">
        <f>A36</f>
        <v/>
      </c>
      <c r="M36" s="849">
        <f>IF(' Impaired Loans ASC 310-10'!A36="","",' Impaired Loans ASC 310-10'!K36)</f>
        <v/>
      </c>
      <c r="N36" s="580">
        <f>IF(' Impaired Loans ASC 310-10'!A36="","",' Impaired Loans ASC 310-10'!L36)</f>
        <v/>
      </c>
      <c r="O36" s="581">
        <f>IF(' Impaired Loans ASC 310-10'!A36="","",' Impaired Loans ASC 310-10'!M36)</f>
        <v/>
      </c>
      <c r="P36" s="582">
        <f>IF(' Impaired Loans ASC 310-10'!A36="","",' Impaired Loans ASC 310-10'!O36)</f>
        <v/>
      </c>
      <c r="Q36" s="583">
        <f>IF(' Impaired Loans ASC 310-10'!A36="","",' Impaired Loans ASC 310-10'!N36)</f>
        <v/>
      </c>
      <c r="R36" s="583">
        <f>IF(' Impaired Loans ASC 310-10'!A36="","",' Impaired Loans ASC 310-10'!P36)</f>
        <v/>
      </c>
      <c r="S36" s="583">
        <f>IF(' Impaired Loans ASC 310-10'!A36="","",' Impaired Loans ASC 310-10'!Q36)</f>
        <v/>
      </c>
    </row>
    <row r="37" customFormat="1" s="729">
      <c r="A37" s="573">
        <f>IF(' Impaired Loans ASC 310-10'!A37="","",' Impaired Loans ASC 310-10'!A37)</f>
        <v/>
      </c>
      <c r="B37" s="573">
        <f>IF(' Impaired Loans ASC 310-10'!B37="","",' Impaired Loans ASC 310-10'!B37)</f>
        <v/>
      </c>
      <c r="C37" s="573">
        <f>IF(' Impaired Loans ASC 310-10'!C37="","",' Impaired Loans ASC 310-10'!C37)</f>
        <v/>
      </c>
      <c r="D37" s="573">
        <f>IF(' Impaired Loans ASC 310-10'!D37="","",' Impaired Loans ASC 310-10'!D37)</f>
        <v/>
      </c>
      <c r="E37" s="574">
        <f>IF(' Impaired Loans ASC 310-10'!E37="","",' Impaired Loans ASC 310-10'!E37)</f>
        <v/>
      </c>
      <c r="F37" s="575">
        <f>IF(' Impaired Loans ASC 310-10'!F37="","",' Impaired Loans ASC 310-10'!F37)</f>
        <v/>
      </c>
      <c r="G37" s="574">
        <f>IF(' Impaired Loans ASC 310-10'!G37="","",' Impaired Loans ASC 310-10'!G37)</f>
        <v/>
      </c>
      <c r="H37" s="574">
        <f>IF(' Impaired Loans ASC 310-10'!H37="","",' Impaired Loans ASC 310-10'!H37)</f>
        <v/>
      </c>
      <c r="I37" s="574">
        <f>IF(' Impaired Loans ASC 310-10'!I37="","",' Impaired Loans ASC 310-10'!I37)</f>
        <v/>
      </c>
      <c r="J37" s="574">
        <f>IF(' Impaired Loans ASC 310-10'!J37="","",' Impaired Loans ASC 310-10'!J37)</f>
        <v/>
      </c>
      <c r="K37" s="584" t="n"/>
      <c r="L37" s="578">
        <f>A37</f>
        <v/>
      </c>
      <c r="M37" s="849">
        <f>IF(' Impaired Loans ASC 310-10'!A37="","",' Impaired Loans ASC 310-10'!K37)</f>
        <v/>
      </c>
      <c r="N37" s="580">
        <f>IF(' Impaired Loans ASC 310-10'!A37="","",' Impaired Loans ASC 310-10'!L37)</f>
        <v/>
      </c>
      <c r="O37" s="581">
        <f>IF(' Impaired Loans ASC 310-10'!A37="","",' Impaired Loans ASC 310-10'!M37)</f>
        <v/>
      </c>
      <c r="P37" s="582">
        <f>IF(' Impaired Loans ASC 310-10'!A37="","",' Impaired Loans ASC 310-10'!O37)</f>
        <v/>
      </c>
      <c r="Q37" s="583">
        <f>IF(' Impaired Loans ASC 310-10'!A37="","",' Impaired Loans ASC 310-10'!N37)</f>
        <v/>
      </c>
      <c r="R37" s="583">
        <f>IF(' Impaired Loans ASC 310-10'!A37="","",' Impaired Loans ASC 310-10'!P37)</f>
        <v/>
      </c>
      <c r="S37" s="583">
        <f>IF(' Impaired Loans ASC 310-10'!A37="","",' Impaired Loans ASC 310-10'!Q37)</f>
        <v/>
      </c>
    </row>
    <row r="38" customFormat="1" s="729">
      <c r="A38" s="573">
        <f>IF(' Impaired Loans ASC 310-10'!A38="","",' Impaired Loans ASC 310-10'!A38)</f>
        <v/>
      </c>
      <c r="B38" s="573">
        <f>IF(' Impaired Loans ASC 310-10'!B38="","",' Impaired Loans ASC 310-10'!B38)</f>
        <v/>
      </c>
      <c r="C38" s="573">
        <f>IF(' Impaired Loans ASC 310-10'!C38="","",' Impaired Loans ASC 310-10'!C38)</f>
        <v/>
      </c>
      <c r="D38" s="573">
        <f>IF(' Impaired Loans ASC 310-10'!D38="","",' Impaired Loans ASC 310-10'!D38)</f>
        <v/>
      </c>
      <c r="E38" s="574">
        <f>IF(' Impaired Loans ASC 310-10'!E38="","",' Impaired Loans ASC 310-10'!E38)</f>
        <v/>
      </c>
      <c r="F38" s="575">
        <f>IF(' Impaired Loans ASC 310-10'!F38="","",' Impaired Loans ASC 310-10'!F38)</f>
        <v/>
      </c>
      <c r="G38" s="574">
        <f>IF(' Impaired Loans ASC 310-10'!G38="","",' Impaired Loans ASC 310-10'!G38)</f>
        <v/>
      </c>
      <c r="H38" s="574">
        <f>IF(' Impaired Loans ASC 310-10'!H38="","",' Impaired Loans ASC 310-10'!H38)</f>
        <v/>
      </c>
      <c r="I38" s="574">
        <f>IF(' Impaired Loans ASC 310-10'!I38="","",' Impaired Loans ASC 310-10'!I38)</f>
        <v/>
      </c>
      <c r="J38" s="574">
        <f>IF(' Impaired Loans ASC 310-10'!J38="","",' Impaired Loans ASC 310-10'!J38)</f>
        <v/>
      </c>
      <c r="K38" s="584" t="n"/>
      <c r="L38" s="578">
        <f>A38</f>
        <v/>
      </c>
      <c r="M38" s="849">
        <f>IF(' Impaired Loans ASC 310-10'!A38="","",' Impaired Loans ASC 310-10'!K38)</f>
        <v/>
      </c>
      <c r="N38" s="580">
        <f>IF(' Impaired Loans ASC 310-10'!A38="","",' Impaired Loans ASC 310-10'!L38)</f>
        <v/>
      </c>
      <c r="O38" s="581">
        <f>IF(' Impaired Loans ASC 310-10'!A38="","",' Impaired Loans ASC 310-10'!M38)</f>
        <v/>
      </c>
      <c r="P38" s="582">
        <f>IF(' Impaired Loans ASC 310-10'!A38="","",' Impaired Loans ASC 310-10'!O38)</f>
        <v/>
      </c>
      <c r="Q38" s="583">
        <f>IF(' Impaired Loans ASC 310-10'!A38="","",' Impaired Loans ASC 310-10'!N38)</f>
        <v/>
      </c>
      <c r="R38" s="583">
        <f>IF(' Impaired Loans ASC 310-10'!A38="","",' Impaired Loans ASC 310-10'!P38)</f>
        <v/>
      </c>
      <c r="S38" s="583">
        <f>IF(' Impaired Loans ASC 310-10'!A38="","",' Impaired Loans ASC 310-10'!Q38)</f>
        <v/>
      </c>
    </row>
    <row r="39" customFormat="1" s="729">
      <c r="A39" s="573">
        <f>IF(' Impaired Loans ASC 310-10'!A39="","",' Impaired Loans ASC 310-10'!A39)</f>
        <v/>
      </c>
      <c r="B39" s="573">
        <f>IF(' Impaired Loans ASC 310-10'!B39="","",' Impaired Loans ASC 310-10'!B39)</f>
        <v/>
      </c>
      <c r="C39" s="573">
        <f>IF(' Impaired Loans ASC 310-10'!C39="","",' Impaired Loans ASC 310-10'!C39)</f>
        <v/>
      </c>
      <c r="D39" s="573">
        <f>IF(' Impaired Loans ASC 310-10'!D39="","",' Impaired Loans ASC 310-10'!D39)</f>
        <v/>
      </c>
      <c r="E39" s="574">
        <f>IF(' Impaired Loans ASC 310-10'!E39="","",' Impaired Loans ASC 310-10'!E39)</f>
        <v/>
      </c>
      <c r="F39" s="575">
        <f>IF(' Impaired Loans ASC 310-10'!F39="","",' Impaired Loans ASC 310-10'!F39)</f>
        <v/>
      </c>
      <c r="G39" s="574">
        <f>IF(' Impaired Loans ASC 310-10'!G39="","",' Impaired Loans ASC 310-10'!G39)</f>
        <v/>
      </c>
      <c r="H39" s="574">
        <f>IF(' Impaired Loans ASC 310-10'!H39="","",' Impaired Loans ASC 310-10'!H39)</f>
        <v/>
      </c>
      <c r="I39" s="574">
        <f>IF(' Impaired Loans ASC 310-10'!I39="","",' Impaired Loans ASC 310-10'!I39)</f>
        <v/>
      </c>
      <c r="J39" s="574">
        <f>IF(' Impaired Loans ASC 310-10'!J39="","",' Impaired Loans ASC 310-10'!J39)</f>
        <v/>
      </c>
      <c r="K39" s="584" t="n"/>
      <c r="L39" s="578">
        <f>A39</f>
        <v/>
      </c>
      <c r="M39" s="849">
        <f>IF(' Impaired Loans ASC 310-10'!A39="","",' Impaired Loans ASC 310-10'!K39)</f>
        <v/>
      </c>
      <c r="N39" s="580">
        <f>IF(' Impaired Loans ASC 310-10'!A39="","",' Impaired Loans ASC 310-10'!L39)</f>
        <v/>
      </c>
      <c r="O39" s="581">
        <f>IF(' Impaired Loans ASC 310-10'!A39="","",' Impaired Loans ASC 310-10'!M39)</f>
        <v/>
      </c>
      <c r="P39" s="582">
        <f>IF(' Impaired Loans ASC 310-10'!A39="","",' Impaired Loans ASC 310-10'!O39)</f>
        <v/>
      </c>
      <c r="Q39" s="583">
        <f>IF(' Impaired Loans ASC 310-10'!A39="","",' Impaired Loans ASC 310-10'!N39)</f>
        <v/>
      </c>
      <c r="R39" s="583">
        <f>IF(' Impaired Loans ASC 310-10'!A39="","",' Impaired Loans ASC 310-10'!P39)</f>
        <v/>
      </c>
      <c r="S39" s="583">
        <f>IF(' Impaired Loans ASC 310-10'!A39="","",' Impaired Loans ASC 310-10'!Q39)</f>
        <v/>
      </c>
    </row>
    <row r="40" customFormat="1" s="729">
      <c r="A40" s="573">
        <f>IF(' Impaired Loans ASC 310-10'!A40="","",' Impaired Loans ASC 310-10'!A40)</f>
        <v/>
      </c>
      <c r="B40" s="573">
        <f>IF(' Impaired Loans ASC 310-10'!B40="","",' Impaired Loans ASC 310-10'!B40)</f>
        <v/>
      </c>
      <c r="C40" s="573">
        <f>IF(' Impaired Loans ASC 310-10'!C40="","",' Impaired Loans ASC 310-10'!C40)</f>
        <v/>
      </c>
      <c r="D40" s="573">
        <f>IF(' Impaired Loans ASC 310-10'!D40="","",' Impaired Loans ASC 310-10'!D40)</f>
        <v/>
      </c>
      <c r="E40" s="574">
        <f>IF(' Impaired Loans ASC 310-10'!E40="","",' Impaired Loans ASC 310-10'!E40)</f>
        <v/>
      </c>
      <c r="F40" s="575">
        <f>IF(' Impaired Loans ASC 310-10'!F40="","",' Impaired Loans ASC 310-10'!F40)</f>
        <v/>
      </c>
      <c r="G40" s="574">
        <f>IF(' Impaired Loans ASC 310-10'!G40="","",' Impaired Loans ASC 310-10'!G40)</f>
        <v/>
      </c>
      <c r="H40" s="574">
        <f>IF(' Impaired Loans ASC 310-10'!H40="","",' Impaired Loans ASC 310-10'!H40)</f>
        <v/>
      </c>
      <c r="I40" s="574">
        <f>IF(' Impaired Loans ASC 310-10'!I40="","",' Impaired Loans ASC 310-10'!I40)</f>
        <v/>
      </c>
      <c r="J40" s="574">
        <f>IF(' Impaired Loans ASC 310-10'!J40="","",' Impaired Loans ASC 310-10'!J40)</f>
        <v/>
      </c>
      <c r="K40" s="584" t="n"/>
      <c r="L40" s="578">
        <f>A40</f>
        <v/>
      </c>
      <c r="M40" s="849">
        <f>IF(' Impaired Loans ASC 310-10'!A40="","",' Impaired Loans ASC 310-10'!K40)</f>
        <v/>
      </c>
      <c r="N40" s="580">
        <f>IF(' Impaired Loans ASC 310-10'!A40="","",' Impaired Loans ASC 310-10'!L40)</f>
        <v/>
      </c>
      <c r="O40" s="581">
        <f>IF(' Impaired Loans ASC 310-10'!A40="","",' Impaired Loans ASC 310-10'!M40)</f>
        <v/>
      </c>
      <c r="P40" s="582">
        <f>IF(' Impaired Loans ASC 310-10'!A40="","",' Impaired Loans ASC 310-10'!O40)</f>
        <v/>
      </c>
      <c r="Q40" s="583">
        <f>IF(' Impaired Loans ASC 310-10'!A40="","",' Impaired Loans ASC 310-10'!N40)</f>
        <v/>
      </c>
      <c r="R40" s="583">
        <f>IF(' Impaired Loans ASC 310-10'!A40="","",' Impaired Loans ASC 310-10'!P40)</f>
        <v/>
      </c>
      <c r="S40" s="583">
        <f>IF(' Impaired Loans ASC 310-10'!A40="","",' Impaired Loans ASC 310-10'!Q40)</f>
        <v/>
      </c>
    </row>
    <row r="41" customFormat="1" s="729">
      <c r="A41" s="573">
        <f>IF(' Impaired Loans ASC 310-10'!A41="","",' Impaired Loans ASC 310-10'!A41)</f>
        <v/>
      </c>
      <c r="B41" s="573">
        <f>IF(' Impaired Loans ASC 310-10'!B41="","",' Impaired Loans ASC 310-10'!B41)</f>
        <v/>
      </c>
      <c r="C41" s="573">
        <f>IF(' Impaired Loans ASC 310-10'!C41="","",' Impaired Loans ASC 310-10'!C41)</f>
        <v/>
      </c>
      <c r="D41" s="573">
        <f>IF(' Impaired Loans ASC 310-10'!D41="","",' Impaired Loans ASC 310-10'!D41)</f>
        <v/>
      </c>
      <c r="E41" s="574">
        <f>IF(' Impaired Loans ASC 310-10'!E41="","",' Impaired Loans ASC 310-10'!E41)</f>
        <v/>
      </c>
      <c r="F41" s="575">
        <f>IF(' Impaired Loans ASC 310-10'!F41="","",' Impaired Loans ASC 310-10'!F41)</f>
        <v/>
      </c>
      <c r="G41" s="574">
        <f>IF(' Impaired Loans ASC 310-10'!G41="","",' Impaired Loans ASC 310-10'!G41)</f>
        <v/>
      </c>
      <c r="H41" s="574">
        <f>IF(' Impaired Loans ASC 310-10'!H41="","",' Impaired Loans ASC 310-10'!H41)</f>
        <v/>
      </c>
      <c r="I41" s="574">
        <f>IF(' Impaired Loans ASC 310-10'!I41="","",' Impaired Loans ASC 310-10'!I41)</f>
        <v/>
      </c>
      <c r="J41" s="574">
        <f>IF(' Impaired Loans ASC 310-10'!J41="","",' Impaired Loans ASC 310-10'!J41)</f>
        <v/>
      </c>
      <c r="K41" s="584" t="n"/>
      <c r="L41" s="578">
        <f>A41</f>
        <v/>
      </c>
      <c r="M41" s="849">
        <f>IF(' Impaired Loans ASC 310-10'!A41="","",' Impaired Loans ASC 310-10'!K41)</f>
        <v/>
      </c>
      <c r="N41" s="580">
        <f>IF(' Impaired Loans ASC 310-10'!A41="","",' Impaired Loans ASC 310-10'!L41)</f>
        <v/>
      </c>
      <c r="O41" s="581">
        <f>IF(' Impaired Loans ASC 310-10'!A41="","",' Impaired Loans ASC 310-10'!M41)</f>
        <v/>
      </c>
      <c r="P41" s="582">
        <f>IF(' Impaired Loans ASC 310-10'!A41="","",' Impaired Loans ASC 310-10'!O41)</f>
        <v/>
      </c>
      <c r="Q41" s="583">
        <f>IF(' Impaired Loans ASC 310-10'!A41="","",' Impaired Loans ASC 310-10'!N41)</f>
        <v/>
      </c>
      <c r="R41" s="583">
        <f>IF(' Impaired Loans ASC 310-10'!A41="","",' Impaired Loans ASC 310-10'!P41)</f>
        <v/>
      </c>
      <c r="S41" s="583">
        <f>IF(' Impaired Loans ASC 310-10'!A41="","",' Impaired Loans ASC 310-10'!Q41)</f>
        <v/>
      </c>
    </row>
    <row r="42" customFormat="1" s="729">
      <c r="A42" s="573">
        <f>IF(' Impaired Loans ASC 310-10'!A42="","",' Impaired Loans ASC 310-10'!A42)</f>
        <v/>
      </c>
      <c r="B42" s="573">
        <f>IF(' Impaired Loans ASC 310-10'!B42="","",' Impaired Loans ASC 310-10'!B42)</f>
        <v/>
      </c>
      <c r="C42" s="573">
        <f>IF(' Impaired Loans ASC 310-10'!C42="","",' Impaired Loans ASC 310-10'!C42)</f>
        <v/>
      </c>
      <c r="D42" s="573">
        <f>IF(' Impaired Loans ASC 310-10'!D42="","",' Impaired Loans ASC 310-10'!D42)</f>
        <v/>
      </c>
      <c r="E42" s="574">
        <f>IF(' Impaired Loans ASC 310-10'!E42="","",' Impaired Loans ASC 310-10'!E42)</f>
        <v/>
      </c>
      <c r="F42" s="575">
        <f>IF(' Impaired Loans ASC 310-10'!F42="","",' Impaired Loans ASC 310-10'!F42)</f>
        <v/>
      </c>
      <c r="G42" s="574">
        <f>IF(' Impaired Loans ASC 310-10'!G42="","",' Impaired Loans ASC 310-10'!G42)</f>
        <v/>
      </c>
      <c r="H42" s="574">
        <f>IF(' Impaired Loans ASC 310-10'!H42="","",' Impaired Loans ASC 310-10'!H42)</f>
        <v/>
      </c>
      <c r="I42" s="574">
        <f>IF(' Impaired Loans ASC 310-10'!I42="","",' Impaired Loans ASC 310-10'!I42)</f>
        <v/>
      </c>
      <c r="J42" s="574">
        <f>IF(' Impaired Loans ASC 310-10'!J42="","",' Impaired Loans ASC 310-10'!J42)</f>
        <v/>
      </c>
      <c r="K42" s="584" t="n"/>
      <c r="L42" s="578">
        <f>A42</f>
        <v/>
      </c>
      <c r="M42" s="849">
        <f>IF(' Impaired Loans ASC 310-10'!A42="","",' Impaired Loans ASC 310-10'!K42)</f>
        <v/>
      </c>
      <c r="N42" s="580">
        <f>IF(' Impaired Loans ASC 310-10'!A42="","",' Impaired Loans ASC 310-10'!L42)</f>
        <v/>
      </c>
      <c r="O42" s="581">
        <f>IF(' Impaired Loans ASC 310-10'!A42="","",' Impaired Loans ASC 310-10'!M42)</f>
        <v/>
      </c>
      <c r="P42" s="582">
        <f>IF(' Impaired Loans ASC 310-10'!A42="","",' Impaired Loans ASC 310-10'!O42)</f>
        <v/>
      </c>
      <c r="Q42" s="583">
        <f>IF(' Impaired Loans ASC 310-10'!A42="","",' Impaired Loans ASC 310-10'!N42)</f>
        <v/>
      </c>
      <c r="R42" s="583">
        <f>IF(' Impaired Loans ASC 310-10'!A42="","",' Impaired Loans ASC 310-10'!P42)</f>
        <v/>
      </c>
      <c r="S42" s="583">
        <f>IF(' Impaired Loans ASC 310-10'!A42="","",' Impaired Loans ASC 310-10'!Q42)</f>
        <v/>
      </c>
    </row>
    <row r="43" customFormat="1" s="729">
      <c r="A43" s="573">
        <f>IF(' Impaired Loans ASC 310-10'!A43="","",' Impaired Loans ASC 310-10'!A43)</f>
        <v/>
      </c>
      <c r="B43" s="573">
        <f>IF(' Impaired Loans ASC 310-10'!B43="","",' Impaired Loans ASC 310-10'!B43)</f>
        <v/>
      </c>
      <c r="C43" s="573">
        <f>IF(' Impaired Loans ASC 310-10'!C43="","",' Impaired Loans ASC 310-10'!C43)</f>
        <v/>
      </c>
      <c r="D43" s="573">
        <f>IF(' Impaired Loans ASC 310-10'!D43="","",' Impaired Loans ASC 310-10'!D43)</f>
        <v/>
      </c>
      <c r="E43" s="574">
        <f>IF(' Impaired Loans ASC 310-10'!E43="","",' Impaired Loans ASC 310-10'!E43)</f>
        <v/>
      </c>
      <c r="F43" s="575">
        <f>IF(' Impaired Loans ASC 310-10'!F43="","",' Impaired Loans ASC 310-10'!F43)</f>
        <v/>
      </c>
      <c r="G43" s="574">
        <f>IF(' Impaired Loans ASC 310-10'!G43="","",' Impaired Loans ASC 310-10'!G43)</f>
        <v/>
      </c>
      <c r="H43" s="574">
        <f>IF(' Impaired Loans ASC 310-10'!H43="","",' Impaired Loans ASC 310-10'!H43)</f>
        <v/>
      </c>
      <c r="I43" s="574">
        <f>IF(' Impaired Loans ASC 310-10'!I43="","",' Impaired Loans ASC 310-10'!I43)</f>
        <v/>
      </c>
      <c r="J43" s="574">
        <f>IF(' Impaired Loans ASC 310-10'!J43="","",' Impaired Loans ASC 310-10'!J43)</f>
        <v/>
      </c>
      <c r="K43" s="584" t="n"/>
      <c r="L43" s="578">
        <f>A43</f>
        <v/>
      </c>
      <c r="M43" s="849">
        <f>IF(' Impaired Loans ASC 310-10'!A43="","",' Impaired Loans ASC 310-10'!K43)</f>
        <v/>
      </c>
      <c r="N43" s="580">
        <f>IF(' Impaired Loans ASC 310-10'!A43="","",' Impaired Loans ASC 310-10'!L43)</f>
        <v/>
      </c>
      <c r="O43" s="581">
        <f>IF(' Impaired Loans ASC 310-10'!A43="","",' Impaired Loans ASC 310-10'!M43)</f>
        <v/>
      </c>
      <c r="P43" s="582">
        <f>IF(' Impaired Loans ASC 310-10'!A43="","",' Impaired Loans ASC 310-10'!O43)</f>
        <v/>
      </c>
      <c r="Q43" s="583">
        <f>IF(' Impaired Loans ASC 310-10'!A43="","",' Impaired Loans ASC 310-10'!N43)</f>
        <v/>
      </c>
      <c r="R43" s="583">
        <f>IF(' Impaired Loans ASC 310-10'!A43="","",' Impaired Loans ASC 310-10'!P43)</f>
        <v/>
      </c>
      <c r="S43" s="583">
        <f>IF(' Impaired Loans ASC 310-10'!A43="","",' Impaired Loans ASC 310-10'!Q43)</f>
        <v/>
      </c>
    </row>
    <row r="44" customFormat="1" s="729">
      <c r="A44" s="573">
        <f>IF(' Impaired Loans ASC 310-10'!A44="","",' Impaired Loans ASC 310-10'!A44)</f>
        <v/>
      </c>
      <c r="B44" s="573">
        <f>IF(' Impaired Loans ASC 310-10'!B44="","",' Impaired Loans ASC 310-10'!B44)</f>
        <v/>
      </c>
      <c r="C44" s="573">
        <f>IF(' Impaired Loans ASC 310-10'!C44="","",' Impaired Loans ASC 310-10'!C44)</f>
        <v/>
      </c>
      <c r="D44" s="573">
        <f>IF(' Impaired Loans ASC 310-10'!D44="","",' Impaired Loans ASC 310-10'!D44)</f>
        <v/>
      </c>
      <c r="E44" s="574">
        <f>IF(' Impaired Loans ASC 310-10'!E44="","",' Impaired Loans ASC 310-10'!E44)</f>
        <v/>
      </c>
      <c r="F44" s="575">
        <f>IF(' Impaired Loans ASC 310-10'!F44="","",' Impaired Loans ASC 310-10'!F44)</f>
        <v/>
      </c>
      <c r="G44" s="574">
        <f>IF(' Impaired Loans ASC 310-10'!G44="","",' Impaired Loans ASC 310-10'!G44)</f>
        <v/>
      </c>
      <c r="H44" s="574">
        <f>IF(' Impaired Loans ASC 310-10'!H44="","",' Impaired Loans ASC 310-10'!H44)</f>
        <v/>
      </c>
      <c r="I44" s="574">
        <f>IF(' Impaired Loans ASC 310-10'!I44="","",' Impaired Loans ASC 310-10'!I44)</f>
        <v/>
      </c>
      <c r="J44" s="574">
        <f>IF(' Impaired Loans ASC 310-10'!J44="","",' Impaired Loans ASC 310-10'!J44)</f>
        <v/>
      </c>
      <c r="K44" s="584" t="n"/>
      <c r="L44" s="578">
        <f>IFERROR(A44," ")</f>
        <v/>
      </c>
      <c r="M44" s="849">
        <f>IF(' Impaired Loans ASC 310-10'!A44="","",' Impaired Loans ASC 310-10'!K44)</f>
        <v/>
      </c>
      <c r="N44" s="580">
        <f>IF(' Impaired Loans ASC 310-10'!A44="","",' Impaired Loans ASC 310-10'!L44)</f>
        <v/>
      </c>
      <c r="O44" s="581">
        <f>IF(' Impaired Loans ASC 310-10'!A44="","",' Impaired Loans ASC 310-10'!M44)</f>
        <v/>
      </c>
      <c r="P44" s="582">
        <f>IF(' Impaired Loans ASC 310-10'!A44="","",' Impaired Loans ASC 310-10'!O44)</f>
        <v/>
      </c>
      <c r="Q44" s="583">
        <f>IF(' Impaired Loans ASC 310-10'!A44="","",' Impaired Loans ASC 310-10'!N44)</f>
        <v/>
      </c>
      <c r="R44" s="583">
        <f>IF(' Impaired Loans ASC 310-10'!A44="","",' Impaired Loans ASC 310-10'!P44)</f>
        <v/>
      </c>
      <c r="S44" s="583">
        <f>IF(' Impaired Loans ASC 310-10'!A44="","",' Impaired Loans ASC 310-10'!Q44)</f>
        <v/>
      </c>
    </row>
    <row r="45" customFormat="1" s="729">
      <c r="A45" s="573">
        <f>IF(' Impaired Loans ASC 310-10'!A45="","",' Impaired Loans ASC 310-10'!A45)</f>
        <v/>
      </c>
      <c r="B45" s="573">
        <f>IF(' Impaired Loans ASC 310-10'!B45="","",' Impaired Loans ASC 310-10'!B45)</f>
        <v/>
      </c>
      <c r="C45" s="573">
        <f>IF(' Impaired Loans ASC 310-10'!C45="","",' Impaired Loans ASC 310-10'!C45)</f>
        <v/>
      </c>
      <c r="D45" s="573">
        <f>IF(' Impaired Loans ASC 310-10'!D45="","",' Impaired Loans ASC 310-10'!D45)</f>
        <v/>
      </c>
      <c r="E45" s="574">
        <f>IF(' Impaired Loans ASC 310-10'!E45="","",' Impaired Loans ASC 310-10'!E45)</f>
        <v/>
      </c>
      <c r="F45" s="575">
        <f>IF(' Impaired Loans ASC 310-10'!F45="","",' Impaired Loans ASC 310-10'!F45)</f>
        <v/>
      </c>
      <c r="G45" s="574">
        <f>IF(' Impaired Loans ASC 310-10'!G45="","",' Impaired Loans ASC 310-10'!G45)</f>
        <v/>
      </c>
      <c r="H45" s="574">
        <f>IF(' Impaired Loans ASC 310-10'!H45="","",' Impaired Loans ASC 310-10'!H45)</f>
        <v/>
      </c>
      <c r="I45" s="574">
        <f>IF(' Impaired Loans ASC 310-10'!I45="","",' Impaired Loans ASC 310-10'!I45)</f>
        <v/>
      </c>
      <c r="J45" s="574">
        <f>IF(' Impaired Loans ASC 310-10'!J45="","",' Impaired Loans ASC 310-10'!J45)</f>
        <v/>
      </c>
      <c r="K45" s="584" t="n"/>
      <c r="L45" s="578">
        <f>IFERROR(A45,"")</f>
        <v/>
      </c>
      <c r="M45" s="849">
        <f>IF(' Impaired Loans ASC 310-10'!A45="","",' Impaired Loans ASC 310-10'!K45)</f>
        <v/>
      </c>
      <c r="N45" s="580">
        <f>IF(' Impaired Loans ASC 310-10'!A45="","",' Impaired Loans ASC 310-10'!L45)</f>
        <v/>
      </c>
      <c r="O45" s="581">
        <f>IF(' Impaired Loans ASC 310-10'!A45="","",' Impaired Loans ASC 310-10'!M45)</f>
        <v/>
      </c>
      <c r="P45" s="582">
        <f>IF(' Impaired Loans ASC 310-10'!A45="","",' Impaired Loans ASC 310-10'!O45)</f>
        <v/>
      </c>
      <c r="Q45" s="583">
        <f>IF(' Impaired Loans ASC 310-10'!A45="","",' Impaired Loans ASC 310-10'!N45)</f>
        <v/>
      </c>
      <c r="R45" s="583">
        <f>IF(' Impaired Loans ASC 310-10'!A45="","",' Impaired Loans ASC 310-10'!P45)</f>
        <v/>
      </c>
      <c r="S45" s="583">
        <f>IF(' Impaired Loans ASC 310-10'!A45="","",' Impaired Loans ASC 310-10'!Q45)</f>
        <v/>
      </c>
    </row>
    <row r="46" customFormat="1" s="729">
      <c r="A46" s="573">
        <f>IF(' Impaired Loans ASC 310-10'!A46="","",' Impaired Loans ASC 310-10'!A46)</f>
        <v/>
      </c>
      <c r="B46" s="573">
        <f>IF(' Impaired Loans ASC 310-10'!B46="","",' Impaired Loans ASC 310-10'!B46)</f>
        <v/>
      </c>
      <c r="C46" s="573">
        <f>IF(' Impaired Loans ASC 310-10'!C46="","",' Impaired Loans ASC 310-10'!C46)</f>
        <v/>
      </c>
      <c r="D46" s="573">
        <f>IF(' Impaired Loans ASC 310-10'!D46="","",' Impaired Loans ASC 310-10'!D46)</f>
        <v/>
      </c>
      <c r="E46" s="574">
        <f>IF(' Impaired Loans ASC 310-10'!E46="","",' Impaired Loans ASC 310-10'!E46)</f>
        <v/>
      </c>
      <c r="F46" s="575">
        <f>IF(' Impaired Loans ASC 310-10'!F46="","",' Impaired Loans ASC 310-10'!F46)</f>
        <v/>
      </c>
      <c r="G46" s="574">
        <f>IF(' Impaired Loans ASC 310-10'!G46="","",' Impaired Loans ASC 310-10'!G46)</f>
        <v/>
      </c>
      <c r="H46" s="574">
        <f>IF(' Impaired Loans ASC 310-10'!H46="","",' Impaired Loans ASC 310-10'!H46)</f>
        <v/>
      </c>
      <c r="I46" s="574">
        <f>IF(' Impaired Loans ASC 310-10'!I46="","",' Impaired Loans ASC 310-10'!I46)</f>
        <v/>
      </c>
      <c r="J46" s="574">
        <f>IF(' Impaired Loans ASC 310-10'!J46="","",' Impaired Loans ASC 310-10'!J46)</f>
        <v/>
      </c>
      <c r="K46" s="584" t="n"/>
      <c r="L46" s="578">
        <f>IFERROR(A46,"")</f>
        <v/>
      </c>
      <c r="M46" s="849">
        <f>IF(' Impaired Loans ASC 310-10'!A46="","",' Impaired Loans ASC 310-10'!K46)</f>
        <v/>
      </c>
      <c r="N46" s="580">
        <f>IF(' Impaired Loans ASC 310-10'!A46="","",' Impaired Loans ASC 310-10'!L46)</f>
        <v/>
      </c>
      <c r="O46" s="581">
        <f>IF(' Impaired Loans ASC 310-10'!A46="","",' Impaired Loans ASC 310-10'!M46)</f>
        <v/>
      </c>
      <c r="P46" s="582">
        <f>IF(' Impaired Loans ASC 310-10'!A46="","",' Impaired Loans ASC 310-10'!O46)</f>
        <v/>
      </c>
      <c r="Q46" s="583">
        <f>IF(' Impaired Loans ASC 310-10'!A46="","",' Impaired Loans ASC 310-10'!N46)</f>
        <v/>
      </c>
      <c r="R46" s="583">
        <f>IF(' Impaired Loans ASC 310-10'!A46="","",' Impaired Loans ASC 310-10'!P46)</f>
        <v/>
      </c>
      <c r="S46" s="583">
        <f>IF(' Impaired Loans ASC 310-10'!A46="","",' Impaired Loans ASC 310-10'!Q46)</f>
        <v/>
      </c>
    </row>
    <row r="47" customFormat="1" s="729">
      <c r="A47" s="573">
        <f>IF(' Impaired Loans ASC 310-10'!A47="","",' Impaired Loans ASC 310-10'!A47)</f>
        <v/>
      </c>
      <c r="B47" s="573">
        <f>IF(' Impaired Loans ASC 310-10'!B47="","",' Impaired Loans ASC 310-10'!B47)</f>
        <v/>
      </c>
      <c r="C47" s="573">
        <f>IF(' Impaired Loans ASC 310-10'!C47="","",' Impaired Loans ASC 310-10'!C47)</f>
        <v/>
      </c>
      <c r="D47" s="573">
        <f>IF(' Impaired Loans ASC 310-10'!D47="","",' Impaired Loans ASC 310-10'!D47)</f>
        <v/>
      </c>
      <c r="E47" s="574">
        <f>IF(' Impaired Loans ASC 310-10'!E47="","",' Impaired Loans ASC 310-10'!E47)</f>
        <v/>
      </c>
      <c r="F47" s="575">
        <f>IF(' Impaired Loans ASC 310-10'!F47="","",' Impaired Loans ASC 310-10'!F47)</f>
        <v/>
      </c>
      <c r="G47" s="574">
        <f>IF(' Impaired Loans ASC 310-10'!G47="","",' Impaired Loans ASC 310-10'!G47)</f>
        <v/>
      </c>
      <c r="H47" s="574">
        <f>IF(' Impaired Loans ASC 310-10'!H47="","",' Impaired Loans ASC 310-10'!H47)</f>
        <v/>
      </c>
      <c r="I47" s="574">
        <f>IF(' Impaired Loans ASC 310-10'!I47="","",' Impaired Loans ASC 310-10'!I47)</f>
        <v/>
      </c>
      <c r="J47" s="574">
        <f>IF(' Impaired Loans ASC 310-10'!J47="","",' Impaired Loans ASC 310-10'!J47)</f>
        <v/>
      </c>
      <c r="K47" s="584" t="n"/>
      <c r="L47" s="578">
        <f>IFERROR(A47,"")</f>
        <v/>
      </c>
      <c r="M47" s="849">
        <f>IF(' Impaired Loans ASC 310-10'!A47="","",' Impaired Loans ASC 310-10'!K47)</f>
        <v/>
      </c>
      <c r="N47" s="580">
        <f>IF(' Impaired Loans ASC 310-10'!A47="","",' Impaired Loans ASC 310-10'!L47)</f>
        <v/>
      </c>
      <c r="O47" s="581">
        <f>IF(' Impaired Loans ASC 310-10'!A47="","",' Impaired Loans ASC 310-10'!M47)</f>
        <v/>
      </c>
      <c r="P47" s="582">
        <f>IF(' Impaired Loans ASC 310-10'!A47="","",' Impaired Loans ASC 310-10'!O47)</f>
        <v/>
      </c>
      <c r="Q47" s="583">
        <f>IF(' Impaired Loans ASC 310-10'!A47="","",' Impaired Loans ASC 310-10'!N47)</f>
        <v/>
      </c>
      <c r="R47" s="583">
        <f>IF(' Impaired Loans ASC 310-10'!A47="","",' Impaired Loans ASC 310-10'!P47)</f>
        <v/>
      </c>
      <c r="S47" s="583">
        <f>IF(' Impaired Loans ASC 310-10'!A47="","",' Impaired Loans ASC 310-10'!Q47)</f>
        <v/>
      </c>
    </row>
    <row r="48" customFormat="1" s="729">
      <c r="A48" s="573">
        <f>IF(' Impaired Loans ASC 310-10'!A48="","",' Impaired Loans ASC 310-10'!A48)</f>
        <v/>
      </c>
      <c r="B48" s="573">
        <f>IF(' Impaired Loans ASC 310-10'!B48="","",' Impaired Loans ASC 310-10'!B48)</f>
        <v/>
      </c>
      <c r="C48" s="573">
        <f>IF(' Impaired Loans ASC 310-10'!C48="","",' Impaired Loans ASC 310-10'!C48)</f>
        <v/>
      </c>
      <c r="D48" s="573">
        <f>IF(' Impaired Loans ASC 310-10'!D48="","",' Impaired Loans ASC 310-10'!D48)</f>
        <v/>
      </c>
      <c r="E48" s="574">
        <f>IF(' Impaired Loans ASC 310-10'!E48="","",' Impaired Loans ASC 310-10'!E48)</f>
        <v/>
      </c>
      <c r="F48" s="575">
        <f>IF(' Impaired Loans ASC 310-10'!F48="","",' Impaired Loans ASC 310-10'!F48)</f>
        <v/>
      </c>
      <c r="G48" s="574">
        <f>IF(' Impaired Loans ASC 310-10'!G48="","",' Impaired Loans ASC 310-10'!G48)</f>
        <v/>
      </c>
      <c r="H48" s="574">
        <f>IF(' Impaired Loans ASC 310-10'!H48="","",' Impaired Loans ASC 310-10'!H48)</f>
        <v/>
      </c>
      <c r="I48" s="574">
        <f>IF(' Impaired Loans ASC 310-10'!I48="","",' Impaired Loans ASC 310-10'!I48)</f>
        <v/>
      </c>
      <c r="J48" s="574">
        <f>IF(' Impaired Loans ASC 310-10'!J48="","",' Impaired Loans ASC 310-10'!J48)</f>
        <v/>
      </c>
      <c r="K48" s="584" t="n"/>
      <c r="L48" s="578">
        <f>IFERROR(A48,"")</f>
        <v/>
      </c>
      <c r="M48" s="849">
        <f>IF(' Impaired Loans ASC 310-10'!A48="","",' Impaired Loans ASC 310-10'!K48)</f>
        <v/>
      </c>
      <c r="N48" s="580">
        <f>IF(' Impaired Loans ASC 310-10'!A48="","",' Impaired Loans ASC 310-10'!L48)</f>
        <v/>
      </c>
      <c r="O48" s="581">
        <f>IF(' Impaired Loans ASC 310-10'!A48="","",' Impaired Loans ASC 310-10'!M48)</f>
        <v/>
      </c>
      <c r="P48" s="582">
        <f>IF(' Impaired Loans ASC 310-10'!A48="","",' Impaired Loans ASC 310-10'!O48)</f>
        <v/>
      </c>
      <c r="Q48" s="583">
        <f>IF(' Impaired Loans ASC 310-10'!A48="","",' Impaired Loans ASC 310-10'!N48)</f>
        <v/>
      </c>
      <c r="R48" s="583">
        <f>IF(' Impaired Loans ASC 310-10'!A48="","",' Impaired Loans ASC 310-10'!P48)</f>
        <v/>
      </c>
      <c r="S48" s="583">
        <f>IF(' Impaired Loans ASC 310-10'!A48="","",' Impaired Loans ASC 310-10'!Q48)</f>
        <v/>
      </c>
    </row>
    <row r="49" customFormat="1" s="729">
      <c r="A49" s="573">
        <f>IF(' Impaired Loans ASC 310-10'!A49="","",' Impaired Loans ASC 310-10'!A49)</f>
        <v/>
      </c>
      <c r="B49" s="573">
        <f>IF(' Impaired Loans ASC 310-10'!B49="","",' Impaired Loans ASC 310-10'!B49)</f>
        <v/>
      </c>
      <c r="C49" s="573">
        <f>IF(' Impaired Loans ASC 310-10'!C49="","",' Impaired Loans ASC 310-10'!C49)</f>
        <v/>
      </c>
      <c r="D49" s="573">
        <f>IF(' Impaired Loans ASC 310-10'!D49="","",' Impaired Loans ASC 310-10'!D49)</f>
        <v/>
      </c>
      <c r="E49" s="574">
        <f>IF(' Impaired Loans ASC 310-10'!E49="","",' Impaired Loans ASC 310-10'!E49)</f>
        <v/>
      </c>
      <c r="F49" s="575">
        <f>IF(' Impaired Loans ASC 310-10'!F49="","",' Impaired Loans ASC 310-10'!F49)</f>
        <v/>
      </c>
      <c r="G49" s="574">
        <f>IF(' Impaired Loans ASC 310-10'!G49="","",' Impaired Loans ASC 310-10'!G49)</f>
        <v/>
      </c>
      <c r="H49" s="574">
        <f>IF(' Impaired Loans ASC 310-10'!H49="","",' Impaired Loans ASC 310-10'!H49)</f>
        <v/>
      </c>
      <c r="I49" s="574">
        <f>IF(' Impaired Loans ASC 310-10'!I49="","",' Impaired Loans ASC 310-10'!I49)</f>
        <v/>
      </c>
      <c r="J49" s="574">
        <f>IF(' Impaired Loans ASC 310-10'!J49="","",' Impaired Loans ASC 310-10'!J49)</f>
        <v/>
      </c>
      <c r="K49" s="584" t="n"/>
      <c r="L49" s="578">
        <f>IFERROR(A49,"")</f>
        <v/>
      </c>
      <c r="M49" s="849">
        <f>IF(' Impaired Loans ASC 310-10'!A49="","",' Impaired Loans ASC 310-10'!K49)</f>
        <v/>
      </c>
      <c r="N49" s="580">
        <f>IF(' Impaired Loans ASC 310-10'!A49="","",' Impaired Loans ASC 310-10'!L49)</f>
        <v/>
      </c>
      <c r="O49" s="581">
        <f>IF(' Impaired Loans ASC 310-10'!A49="","",' Impaired Loans ASC 310-10'!M49)</f>
        <v/>
      </c>
      <c r="P49" s="582">
        <f>IF(' Impaired Loans ASC 310-10'!A49="","",' Impaired Loans ASC 310-10'!O49)</f>
        <v/>
      </c>
      <c r="Q49" s="583">
        <f>IF(' Impaired Loans ASC 310-10'!A49="","",' Impaired Loans ASC 310-10'!N49)</f>
        <v/>
      </c>
      <c r="R49" s="583">
        <f>IF(' Impaired Loans ASC 310-10'!A49="","",' Impaired Loans ASC 310-10'!P49)</f>
        <v/>
      </c>
      <c r="S49" s="583">
        <f>IF(' Impaired Loans ASC 310-10'!A49="","",' Impaired Loans ASC 310-10'!Q49)</f>
        <v/>
      </c>
    </row>
    <row r="50" customFormat="1" s="729">
      <c r="A50" s="573">
        <f>IF(' Impaired Loans ASC 310-10'!A50="","",' Impaired Loans ASC 310-10'!A50)</f>
        <v/>
      </c>
      <c r="B50" s="573">
        <f>IF(' Impaired Loans ASC 310-10'!B50="","",' Impaired Loans ASC 310-10'!B50)</f>
        <v/>
      </c>
      <c r="C50" s="573">
        <f>IF(' Impaired Loans ASC 310-10'!C50="","",' Impaired Loans ASC 310-10'!C50)</f>
        <v/>
      </c>
      <c r="D50" s="573">
        <f>IF(' Impaired Loans ASC 310-10'!D50="","",' Impaired Loans ASC 310-10'!D50)</f>
        <v/>
      </c>
      <c r="E50" s="574">
        <f>IF(' Impaired Loans ASC 310-10'!E50="","",' Impaired Loans ASC 310-10'!E50)</f>
        <v/>
      </c>
      <c r="F50" s="575">
        <f>IF(' Impaired Loans ASC 310-10'!F50="","",' Impaired Loans ASC 310-10'!F50)</f>
        <v/>
      </c>
      <c r="G50" s="574">
        <f>IF(' Impaired Loans ASC 310-10'!G50="","",' Impaired Loans ASC 310-10'!G50)</f>
        <v/>
      </c>
      <c r="H50" s="574">
        <f>IF(' Impaired Loans ASC 310-10'!H50="","",' Impaired Loans ASC 310-10'!H50)</f>
        <v/>
      </c>
      <c r="I50" s="574">
        <f>IF(' Impaired Loans ASC 310-10'!I50="","",' Impaired Loans ASC 310-10'!I50)</f>
        <v/>
      </c>
      <c r="J50" s="574">
        <f>IF(' Impaired Loans ASC 310-10'!J50="","",' Impaired Loans ASC 310-10'!J50)</f>
        <v/>
      </c>
      <c r="K50" s="584" t="n"/>
      <c r="L50" s="578">
        <f>IFERROR(A50,"")</f>
        <v/>
      </c>
      <c r="M50" s="849">
        <f>IF(' Impaired Loans ASC 310-10'!A50="","",' Impaired Loans ASC 310-10'!K50)</f>
        <v/>
      </c>
      <c r="N50" s="580">
        <f>IF(' Impaired Loans ASC 310-10'!A50="","",' Impaired Loans ASC 310-10'!L50)</f>
        <v/>
      </c>
      <c r="O50" s="581">
        <f>IF(' Impaired Loans ASC 310-10'!A50="","",' Impaired Loans ASC 310-10'!M50)</f>
        <v/>
      </c>
      <c r="P50" s="582">
        <f>IF(' Impaired Loans ASC 310-10'!A50="","",' Impaired Loans ASC 310-10'!O50)</f>
        <v/>
      </c>
      <c r="Q50" s="583">
        <f>IF(' Impaired Loans ASC 310-10'!A50="","",' Impaired Loans ASC 310-10'!N50)</f>
        <v/>
      </c>
      <c r="R50" s="583">
        <f>IF(' Impaired Loans ASC 310-10'!A50="","",' Impaired Loans ASC 310-10'!P50)</f>
        <v/>
      </c>
      <c r="S50" s="583">
        <f>IF(' Impaired Loans ASC 310-10'!A50="","",' Impaired Loans ASC 310-10'!Q50)</f>
        <v/>
      </c>
    </row>
    <row r="51" customFormat="1" s="729">
      <c r="A51" s="573">
        <f>IF(' Impaired Loans ASC 310-10'!A51="","",' Impaired Loans ASC 310-10'!A51)</f>
        <v/>
      </c>
      <c r="B51" s="573">
        <f>IF(' Impaired Loans ASC 310-10'!B51="","",' Impaired Loans ASC 310-10'!B51)</f>
        <v/>
      </c>
      <c r="C51" s="573">
        <f>IF(' Impaired Loans ASC 310-10'!C51="","",' Impaired Loans ASC 310-10'!C51)</f>
        <v/>
      </c>
      <c r="D51" s="573">
        <f>IF(' Impaired Loans ASC 310-10'!D51="","",' Impaired Loans ASC 310-10'!D51)</f>
        <v/>
      </c>
      <c r="E51" s="574">
        <f>IF(' Impaired Loans ASC 310-10'!E51="","",' Impaired Loans ASC 310-10'!E51)</f>
        <v/>
      </c>
      <c r="F51" s="575">
        <f>IF(' Impaired Loans ASC 310-10'!F51="","",' Impaired Loans ASC 310-10'!F51)</f>
        <v/>
      </c>
      <c r="G51" s="574">
        <f>IF(' Impaired Loans ASC 310-10'!G51="","",' Impaired Loans ASC 310-10'!G51)</f>
        <v/>
      </c>
      <c r="H51" s="574">
        <f>IF(' Impaired Loans ASC 310-10'!H51="","",' Impaired Loans ASC 310-10'!H51)</f>
        <v/>
      </c>
      <c r="I51" s="574">
        <f>IF(' Impaired Loans ASC 310-10'!I51="","",' Impaired Loans ASC 310-10'!I51)</f>
        <v/>
      </c>
      <c r="J51" s="574">
        <f>IF(' Impaired Loans ASC 310-10'!J51="","",' Impaired Loans ASC 310-10'!J51)</f>
        <v/>
      </c>
      <c r="K51" s="584" t="n"/>
      <c r="L51" s="578">
        <f>IFERROR(A51,"")</f>
        <v/>
      </c>
      <c r="M51" s="849">
        <f>IF(' Impaired Loans ASC 310-10'!A51="","",' Impaired Loans ASC 310-10'!K51)</f>
        <v/>
      </c>
      <c r="N51" s="580">
        <f>IF(' Impaired Loans ASC 310-10'!A51="","",' Impaired Loans ASC 310-10'!L51)</f>
        <v/>
      </c>
      <c r="O51" s="581">
        <f>IF(' Impaired Loans ASC 310-10'!A51="","",' Impaired Loans ASC 310-10'!M51)</f>
        <v/>
      </c>
      <c r="P51" s="582">
        <f>IF(' Impaired Loans ASC 310-10'!A51="","",' Impaired Loans ASC 310-10'!O51)</f>
        <v/>
      </c>
      <c r="Q51" s="583">
        <f>IF(' Impaired Loans ASC 310-10'!A51="","",' Impaired Loans ASC 310-10'!N51)</f>
        <v/>
      </c>
      <c r="R51" s="583">
        <f>IF(' Impaired Loans ASC 310-10'!A51="","",' Impaired Loans ASC 310-10'!P51)</f>
        <v/>
      </c>
      <c r="S51" s="583">
        <f>IF(' Impaired Loans ASC 310-10'!A51="","",' Impaired Loans ASC 310-10'!Q51)</f>
        <v/>
      </c>
    </row>
    <row r="52" customFormat="1" s="729">
      <c r="A52" s="573">
        <f>IF(' Impaired Loans ASC 310-10'!A52="","",' Impaired Loans ASC 310-10'!A52)</f>
        <v/>
      </c>
      <c r="B52" s="573">
        <f>IF(' Impaired Loans ASC 310-10'!B52="","",' Impaired Loans ASC 310-10'!B52)</f>
        <v/>
      </c>
      <c r="C52" s="573">
        <f>IF(' Impaired Loans ASC 310-10'!C52="","",' Impaired Loans ASC 310-10'!C52)</f>
        <v/>
      </c>
      <c r="D52" s="573">
        <f>IF(' Impaired Loans ASC 310-10'!D52="","",' Impaired Loans ASC 310-10'!D52)</f>
        <v/>
      </c>
      <c r="E52" s="574">
        <f>IF(' Impaired Loans ASC 310-10'!E52="","",' Impaired Loans ASC 310-10'!E52)</f>
        <v/>
      </c>
      <c r="F52" s="575">
        <f>IF(' Impaired Loans ASC 310-10'!F52="","",' Impaired Loans ASC 310-10'!F52)</f>
        <v/>
      </c>
      <c r="G52" s="574">
        <f>IF(' Impaired Loans ASC 310-10'!G52="","",' Impaired Loans ASC 310-10'!G52)</f>
        <v/>
      </c>
      <c r="H52" s="574">
        <f>IF(' Impaired Loans ASC 310-10'!H52="","",' Impaired Loans ASC 310-10'!H52)</f>
        <v/>
      </c>
      <c r="I52" s="574">
        <f>IF(' Impaired Loans ASC 310-10'!I52="","",' Impaired Loans ASC 310-10'!I52)</f>
        <v/>
      </c>
      <c r="J52" s="574">
        <f>IF(' Impaired Loans ASC 310-10'!J52="","",' Impaired Loans ASC 310-10'!J52)</f>
        <v/>
      </c>
      <c r="K52" s="584" t="n"/>
      <c r="L52" s="578">
        <f>IFERROR(A52,"")</f>
        <v/>
      </c>
      <c r="M52" s="849">
        <f>IF(' Impaired Loans ASC 310-10'!A52="","",' Impaired Loans ASC 310-10'!K52)</f>
        <v/>
      </c>
      <c r="N52" s="580">
        <f>IF(' Impaired Loans ASC 310-10'!A52="","",' Impaired Loans ASC 310-10'!L52)</f>
        <v/>
      </c>
      <c r="O52" s="581">
        <f>IF(' Impaired Loans ASC 310-10'!A52="","",' Impaired Loans ASC 310-10'!M52)</f>
        <v/>
      </c>
      <c r="P52" s="582">
        <f>IF(' Impaired Loans ASC 310-10'!A52="","",' Impaired Loans ASC 310-10'!O52)</f>
        <v/>
      </c>
      <c r="Q52" s="583">
        <f>IF(' Impaired Loans ASC 310-10'!A52="","",' Impaired Loans ASC 310-10'!N52)</f>
        <v/>
      </c>
      <c r="R52" s="583">
        <f>IF(' Impaired Loans ASC 310-10'!A52="","",' Impaired Loans ASC 310-10'!P52)</f>
        <v/>
      </c>
      <c r="S52" s="583">
        <f>IF(' Impaired Loans ASC 310-10'!A52="","",' Impaired Loans ASC 310-10'!Q52)</f>
        <v/>
      </c>
    </row>
    <row r="53" customFormat="1" s="729">
      <c r="A53" s="573">
        <f>IF(' Impaired Loans ASC 310-10'!A53="","",' Impaired Loans ASC 310-10'!A53)</f>
        <v/>
      </c>
      <c r="B53" s="573">
        <f>IF(' Impaired Loans ASC 310-10'!B53="","",' Impaired Loans ASC 310-10'!B53)</f>
        <v/>
      </c>
      <c r="C53" s="573">
        <f>IF(' Impaired Loans ASC 310-10'!C53="","",' Impaired Loans ASC 310-10'!C53)</f>
        <v/>
      </c>
      <c r="D53" s="573">
        <f>IF(' Impaired Loans ASC 310-10'!D53="","",' Impaired Loans ASC 310-10'!D53)</f>
        <v/>
      </c>
      <c r="E53" s="574">
        <f>IF(' Impaired Loans ASC 310-10'!E53="","",' Impaired Loans ASC 310-10'!E53)</f>
        <v/>
      </c>
      <c r="F53" s="575">
        <f>IF(' Impaired Loans ASC 310-10'!F53="","",' Impaired Loans ASC 310-10'!F53)</f>
        <v/>
      </c>
      <c r="G53" s="574">
        <f>IF(' Impaired Loans ASC 310-10'!G53="","",' Impaired Loans ASC 310-10'!G53)</f>
        <v/>
      </c>
      <c r="H53" s="574">
        <f>IF(' Impaired Loans ASC 310-10'!H53="","",' Impaired Loans ASC 310-10'!H53)</f>
        <v/>
      </c>
      <c r="I53" s="574">
        <f>IF(' Impaired Loans ASC 310-10'!I53="","",' Impaired Loans ASC 310-10'!I53)</f>
        <v/>
      </c>
      <c r="J53" s="574">
        <f>IF(' Impaired Loans ASC 310-10'!J53="","",' Impaired Loans ASC 310-10'!J53)</f>
        <v/>
      </c>
      <c r="K53" s="584" t="n"/>
      <c r="L53" s="578">
        <f>IFERROR(A53,"")</f>
        <v/>
      </c>
      <c r="M53" s="849">
        <f>IF(' Impaired Loans ASC 310-10'!A53="","",' Impaired Loans ASC 310-10'!K53)</f>
        <v/>
      </c>
      <c r="N53" s="580">
        <f>IF(' Impaired Loans ASC 310-10'!A53="","",' Impaired Loans ASC 310-10'!L53)</f>
        <v/>
      </c>
      <c r="O53" s="581">
        <f>IF(' Impaired Loans ASC 310-10'!A53="","",' Impaired Loans ASC 310-10'!M53)</f>
        <v/>
      </c>
      <c r="P53" s="582">
        <f>IF(' Impaired Loans ASC 310-10'!A53="","",' Impaired Loans ASC 310-10'!O53)</f>
        <v/>
      </c>
      <c r="Q53" s="583">
        <f>IF(' Impaired Loans ASC 310-10'!A53="","",' Impaired Loans ASC 310-10'!N53)</f>
        <v/>
      </c>
      <c r="R53" s="583">
        <f>IF(' Impaired Loans ASC 310-10'!A53="","",' Impaired Loans ASC 310-10'!P53)</f>
        <v/>
      </c>
      <c r="S53" s="583">
        <f>IF(' Impaired Loans ASC 310-10'!A53="","",' Impaired Loans ASC 310-10'!Q53)</f>
        <v/>
      </c>
    </row>
    <row r="54" customFormat="1" s="729">
      <c r="A54" s="573">
        <f>IF(' Impaired Loans ASC 310-10'!A54="","",' Impaired Loans ASC 310-10'!A54)</f>
        <v/>
      </c>
      <c r="B54" s="573">
        <f>IF(' Impaired Loans ASC 310-10'!B54="","",' Impaired Loans ASC 310-10'!B54)</f>
        <v/>
      </c>
      <c r="C54" s="573">
        <f>IF(' Impaired Loans ASC 310-10'!C54="","",' Impaired Loans ASC 310-10'!C54)</f>
        <v/>
      </c>
      <c r="D54" s="573">
        <f>IF(' Impaired Loans ASC 310-10'!D54="","",' Impaired Loans ASC 310-10'!D54)</f>
        <v/>
      </c>
      <c r="E54" s="574">
        <f>IF(' Impaired Loans ASC 310-10'!E54="","",' Impaired Loans ASC 310-10'!E54)</f>
        <v/>
      </c>
      <c r="F54" s="575">
        <f>IF(' Impaired Loans ASC 310-10'!F54="","",' Impaired Loans ASC 310-10'!F54)</f>
        <v/>
      </c>
      <c r="G54" s="574">
        <f>IF(' Impaired Loans ASC 310-10'!G54="","",' Impaired Loans ASC 310-10'!G54)</f>
        <v/>
      </c>
      <c r="H54" s="574">
        <f>IF(' Impaired Loans ASC 310-10'!H54="","",' Impaired Loans ASC 310-10'!H54)</f>
        <v/>
      </c>
      <c r="I54" s="574">
        <f>IF(' Impaired Loans ASC 310-10'!I54="","",' Impaired Loans ASC 310-10'!I54)</f>
        <v/>
      </c>
      <c r="J54" s="574">
        <f>IF(' Impaired Loans ASC 310-10'!J54="","",' Impaired Loans ASC 310-10'!J54)</f>
        <v/>
      </c>
      <c r="K54" s="584" t="n"/>
      <c r="L54" s="578">
        <f>IFERROR(A54,"")</f>
        <v/>
      </c>
      <c r="M54" s="849">
        <f>IF(' Impaired Loans ASC 310-10'!A54="","",' Impaired Loans ASC 310-10'!K54)</f>
        <v/>
      </c>
      <c r="N54" s="580">
        <f>IF(' Impaired Loans ASC 310-10'!A54="","",' Impaired Loans ASC 310-10'!L54)</f>
        <v/>
      </c>
      <c r="O54" s="581">
        <f>IF(' Impaired Loans ASC 310-10'!A54="","",' Impaired Loans ASC 310-10'!M54)</f>
        <v/>
      </c>
      <c r="P54" s="582">
        <f>IF(' Impaired Loans ASC 310-10'!A54="","",' Impaired Loans ASC 310-10'!O54)</f>
        <v/>
      </c>
      <c r="Q54" s="583">
        <f>IF(' Impaired Loans ASC 310-10'!A54="","",' Impaired Loans ASC 310-10'!N54)</f>
        <v/>
      </c>
      <c r="R54" s="583">
        <f>IF(' Impaired Loans ASC 310-10'!A54="","",' Impaired Loans ASC 310-10'!P54)</f>
        <v/>
      </c>
      <c r="S54" s="583">
        <f>IF(' Impaired Loans ASC 310-10'!A54="","",' Impaired Loans ASC 310-10'!Q54)</f>
        <v/>
      </c>
    </row>
    <row r="55" customFormat="1" s="729">
      <c r="A55" s="573">
        <f>IF(' Impaired Loans ASC 310-10'!A55="","",' Impaired Loans ASC 310-10'!A55)</f>
        <v/>
      </c>
      <c r="B55" s="573">
        <f>IF(' Impaired Loans ASC 310-10'!B55="","",' Impaired Loans ASC 310-10'!B55)</f>
        <v/>
      </c>
      <c r="C55" s="573">
        <f>IF(' Impaired Loans ASC 310-10'!C55="","",' Impaired Loans ASC 310-10'!C55)</f>
        <v/>
      </c>
      <c r="D55" s="573">
        <f>IF(' Impaired Loans ASC 310-10'!D55="","",' Impaired Loans ASC 310-10'!D55)</f>
        <v/>
      </c>
      <c r="E55" s="574">
        <f>IF(' Impaired Loans ASC 310-10'!E55="","",' Impaired Loans ASC 310-10'!E55)</f>
        <v/>
      </c>
      <c r="F55" s="575">
        <f>IF(' Impaired Loans ASC 310-10'!F55="","",' Impaired Loans ASC 310-10'!F55)</f>
        <v/>
      </c>
      <c r="G55" s="574">
        <f>IF(' Impaired Loans ASC 310-10'!G55="","",' Impaired Loans ASC 310-10'!G55)</f>
        <v/>
      </c>
      <c r="H55" s="574">
        <f>IF(' Impaired Loans ASC 310-10'!H55="","",' Impaired Loans ASC 310-10'!H55)</f>
        <v/>
      </c>
      <c r="I55" s="574">
        <f>IF(' Impaired Loans ASC 310-10'!I55="","",' Impaired Loans ASC 310-10'!I55)</f>
        <v/>
      </c>
      <c r="J55" s="574">
        <f>IF(' Impaired Loans ASC 310-10'!J55="","",' Impaired Loans ASC 310-10'!J55)</f>
        <v/>
      </c>
      <c r="K55" s="584" t="n"/>
      <c r="L55" s="578">
        <f>IFERROR(A55,"")</f>
        <v/>
      </c>
      <c r="M55" s="849">
        <f>IF(' Impaired Loans ASC 310-10'!A55="","",' Impaired Loans ASC 310-10'!K55)</f>
        <v/>
      </c>
      <c r="N55" s="580">
        <f>IF(' Impaired Loans ASC 310-10'!A55="","",' Impaired Loans ASC 310-10'!L55)</f>
        <v/>
      </c>
      <c r="O55" s="581">
        <f>IF(' Impaired Loans ASC 310-10'!A55="","",' Impaired Loans ASC 310-10'!M55)</f>
        <v/>
      </c>
      <c r="P55" s="582">
        <f>IF(' Impaired Loans ASC 310-10'!A55="","",' Impaired Loans ASC 310-10'!O55)</f>
        <v/>
      </c>
      <c r="Q55" s="583">
        <f>IF(' Impaired Loans ASC 310-10'!A55="","",' Impaired Loans ASC 310-10'!N55)</f>
        <v/>
      </c>
      <c r="R55" s="583">
        <f>IF(' Impaired Loans ASC 310-10'!A55="","",' Impaired Loans ASC 310-10'!P55)</f>
        <v/>
      </c>
      <c r="S55" s="583">
        <f>IF(' Impaired Loans ASC 310-10'!A55="","",' Impaired Loans ASC 310-10'!Q55)</f>
        <v/>
      </c>
    </row>
    <row r="56" customFormat="1" s="729">
      <c r="A56" s="573">
        <f>IF(' Impaired Loans ASC 310-10'!A56="","",' Impaired Loans ASC 310-10'!A56)</f>
        <v/>
      </c>
      <c r="B56" s="573">
        <f>IF(' Impaired Loans ASC 310-10'!B56="","",' Impaired Loans ASC 310-10'!B56)</f>
        <v/>
      </c>
      <c r="C56" s="573">
        <f>IF(' Impaired Loans ASC 310-10'!C56="","",' Impaired Loans ASC 310-10'!C56)</f>
        <v/>
      </c>
      <c r="D56" s="573">
        <f>IF(' Impaired Loans ASC 310-10'!D56="","",' Impaired Loans ASC 310-10'!D56)</f>
        <v/>
      </c>
      <c r="E56" s="574">
        <f>IF(' Impaired Loans ASC 310-10'!E56="","",' Impaired Loans ASC 310-10'!E56)</f>
        <v/>
      </c>
      <c r="F56" s="575">
        <f>IF(' Impaired Loans ASC 310-10'!F56="","",' Impaired Loans ASC 310-10'!F56)</f>
        <v/>
      </c>
      <c r="G56" s="574">
        <f>IF(' Impaired Loans ASC 310-10'!G56="","",' Impaired Loans ASC 310-10'!G56)</f>
        <v/>
      </c>
      <c r="H56" s="574">
        <f>IF(' Impaired Loans ASC 310-10'!H56="","",' Impaired Loans ASC 310-10'!H56)</f>
        <v/>
      </c>
      <c r="I56" s="574">
        <f>IF(' Impaired Loans ASC 310-10'!I56="","",' Impaired Loans ASC 310-10'!I56)</f>
        <v/>
      </c>
      <c r="J56" s="574">
        <f>IF(' Impaired Loans ASC 310-10'!J56="","",' Impaired Loans ASC 310-10'!J56)</f>
        <v/>
      </c>
      <c r="K56" s="584" t="n"/>
      <c r="L56" s="578">
        <f>IFERROR(A56,"")</f>
        <v/>
      </c>
      <c r="M56" s="849">
        <f>IF(' Impaired Loans ASC 310-10'!A56="","",' Impaired Loans ASC 310-10'!K56)</f>
        <v/>
      </c>
      <c r="N56" s="580">
        <f>IF(' Impaired Loans ASC 310-10'!A56="","",' Impaired Loans ASC 310-10'!L56)</f>
        <v/>
      </c>
      <c r="O56" s="581">
        <f>IF(' Impaired Loans ASC 310-10'!A56="","",' Impaired Loans ASC 310-10'!M56)</f>
        <v/>
      </c>
      <c r="P56" s="582">
        <f>IF(' Impaired Loans ASC 310-10'!A56="","",' Impaired Loans ASC 310-10'!O56)</f>
        <v/>
      </c>
      <c r="Q56" s="583">
        <f>IF(' Impaired Loans ASC 310-10'!A56="","",' Impaired Loans ASC 310-10'!N56)</f>
        <v/>
      </c>
      <c r="R56" s="583">
        <f>IF(' Impaired Loans ASC 310-10'!A56="","",' Impaired Loans ASC 310-10'!P56)</f>
        <v/>
      </c>
      <c r="S56" s="583">
        <f>IF(' Impaired Loans ASC 310-10'!A56="","",' Impaired Loans ASC 310-10'!Q56)</f>
        <v/>
      </c>
    </row>
    <row r="57" customFormat="1" s="729">
      <c r="A57" s="573">
        <f>IF(' Impaired Loans ASC 310-10'!A57="","",' Impaired Loans ASC 310-10'!A57)</f>
        <v/>
      </c>
      <c r="B57" s="573">
        <f>IF(' Impaired Loans ASC 310-10'!B57="","",' Impaired Loans ASC 310-10'!B57)</f>
        <v/>
      </c>
      <c r="C57" s="573">
        <f>IF(' Impaired Loans ASC 310-10'!C57="","",' Impaired Loans ASC 310-10'!C57)</f>
        <v/>
      </c>
      <c r="D57" s="573">
        <f>IF(' Impaired Loans ASC 310-10'!D57="","",' Impaired Loans ASC 310-10'!D57)</f>
        <v/>
      </c>
      <c r="E57" s="574">
        <f>IF(' Impaired Loans ASC 310-10'!E57="","",' Impaired Loans ASC 310-10'!E57)</f>
        <v/>
      </c>
      <c r="F57" s="575">
        <f>IF(' Impaired Loans ASC 310-10'!F57="","",' Impaired Loans ASC 310-10'!F57)</f>
        <v/>
      </c>
      <c r="G57" s="574">
        <f>IF(' Impaired Loans ASC 310-10'!G57="","",' Impaired Loans ASC 310-10'!G57)</f>
        <v/>
      </c>
      <c r="H57" s="574">
        <f>IF(' Impaired Loans ASC 310-10'!H57="","",' Impaired Loans ASC 310-10'!H57)</f>
        <v/>
      </c>
      <c r="I57" s="574">
        <f>IF(' Impaired Loans ASC 310-10'!I57="","",' Impaired Loans ASC 310-10'!I57)</f>
        <v/>
      </c>
      <c r="J57" s="574">
        <f>IF(' Impaired Loans ASC 310-10'!J57="","",' Impaired Loans ASC 310-10'!J57)</f>
        <v/>
      </c>
      <c r="K57" s="584" t="n"/>
      <c r="L57" s="578">
        <f>IFERROR(A57,"")</f>
        <v/>
      </c>
      <c r="M57" s="849">
        <f>IF(' Impaired Loans ASC 310-10'!A57="","",' Impaired Loans ASC 310-10'!K57)</f>
        <v/>
      </c>
      <c r="N57" s="580">
        <f>IF(' Impaired Loans ASC 310-10'!A57="","",' Impaired Loans ASC 310-10'!L57)</f>
        <v/>
      </c>
      <c r="O57" s="581">
        <f>IF(' Impaired Loans ASC 310-10'!A57="","",' Impaired Loans ASC 310-10'!M57)</f>
        <v/>
      </c>
      <c r="P57" s="582">
        <f>IF(' Impaired Loans ASC 310-10'!A57="","",' Impaired Loans ASC 310-10'!O57)</f>
        <v/>
      </c>
      <c r="Q57" s="583">
        <f>IF(' Impaired Loans ASC 310-10'!A57="","",' Impaired Loans ASC 310-10'!N57)</f>
        <v/>
      </c>
      <c r="R57" s="583">
        <f>IF(' Impaired Loans ASC 310-10'!A57="","",' Impaired Loans ASC 310-10'!P57)</f>
        <v/>
      </c>
      <c r="S57" s="583">
        <f>IF(' Impaired Loans ASC 310-10'!A57="","",' Impaired Loans ASC 310-10'!Q57)</f>
        <v/>
      </c>
    </row>
    <row r="58" customFormat="1" s="729">
      <c r="A58" s="573">
        <f>IF(' Impaired Loans ASC 310-10'!A58="","",' Impaired Loans ASC 310-10'!A58)</f>
        <v/>
      </c>
      <c r="B58" s="573">
        <f>IF(' Impaired Loans ASC 310-10'!B58="","",' Impaired Loans ASC 310-10'!B58)</f>
        <v/>
      </c>
      <c r="C58" s="573">
        <f>IF(' Impaired Loans ASC 310-10'!C58="","",' Impaired Loans ASC 310-10'!C58)</f>
        <v/>
      </c>
      <c r="D58" s="573">
        <f>IF(' Impaired Loans ASC 310-10'!D58="","",' Impaired Loans ASC 310-10'!D58)</f>
        <v/>
      </c>
      <c r="E58" s="574">
        <f>IF(' Impaired Loans ASC 310-10'!E58="","",' Impaired Loans ASC 310-10'!E58)</f>
        <v/>
      </c>
      <c r="F58" s="575">
        <f>IF(' Impaired Loans ASC 310-10'!F58="","",' Impaired Loans ASC 310-10'!F58)</f>
        <v/>
      </c>
      <c r="G58" s="574">
        <f>IF(' Impaired Loans ASC 310-10'!G58="","",' Impaired Loans ASC 310-10'!G58)</f>
        <v/>
      </c>
      <c r="H58" s="574">
        <f>IF(' Impaired Loans ASC 310-10'!H58="","",' Impaired Loans ASC 310-10'!H58)</f>
        <v/>
      </c>
      <c r="I58" s="574">
        <f>IF(' Impaired Loans ASC 310-10'!I58="","",' Impaired Loans ASC 310-10'!I58)</f>
        <v/>
      </c>
      <c r="J58" s="574">
        <f>IF(' Impaired Loans ASC 310-10'!J58="","",' Impaired Loans ASC 310-10'!J58)</f>
        <v/>
      </c>
      <c r="K58" s="584" t="n"/>
      <c r="L58" s="578">
        <f>IFERROR(A58,"")</f>
        <v/>
      </c>
      <c r="M58" s="849">
        <f>IF(' Impaired Loans ASC 310-10'!A58="","",' Impaired Loans ASC 310-10'!K58)</f>
        <v/>
      </c>
      <c r="N58" s="580">
        <f>IF(' Impaired Loans ASC 310-10'!A58="","",' Impaired Loans ASC 310-10'!L58)</f>
        <v/>
      </c>
      <c r="O58" s="581">
        <f>IF(' Impaired Loans ASC 310-10'!A58="","",' Impaired Loans ASC 310-10'!M58)</f>
        <v/>
      </c>
      <c r="P58" s="582">
        <f>IF(' Impaired Loans ASC 310-10'!A58="","",' Impaired Loans ASC 310-10'!O58)</f>
        <v/>
      </c>
      <c r="Q58" s="583">
        <f>IF(' Impaired Loans ASC 310-10'!A58="","",' Impaired Loans ASC 310-10'!N58)</f>
        <v/>
      </c>
      <c r="R58" s="583">
        <f>IF(' Impaired Loans ASC 310-10'!A58="","",' Impaired Loans ASC 310-10'!P58)</f>
        <v/>
      </c>
      <c r="S58" s="583">
        <f>IF(' Impaired Loans ASC 310-10'!A58="","",' Impaired Loans ASC 310-10'!Q58)</f>
        <v/>
      </c>
    </row>
    <row r="59" customFormat="1" s="729">
      <c r="A59" s="573">
        <f>IF(' Impaired Loans ASC 310-10'!A59="","",' Impaired Loans ASC 310-10'!A59)</f>
        <v/>
      </c>
      <c r="B59" s="573">
        <f>IF(' Impaired Loans ASC 310-10'!B59="","",' Impaired Loans ASC 310-10'!B59)</f>
        <v/>
      </c>
      <c r="C59" s="573">
        <f>IF(' Impaired Loans ASC 310-10'!C59="","",' Impaired Loans ASC 310-10'!C59)</f>
        <v/>
      </c>
      <c r="D59" s="573">
        <f>IF(' Impaired Loans ASC 310-10'!D59="","",' Impaired Loans ASC 310-10'!D59)</f>
        <v/>
      </c>
      <c r="E59" s="574">
        <f>IF(' Impaired Loans ASC 310-10'!E59="","",' Impaired Loans ASC 310-10'!E59)</f>
        <v/>
      </c>
      <c r="F59" s="575">
        <f>IF(' Impaired Loans ASC 310-10'!F59="","",' Impaired Loans ASC 310-10'!F59)</f>
        <v/>
      </c>
      <c r="G59" s="574">
        <f>IF(' Impaired Loans ASC 310-10'!G59="","",' Impaired Loans ASC 310-10'!G59)</f>
        <v/>
      </c>
      <c r="H59" s="574">
        <f>IF(' Impaired Loans ASC 310-10'!H59="","",' Impaired Loans ASC 310-10'!H59)</f>
        <v/>
      </c>
      <c r="I59" s="574">
        <f>IF(' Impaired Loans ASC 310-10'!I59="","",' Impaired Loans ASC 310-10'!I59)</f>
        <v/>
      </c>
      <c r="J59" s="574">
        <f>IF(' Impaired Loans ASC 310-10'!J59="","",' Impaired Loans ASC 310-10'!J59)</f>
        <v/>
      </c>
      <c r="K59" s="584" t="n"/>
      <c r="L59" s="578">
        <f>IFERROR(A59,"")</f>
        <v/>
      </c>
      <c r="M59" s="849">
        <f>IF(' Impaired Loans ASC 310-10'!A59="","",' Impaired Loans ASC 310-10'!K59)</f>
        <v/>
      </c>
      <c r="N59" s="580">
        <f>IF(' Impaired Loans ASC 310-10'!A59="","",' Impaired Loans ASC 310-10'!L59)</f>
        <v/>
      </c>
      <c r="O59" s="581">
        <f>IF(' Impaired Loans ASC 310-10'!A59="","",' Impaired Loans ASC 310-10'!M59)</f>
        <v/>
      </c>
      <c r="P59" s="582">
        <f>IF(' Impaired Loans ASC 310-10'!A59="","",' Impaired Loans ASC 310-10'!O59)</f>
        <v/>
      </c>
      <c r="Q59" s="583">
        <f>IF(' Impaired Loans ASC 310-10'!A59="","",' Impaired Loans ASC 310-10'!N59)</f>
        <v/>
      </c>
      <c r="R59" s="583">
        <f>IF(' Impaired Loans ASC 310-10'!A59="","",' Impaired Loans ASC 310-10'!P59)</f>
        <v/>
      </c>
      <c r="S59" s="583">
        <f>IF(' Impaired Loans ASC 310-10'!A59="","",' Impaired Loans ASC 310-10'!Q59)</f>
        <v/>
      </c>
    </row>
    <row r="60" customFormat="1" s="729">
      <c r="A60" s="573">
        <f>IF(' Impaired Loans ASC 310-10'!A60="","",' Impaired Loans ASC 310-10'!A60)</f>
        <v/>
      </c>
      <c r="B60" s="573">
        <f>IF(' Impaired Loans ASC 310-10'!B60="","",' Impaired Loans ASC 310-10'!B60)</f>
        <v/>
      </c>
      <c r="C60" s="573">
        <f>IF(' Impaired Loans ASC 310-10'!C60="","",' Impaired Loans ASC 310-10'!C60)</f>
        <v/>
      </c>
      <c r="D60" s="573">
        <f>IF(' Impaired Loans ASC 310-10'!D60="","",' Impaired Loans ASC 310-10'!D60)</f>
        <v/>
      </c>
      <c r="E60" s="574">
        <f>IF(' Impaired Loans ASC 310-10'!E60="","",' Impaired Loans ASC 310-10'!E60)</f>
        <v/>
      </c>
      <c r="F60" s="575">
        <f>IF(' Impaired Loans ASC 310-10'!F60="","",' Impaired Loans ASC 310-10'!F60)</f>
        <v/>
      </c>
      <c r="G60" s="574">
        <f>IF(' Impaired Loans ASC 310-10'!G60="","",' Impaired Loans ASC 310-10'!G60)</f>
        <v/>
      </c>
      <c r="H60" s="574">
        <f>IF(' Impaired Loans ASC 310-10'!H60="","",' Impaired Loans ASC 310-10'!H60)</f>
        <v/>
      </c>
      <c r="I60" s="574">
        <f>IF(' Impaired Loans ASC 310-10'!I60="","",' Impaired Loans ASC 310-10'!I60)</f>
        <v/>
      </c>
      <c r="J60" s="574">
        <f>IF(' Impaired Loans ASC 310-10'!J60="","",' Impaired Loans ASC 310-10'!J60)</f>
        <v/>
      </c>
      <c r="K60" s="584" t="n"/>
      <c r="L60" s="578">
        <f>IFERROR(A60,"")</f>
        <v/>
      </c>
      <c r="M60" s="849">
        <f>IF(' Impaired Loans ASC 310-10'!A60="","",' Impaired Loans ASC 310-10'!K60)</f>
        <v/>
      </c>
      <c r="N60" s="580">
        <f>IF(' Impaired Loans ASC 310-10'!A60="","",' Impaired Loans ASC 310-10'!L60)</f>
        <v/>
      </c>
      <c r="O60" s="581">
        <f>IF(' Impaired Loans ASC 310-10'!A60="","",' Impaired Loans ASC 310-10'!M60)</f>
        <v/>
      </c>
      <c r="P60" s="582">
        <f>IF(' Impaired Loans ASC 310-10'!A60="","",' Impaired Loans ASC 310-10'!O60)</f>
        <v/>
      </c>
      <c r="Q60" s="583">
        <f>IF(' Impaired Loans ASC 310-10'!A60="","",' Impaired Loans ASC 310-10'!N60)</f>
        <v/>
      </c>
      <c r="R60" s="583">
        <f>IF(' Impaired Loans ASC 310-10'!A60="","",' Impaired Loans ASC 310-10'!P60)</f>
        <v/>
      </c>
      <c r="S60" s="583">
        <f>IF(' Impaired Loans ASC 310-10'!A60="","",' Impaired Loans ASC 310-10'!Q60)</f>
        <v/>
      </c>
    </row>
    <row r="61" customFormat="1" s="729">
      <c r="A61" s="573">
        <f>IF(' Impaired Loans ASC 310-10'!A61="","",' Impaired Loans ASC 310-10'!A61)</f>
        <v/>
      </c>
      <c r="B61" s="573">
        <f>IF(' Impaired Loans ASC 310-10'!B61="","",' Impaired Loans ASC 310-10'!B61)</f>
        <v/>
      </c>
      <c r="C61" s="573">
        <f>IF(' Impaired Loans ASC 310-10'!C61="","",' Impaired Loans ASC 310-10'!C61)</f>
        <v/>
      </c>
      <c r="D61" s="573">
        <f>IF(' Impaired Loans ASC 310-10'!D61="","",' Impaired Loans ASC 310-10'!D61)</f>
        <v/>
      </c>
      <c r="E61" s="574">
        <f>IF(' Impaired Loans ASC 310-10'!E61="","",' Impaired Loans ASC 310-10'!E61)</f>
        <v/>
      </c>
      <c r="F61" s="575">
        <f>IF(' Impaired Loans ASC 310-10'!F61="","",' Impaired Loans ASC 310-10'!F61)</f>
        <v/>
      </c>
      <c r="G61" s="574">
        <f>IF(' Impaired Loans ASC 310-10'!G61="","",' Impaired Loans ASC 310-10'!G61)</f>
        <v/>
      </c>
      <c r="H61" s="574">
        <f>IF(' Impaired Loans ASC 310-10'!H61="","",' Impaired Loans ASC 310-10'!H61)</f>
        <v/>
      </c>
      <c r="I61" s="574">
        <f>IF(' Impaired Loans ASC 310-10'!I61="","",' Impaired Loans ASC 310-10'!I61)</f>
        <v/>
      </c>
      <c r="J61" s="574">
        <f>IF(' Impaired Loans ASC 310-10'!J61="","",' Impaired Loans ASC 310-10'!J61)</f>
        <v/>
      </c>
      <c r="K61" s="584" t="n"/>
      <c r="L61" s="578">
        <f>IFERROR(A61,"")</f>
        <v/>
      </c>
      <c r="M61" s="849">
        <f>IF(' Impaired Loans ASC 310-10'!A61="","",' Impaired Loans ASC 310-10'!K61)</f>
        <v/>
      </c>
      <c r="N61" s="580">
        <f>IF(' Impaired Loans ASC 310-10'!A61="","",' Impaired Loans ASC 310-10'!L61)</f>
        <v/>
      </c>
      <c r="O61" s="581">
        <f>IF(' Impaired Loans ASC 310-10'!A61="","",' Impaired Loans ASC 310-10'!M61)</f>
        <v/>
      </c>
      <c r="P61" s="582">
        <f>IF(' Impaired Loans ASC 310-10'!A61="","",' Impaired Loans ASC 310-10'!O61)</f>
        <v/>
      </c>
      <c r="Q61" s="583">
        <f>IF(' Impaired Loans ASC 310-10'!A61="","",' Impaired Loans ASC 310-10'!N61)</f>
        <v/>
      </c>
      <c r="R61" s="583">
        <f>IF(' Impaired Loans ASC 310-10'!A61="","",' Impaired Loans ASC 310-10'!P61)</f>
        <v/>
      </c>
      <c r="S61" s="583">
        <f>IF(' Impaired Loans ASC 310-10'!A61="","",' Impaired Loans ASC 310-10'!Q61)</f>
        <v/>
      </c>
    </row>
    <row r="62" customFormat="1" s="729">
      <c r="A62" s="573">
        <f>IF(' Impaired Loans ASC 310-10'!A62="","",' Impaired Loans ASC 310-10'!A62)</f>
        <v/>
      </c>
      <c r="B62" s="573">
        <f>IF(' Impaired Loans ASC 310-10'!B62="","",' Impaired Loans ASC 310-10'!B62)</f>
        <v/>
      </c>
      <c r="C62" s="573">
        <f>IF(' Impaired Loans ASC 310-10'!C62="","",' Impaired Loans ASC 310-10'!C62)</f>
        <v/>
      </c>
      <c r="D62" s="573">
        <f>IF(' Impaired Loans ASC 310-10'!D62="","",' Impaired Loans ASC 310-10'!D62)</f>
        <v/>
      </c>
      <c r="E62" s="574">
        <f>IF(' Impaired Loans ASC 310-10'!E62="","",' Impaired Loans ASC 310-10'!E62)</f>
        <v/>
      </c>
      <c r="F62" s="575">
        <f>IF(' Impaired Loans ASC 310-10'!F62="","",' Impaired Loans ASC 310-10'!F62)</f>
        <v/>
      </c>
      <c r="G62" s="574">
        <f>IF(' Impaired Loans ASC 310-10'!G62="","",' Impaired Loans ASC 310-10'!G62)</f>
        <v/>
      </c>
      <c r="H62" s="574">
        <f>IF(' Impaired Loans ASC 310-10'!H62="","",' Impaired Loans ASC 310-10'!H62)</f>
        <v/>
      </c>
      <c r="I62" s="574">
        <f>IF(' Impaired Loans ASC 310-10'!I62="","",' Impaired Loans ASC 310-10'!I62)</f>
        <v/>
      </c>
      <c r="J62" s="574">
        <f>IF(' Impaired Loans ASC 310-10'!J62="","",' Impaired Loans ASC 310-10'!J62)</f>
        <v/>
      </c>
      <c r="K62" s="584" t="n"/>
      <c r="L62" s="578">
        <f>IFERROR(A62,"")</f>
        <v/>
      </c>
      <c r="M62" s="849">
        <f>IF(' Impaired Loans ASC 310-10'!A62="","",' Impaired Loans ASC 310-10'!K62)</f>
        <v/>
      </c>
      <c r="N62" s="580">
        <f>IF(' Impaired Loans ASC 310-10'!A62="","",' Impaired Loans ASC 310-10'!L62)</f>
        <v/>
      </c>
      <c r="O62" s="581">
        <f>IF(' Impaired Loans ASC 310-10'!A62="","",' Impaired Loans ASC 310-10'!M62)</f>
        <v/>
      </c>
      <c r="P62" s="582">
        <f>IF(' Impaired Loans ASC 310-10'!A62="","",' Impaired Loans ASC 310-10'!O62)</f>
        <v/>
      </c>
      <c r="Q62" s="583">
        <f>IF(' Impaired Loans ASC 310-10'!A62="","",' Impaired Loans ASC 310-10'!N62)</f>
        <v/>
      </c>
      <c r="R62" s="583">
        <f>IF(' Impaired Loans ASC 310-10'!A62="","",' Impaired Loans ASC 310-10'!P62)</f>
        <v/>
      </c>
      <c r="S62" s="583">
        <f>IF(' Impaired Loans ASC 310-10'!A62="","",' Impaired Loans ASC 310-10'!Q62)</f>
        <v/>
      </c>
    </row>
    <row r="63" customFormat="1" s="729">
      <c r="A63" s="573">
        <f>IF(' Impaired Loans ASC 310-10'!A63="","",' Impaired Loans ASC 310-10'!A63)</f>
        <v/>
      </c>
      <c r="B63" s="573">
        <f>IF(' Impaired Loans ASC 310-10'!B63="","",' Impaired Loans ASC 310-10'!B63)</f>
        <v/>
      </c>
      <c r="C63" s="573">
        <f>IF(' Impaired Loans ASC 310-10'!C63="","",' Impaired Loans ASC 310-10'!C63)</f>
        <v/>
      </c>
      <c r="D63" s="573">
        <f>IF(' Impaired Loans ASC 310-10'!D63="","",' Impaired Loans ASC 310-10'!D63)</f>
        <v/>
      </c>
      <c r="E63" s="574">
        <f>IF(' Impaired Loans ASC 310-10'!E63="","",' Impaired Loans ASC 310-10'!E63)</f>
        <v/>
      </c>
      <c r="F63" s="575">
        <f>IF(' Impaired Loans ASC 310-10'!F63="","",' Impaired Loans ASC 310-10'!F63)</f>
        <v/>
      </c>
      <c r="G63" s="574">
        <f>IF(' Impaired Loans ASC 310-10'!G63="","",' Impaired Loans ASC 310-10'!G63)</f>
        <v/>
      </c>
      <c r="H63" s="574">
        <f>IF(' Impaired Loans ASC 310-10'!H63="","",' Impaired Loans ASC 310-10'!H63)</f>
        <v/>
      </c>
      <c r="I63" s="574">
        <f>IF(' Impaired Loans ASC 310-10'!I63="","",' Impaired Loans ASC 310-10'!I63)</f>
        <v/>
      </c>
      <c r="J63" s="574">
        <f>IF(' Impaired Loans ASC 310-10'!J63="","",' Impaired Loans ASC 310-10'!J63)</f>
        <v/>
      </c>
      <c r="K63" s="584" t="n"/>
      <c r="L63" s="578">
        <f>IFERROR(A63,"")</f>
        <v/>
      </c>
      <c r="M63" s="849">
        <f>IF(' Impaired Loans ASC 310-10'!A63="","",' Impaired Loans ASC 310-10'!K63)</f>
        <v/>
      </c>
      <c r="N63" s="580">
        <f>IF(' Impaired Loans ASC 310-10'!A63="","",' Impaired Loans ASC 310-10'!L63)</f>
        <v/>
      </c>
      <c r="O63" s="581">
        <f>IF(' Impaired Loans ASC 310-10'!A63="","",' Impaired Loans ASC 310-10'!M63)</f>
        <v/>
      </c>
      <c r="P63" s="582">
        <f>IF(' Impaired Loans ASC 310-10'!A63="","",' Impaired Loans ASC 310-10'!O63)</f>
        <v/>
      </c>
      <c r="Q63" s="583">
        <f>IF(' Impaired Loans ASC 310-10'!A63="","",' Impaired Loans ASC 310-10'!N63)</f>
        <v/>
      </c>
      <c r="R63" s="583">
        <f>IF(' Impaired Loans ASC 310-10'!A63="","",' Impaired Loans ASC 310-10'!P63)</f>
        <v/>
      </c>
      <c r="S63" s="583">
        <f>IF(' Impaired Loans ASC 310-10'!A63="","",' Impaired Loans ASC 310-10'!Q63)</f>
        <v/>
      </c>
    </row>
    <row r="64" customFormat="1" s="729">
      <c r="A64" s="573">
        <f>IF(' Impaired Loans ASC 310-10'!A64="","",' Impaired Loans ASC 310-10'!A64)</f>
        <v/>
      </c>
      <c r="B64" s="573">
        <f>IF(' Impaired Loans ASC 310-10'!B64="","",' Impaired Loans ASC 310-10'!B64)</f>
        <v/>
      </c>
      <c r="C64" s="573">
        <f>IF(' Impaired Loans ASC 310-10'!C64="","",' Impaired Loans ASC 310-10'!C64)</f>
        <v/>
      </c>
      <c r="D64" s="573">
        <f>IF(' Impaired Loans ASC 310-10'!D64="","",' Impaired Loans ASC 310-10'!D64)</f>
        <v/>
      </c>
      <c r="E64" s="574">
        <f>IF(' Impaired Loans ASC 310-10'!E64="","",' Impaired Loans ASC 310-10'!E64)</f>
        <v/>
      </c>
      <c r="F64" s="575">
        <f>IF(' Impaired Loans ASC 310-10'!F64="","",' Impaired Loans ASC 310-10'!F64)</f>
        <v/>
      </c>
      <c r="G64" s="574">
        <f>IF(' Impaired Loans ASC 310-10'!G64="","",' Impaired Loans ASC 310-10'!G64)</f>
        <v/>
      </c>
      <c r="H64" s="574">
        <f>IF(' Impaired Loans ASC 310-10'!H64="","",' Impaired Loans ASC 310-10'!H64)</f>
        <v/>
      </c>
      <c r="I64" s="574">
        <f>IF(' Impaired Loans ASC 310-10'!I64="","",' Impaired Loans ASC 310-10'!I64)</f>
        <v/>
      </c>
      <c r="J64" s="574">
        <f>IF(' Impaired Loans ASC 310-10'!J64="","",' Impaired Loans ASC 310-10'!J64)</f>
        <v/>
      </c>
      <c r="K64" s="584" t="n"/>
      <c r="L64" s="578">
        <f>IFERROR(A64,"")</f>
        <v/>
      </c>
      <c r="M64" s="849">
        <f>IF(' Impaired Loans ASC 310-10'!A64="","",' Impaired Loans ASC 310-10'!K64)</f>
        <v/>
      </c>
      <c r="N64" s="580">
        <f>IF(' Impaired Loans ASC 310-10'!A64="","",' Impaired Loans ASC 310-10'!L64)</f>
        <v/>
      </c>
      <c r="O64" s="581">
        <f>IF(' Impaired Loans ASC 310-10'!A64="","",' Impaired Loans ASC 310-10'!M64)</f>
        <v/>
      </c>
      <c r="P64" s="582">
        <f>IF(' Impaired Loans ASC 310-10'!A64="","",' Impaired Loans ASC 310-10'!O64)</f>
        <v/>
      </c>
      <c r="Q64" s="583">
        <f>IF(' Impaired Loans ASC 310-10'!A64="","",' Impaired Loans ASC 310-10'!N64)</f>
        <v/>
      </c>
      <c r="R64" s="583">
        <f>IF(' Impaired Loans ASC 310-10'!A64="","",' Impaired Loans ASC 310-10'!P64)</f>
        <v/>
      </c>
      <c r="S64" s="583">
        <f>IF(' Impaired Loans ASC 310-10'!A64="","",' Impaired Loans ASC 310-10'!Q64)</f>
        <v/>
      </c>
    </row>
    <row r="65" customFormat="1" s="729">
      <c r="A65" s="573">
        <f>IF(' Impaired Loans ASC 310-10'!A65="","",' Impaired Loans ASC 310-10'!A65)</f>
        <v/>
      </c>
      <c r="B65" s="573">
        <f>IF(' Impaired Loans ASC 310-10'!B65="","",' Impaired Loans ASC 310-10'!B65)</f>
        <v/>
      </c>
      <c r="C65" s="573">
        <f>IF(' Impaired Loans ASC 310-10'!C65="","",' Impaired Loans ASC 310-10'!C65)</f>
        <v/>
      </c>
      <c r="D65" s="573">
        <f>IF(' Impaired Loans ASC 310-10'!D65="","",' Impaired Loans ASC 310-10'!D65)</f>
        <v/>
      </c>
      <c r="E65" s="574">
        <f>IF(' Impaired Loans ASC 310-10'!E65="","",' Impaired Loans ASC 310-10'!E65)</f>
        <v/>
      </c>
      <c r="F65" s="575">
        <f>IF(' Impaired Loans ASC 310-10'!F65="","",' Impaired Loans ASC 310-10'!F65)</f>
        <v/>
      </c>
      <c r="G65" s="574">
        <f>IF(' Impaired Loans ASC 310-10'!G65="","",' Impaired Loans ASC 310-10'!G65)</f>
        <v/>
      </c>
      <c r="H65" s="574">
        <f>IF(' Impaired Loans ASC 310-10'!H65="","",' Impaired Loans ASC 310-10'!H65)</f>
        <v/>
      </c>
      <c r="I65" s="574">
        <f>IF(' Impaired Loans ASC 310-10'!I65="","",' Impaired Loans ASC 310-10'!I65)</f>
        <v/>
      </c>
      <c r="J65" s="574">
        <f>IF(' Impaired Loans ASC 310-10'!J65="","",' Impaired Loans ASC 310-10'!J65)</f>
        <v/>
      </c>
      <c r="K65" s="584" t="n"/>
      <c r="L65" s="578">
        <f>IFERROR(A65,"")</f>
        <v/>
      </c>
      <c r="M65" s="849">
        <f>IF(' Impaired Loans ASC 310-10'!A65="","",' Impaired Loans ASC 310-10'!K65)</f>
        <v/>
      </c>
      <c r="N65" s="580">
        <f>IF(' Impaired Loans ASC 310-10'!A65="","",' Impaired Loans ASC 310-10'!L65)</f>
        <v/>
      </c>
      <c r="O65" s="581">
        <f>IF(' Impaired Loans ASC 310-10'!A65="","",' Impaired Loans ASC 310-10'!M65)</f>
        <v/>
      </c>
      <c r="P65" s="582">
        <f>IF(' Impaired Loans ASC 310-10'!A65="","",' Impaired Loans ASC 310-10'!O65)</f>
        <v/>
      </c>
      <c r="Q65" s="583">
        <f>IF(' Impaired Loans ASC 310-10'!A65="","",' Impaired Loans ASC 310-10'!N65)</f>
        <v/>
      </c>
      <c r="R65" s="583">
        <f>IF(' Impaired Loans ASC 310-10'!A65="","",' Impaired Loans ASC 310-10'!P65)</f>
        <v/>
      </c>
      <c r="S65" s="583">
        <f>IF(' Impaired Loans ASC 310-10'!A65="","",' Impaired Loans ASC 310-10'!Q65)</f>
        <v/>
      </c>
    </row>
    <row r="66" customFormat="1" s="729">
      <c r="A66" s="573">
        <f>IF(' Impaired Loans ASC 310-10'!A66="","",' Impaired Loans ASC 310-10'!A66)</f>
        <v/>
      </c>
      <c r="B66" s="573">
        <f>IF(' Impaired Loans ASC 310-10'!B66="","",' Impaired Loans ASC 310-10'!B66)</f>
        <v/>
      </c>
      <c r="C66" s="573">
        <f>IF(' Impaired Loans ASC 310-10'!C66="","",' Impaired Loans ASC 310-10'!C66)</f>
        <v/>
      </c>
      <c r="D66" s="573">
        <f>IF(' Impaired Loans ASC 310-10'!D66="","",' Impaired Loans ASC 310-10'!D66)</f>
        <v/>
      </c>
      <c r="E66" s="574">
        <f>IF(' Impaired Loans ASC 310-10'!E66="","",' Impaired Loans ASC 310-10'!E66)</f>
        <v/>
      </c>
      <c r="F66" s="575">
        <f>IF(' Impaired Loans ASC 310-10'!F66="","",' Impaired Loans ASC 310-10'!F66)</f>
        <v/>
      </c>
      <c r="G66" s="574">
        <f>IF(' Impaired Loans ASC 310-10'!G66="","",' Impaired Loans ASC 310-10'!G66)</f>
        <v/>
      </c>
      <c r="H66" s="574">
        <f>IF(' Impaired Loans ASC 310-10'!H66="","",' Impaired Loans ASC 310-10'!H66)</f>
        <v/>
      </c>
      <c r="I66" s="574">
        <f>IF(' Impaired Loans ASC 310-10'!I66="","",' Impaired Loans ASC 310-10'!I66)</f>
        <v/>
      </c>
      <c r="J66" s="574">
        <f>IF(' Impaired Loans ASC 310-10'!J66="","",' Impaired Loans ASC 310-10'!J66)</f>
        <v/>
      </c>
      <c r="K66" s="584" t="n"/>
      <c r="L66" s="578">
        <f>IFERROR(A66,"")</f>
        <v/>
      </c>
      <c r="M66" s="849">
        <f>IF(' Impaired Loans ASC 310-10'!A66="","",' Impaired Loans ASC 310-10'!K66)</f>
        <v/>
      </c>
      <c r="N66" s="580">
        <f>IF(' Impaired Loans ASC 310-10'!A66="","",' Impaired Loans ASC 310-10'!L66)</f>
        <v/>
      </c>
      <c r="O66" s="581">
        <f>IF(' Impaired Loans ASC 310-10'!A66="","",' Impaired Loans ASC 310-10'!M66)</f>
        <v/>
      </c>
      <c r="P66" s="582">
        <f>IF(' Impaired Loans ASC 310-10'!A66="","",' Impaired Loans ASC 310-10'!O66)</f>
        <v/>
      </c>
      <c r="Q66" s="583">
        <f>IF(' Impaired Loans ASC 310-10'!A66="","",' Impaired Loans ASC 310-10'!N66)</f>
        <v/>
      </c>
      <c r="R66" s="583">
        <f>IF(' Impaired Loans ASC 310-10'!A66="","",' Impaired Loans ASC 310-10'!P66)</f>
        <v/>
      </c>
      <c r="S66" s="583">
        <f>IF(' Impaired Loans ASC 310-10'!A66="","",' Impaired Loans ASC 310-10'!Q66)</f>
        <v/>
      </c>
    </row>
    <row r="67" customFormat="1" s="729">
      <c r="A67" s="573">
        <f>IF(' Impaired Loans ASC 310-10'!A67="","",' Impaired Loans ASC 310-10'!A67)</f>
        <v/>
      </c>
      <c r="B67" s="573">
        <f>IF(' Impaired Loans ASC 310-10'!B67="","",' Impaired Loans ASC 310-10'!B67)</f>
        <v/>
      </c>
      <c r="C67" s="573">
        <f>IF(' Impaired Loans ASC 310-10'!C67="","",' Impaired Loans ASC 310-10'!C67)</f>
        <v/>
      </c>
      <c r="D67" s="573">
        <f>IF(' Impaired Loans ASC 310-10'!D67="","",' Impaired Loans ASC 310-10'!D67)</f>
        <v/>
      </c>
      <c r="E67" s="574">
        <f>IF(' Impaired Loans ASC 310-10'!E67="","",' Impaired Loans ASC 310-10'!E67)</f>
        <v/>
      </c>
      <c r="F67" s="575">
        <f>IF(' Impaired Loans ASC 310-10'!F67="","",' Impaired Loans ASC 310-10'!F67)</f>
        <v/>
      </c>
      <c r="G67" s="574">
        <f>IF(' Impaired Loans ASC 310-10'!G67="","",' Impaired Loans ASC 310-10'!G67)</f>
        <v/>
      </c>
      <c r="H67" s="574">
        <f>IF(' Impaired Loans ASC 310-10'!H67="","",' Impaired Loans ASC 310-10'!H67)</f>
        <v/>
      </c>
      <c r="I67" s="574">
        <f>IF(' Impaired Loans ASC 310-10'!I67="","",' Impaired Loans ASC 310-10'!I67)</f>
        <v/>
      </c>
      <c r="J67" s="574">
        <f>IF(' Impaired Loans ASC 310-10'!J67="","",' Impaired Loans ASC 310-10'!J67)</f>
        <v/>
      </c>
      <c r="K67" s="584" t="n"/>
      <c r="L67" s="578">
        <f>IFERROR(A67,"")</f>
        <v/>
      </c>
      <c r="M67" s="849">
        <f>IF(' Impaired Loans ASC 310-10'!A67="","",' Impaired Loans ASC 310-10'!K67)</f>
        <v/>
      </c>
      <c r="N67" s="580">
        <f>IF(' Impaired Loans ASC 310-10'!A67="","",' Impaired Loans ASC 310-10'!L67)</f>
        <v/>
      </c>
      <c r="O67" s="581">
        <f>IF(' Impaired Loans ASC 310-10'!A67="","",' Impaired Loans ASC 310-10'!M67)</f>
        <v/>
      </c>
      <c r="P67" s="582">
        <f>IF(' Impaired Loans ASC 310-10'!A67="","",' Impaired Loans ASC 310-10'!O67)</f>
        <v/>
      </c>
      <c r="Q67" s="583">
        <f>IF(' Impaired Loans ASC 310-10'!A67="","",' Impaired Loans ASC 310-10'!N67)</f>
        <v/>
      </c>
      <c r="R67" s="583">
        <f>IF(' Impaired Loans ASC 310-10'!A67="","",' Impaired Loans ASC 310-10'!P67)</f>
        <v/>
      </c>
      <c r="S67" s="583">
        <f>IF(' Impaired Loans ASC 310-10'!A67="","",' Impaired Loans ASC 310-10'!Q67)</f>
        <v/>
      </c>
    </row>
    <row r="68" customFormat="1" s="729">
      <c r="A68" s="573">
        <f>IF(' Impaired Loans ASC 310-10'!A68="","",' Impaired Loans ASC 310-10'!A68)</f>
        <v/>
      </c>
      <c r="B68" s="573">
        <f>IF(' Impaired Loans ASC 310-10'!B68="","",' Impaired Loans ASC 310-10'!B68)</f>
        <v/>
      </c>
      <c r="C68" s="573">
        <f>IF(' Impaired Loans ASC 310-10'!C68="","",' Impaired Loans ASC 310-10'!C68)</f>
        <v/>
      </c>
      <c r="D68" s="573">
        <f>IF(' Impaired Loans ASC 310-10'!D68="","",' Impaired Loans ASC 310-10'!D68)</f>
        <v/>
      </c>
      <c r="E68" s="574">
        <f>IF(' Impaired Loans ASC 310-10'!E68="","",' Impaired Loans ASC 310-10'!E68)</f>
        <v/>
      </c>
      <c r="F68" s="575">
        <f>IF(' Impaired Loans ASC 310-10'!F68="","",' Impaired Loans ASC 310-10'!F68)</f>
        <v/>
      </c>
      <c r="G68" s="574">
        <f>IF(' Impaired Loans ASC 310-10'!G68="","",' Impaired Loans ASC 310-10'!G68)</f>
        <v/>
      </c>
      <c r="H68" s="574">
        <f>IF(' Impaired Loans ASC 310-10'!H68="","",' Impaired Loans ASC 310-10'!H68)</f>
        <v/>
      </c>
      <c r="I68" s="574">
        <f>IF(' Impaired Loans ASC 310-10'!I68="","",' Impaired Loans ASC 310-10'!I68)</f>
        <v/>
      </c>
      <c r="J68" s="574">
        <f>IF(' Impaired Loans ASC 310-10'!J68="","",' Impaired Loans ASC 310-10'!J68)</f>
        <v/>
      </c>
      <c r="K68" s="584" t="n"/>
      <c r="L68" s="578">
        <f>IFERROR(A68,"")</f>
        <v/>
      </c>
      <c r="M68" s="849">
        <f>IF(' Impaired Loans ASC 310-10'!A68="","",' Impaired Loans ASC 310-10'!K68)</f>
        <v/>
      </c>
      <c r="N68" s="580">
        <f>IF(' Impaired Loans ASC 310-10'!A68="","",' Impaired Loans ASC 310-10'!L68)</f>
        <v/>
      </c>
      <c r="O68" s="581">
        <f>IF(' Impaired Loans ASC 310-10'!A68="","",' Impaired Loans ASC 310-10'!M68)</f>
        <v/>
      </c>
      <c r="P68" s="582">
        <f>IF(' Impaired Loans ASC 310-10'!A68="","",' Impaired Loans ASC 310-10'!O68)</f>
        <v/>
      </c>
      <c r="Q68" s="583">
        <f>IF(' Impaired Loans ASC 310-10'!A68="","",' Impaired Loans ASC 310-10'!N68)</f>
        <v/>
      </c>
      <c r="R68" s="583">
        <f>IF(' Impaired Loans ASC 310-10'!A68="","",' Impaired Loans ASC 310-10'!P68)</f>
        <v/>
      </c>
      <c r="S68" s="583">
        <f>IF(' Impaired Loans ASC 310-10'!A68="","",' Impaired Loans ASC 310-10'!Q68)</f>
        <v/>
      </c>
    </row>
    <row r="69" customFormat="1" s="729">
      <c r="A69" s="573">
        <f>IF(' Impaired Loans ASC 310-10'!A69="","",' Impaired Loans ASC 310-10'!A69)</f>
        <v/>
      </c>
      <c r="B69" s="573">
        <f>IF(' Impaired Loans ASC 310-10'!B69="","",' Impaired Loans ASC 310-10'!B69)</f>
        <v/>
      </c>
      <c r="C69" s="573">
        <f>IF(' Impaired Loans ASC 310-10'!C69="","",' Impaired Loans ASC 310-10'!C69)</f>
        <v/>
      </c>
      <c r="D69" s="573">
        <f>IF(' Impaired Loans ASC 310-10'!D69="","",' Impaired Loans ASC 310-10'!D69)</f>
        <v/>
      </c>
      <c r="E69" s="574">
        <f>IF(' Impaired Loans ASC 310-10'!E69="","",' Impaired Loans ASC 310-10'!E69)</f>
        <v/>
      </c>
      <c r="F69" s="575">
        <f>IF(' Impaired Loans ASC 310-10'!F69="","",' Impaired Loans ASC 310-10'!F69)</f>
        <v/>
      </c>
      <c r="G69" s="574">
        <f>IF(' Impaired Loans ASC 310-10'!G69="","",' Impaired Loans ASC 310-10'!G69)</f>
        <v/>
      </c>
      <c r="H69" s="574">
        <f>IF(' Impaired Loans ASC 310-10'!H69="","",' Impaired Loans ASC 310-10'!H69)</f>
        <v/>
      </c>
      <c r="I69" s="574">
        <f>IF(' Impaired Loans ASC 310-10'!I69="","",' Impaired Loans ASC 310-10'!I69)</f>
        <v/>
      </c>
      <c r="J69" s="574">
        <f>IF(' Impaired Loans ASC 310-10'!J69="","",' Impaired Loans ASC 310-10'!J69)</f>
        <v/>
      </c>
      <c r="K69" s="584" t="n"/>
      <c r="L69" s="578">
        <f>IFERROR(A69,"")</f>
        <v/>
      </c>
      <c r="M69" s="849">
        <f>IF(' Impaired Loans ASC 310-10'!A69="","",' Impaired Loans ASC 310-10'!K69)</f>
        <v/>
      </c>
      <c r="N69" s="580">
        <f>IF(' Impaired Loans ASC 310-10'!A69="","",' Impaired Loans ASC 310-10'!L69)</f>
        <v/>
      </c>
      <c r="O69" s="581">
        <f>IF(' Impaired Loans ASC 310-10'!A69="","",' Impaired Loans ASC 310-10'!M69)</f>
        <v/>
      </c>
      <c r="P69" s="582">
        <f>IF(' Impaired Loans ASC 310-10'!A69="","",' Impaired Loans ASC 310-10'!O69)</f>
        <v/>
      </c>
      <c r="Q69" s="583">
        <f>IF(' Impaired Loans ASC 310-10'!A69="","",' Impaired Loans ASC 310-10'!N69)</f>
        <v/>
      </c>
      <c r="R69" s="583">
        <f>IF(' Impaired Loans ASC 310-10'!A69="","",' Impaired Loans ASC 310-10'!P69)</f>
        <v/>
      </c>
      <c r="S69" s="583">
        <f>IF(' Impaired Loans ASC 310-10'!A69="","",' Impaired Loans ASC 310-10'!Q69)</f>
        <v/>
      </c>
    </row>
    <row r="70" customFormat="1" s="729">
      <c r="A70" s="573">
        <f>IF(' Impaired Loans ASC 310-10'!A70="","",' Impaired Loans ASC 310-10'!A70)</f>
        <v/>
      </c>
      <c r="B70" s="573">
        <f>IF(' Impaired Loans ASC 310-10'!B70="","",' Impaired Loans ASC 310-10'!B70)</f>
        <v/>
      </c>
      <c r="C70" s="573">
        <f>IF(' Impaired Loans ASC 310-10'!C70="","",' Impaired Loans ASC 310-10'!C70)</f>
        <v/>
      </c>
      <c r="D70" s="573">
        <f>IF(' Impaired Loans ASC 310-10'!D70="","",' Impaired Loans ASC 310-10'!D70)</f>
        <v/>
      </c>
      <c r="E70" s="574">
        <f>IF(' Impaired Loans ASC 310-10'!E70="","",' Impaired Loans ASC 310-10'!E70)</f>
        <v/>
      </c>
      <c r="F70" s="575">
        <f>IF(' Impaired Loans ASC 310-10'!F70="","",' Impaired Loans ASC 310-10'!F70)</f>
        <v/>
      </c>
      <c r="G70" s="574">
        <f>IF(' Impaired Loans ASC 310-10'!G70="","",' Impaired Loans ASC 310-10'!G70)</f>
        <v/>
      </c>
      <c r="H70" s="574">
        <f>IF(' Impaired Loans ASC 310-10'!H70="","",' Impaired Loans ASC 310-10'!H70)</f>
        <v/>
      </c>
      <c r="I70" s="574">
        <f>IF(' Impaired Loans ASC 310-10'!I70="","",' Impaired Loans ASC 310-10'!I70)</f>
        <v/>
      </c>
      <c r="J70" s="574">
        <f>IF(' Impaired Loans ASC 310-10'!J70="","",' Impaired Loans ASC 310-10'!J70)</f>
        <v/>
      </c>
      <c r="K70" s="584" t="n"/>
      <c r="L70" s="578">
        <f>IFERROR(A70,"")</f>
        <v/>
      </c>
      <c r="M70" s="849">
        <f>IF(' Impaired Loans ASC 310-10'!A70="","",' Impaired Loans ASC 310-10'!K70)</f>
        <v/>
      </c>
      <c r="N70" s="580">
        <f>IF(' Impaired Loans ASC 310-10'!A70="","",' Impaired Loans ASC 310-10'!L70)</f>
        <v/>
      </c>
      <c r="O70" s="581">
        <f>IF(' Impaired Loans ASC 310-10'!A70="","",' Impaired Loans ASC 310-10'!M70)</f>
        <v/>
      </c>
      <c r="P70" s="582">
        <f>IF(' Impaired Loans ASC 310-10'!A70="","",' Impaired Loans ASC 310-10'!O70)</f>
        <v/>
      </c>
      <c r="Q70" s="583">
        <f>IF(' Impaired Loans ASC 310-10'!A70="","",' Impaired Loans ASC 310-10'!N70)</f>
        <v/>
      </c>
      <c r="R70" s="583">
        <f>IF(' Impaired Loans ASC 310-10'!A70="","",' Impaired Loans ASC 310-10'!P70)</f>
        <v/>
      </c>
      <c r="S70" s="583">
        <f>IF(' Impaired Loans ASC 310-10'!A70="","",' Impaired Loans ASC 310-10'!Q70)</f>
        <v/>
      </c>
    </row>
    <row r="71" customFormat="1" s="729">
      <c r="A71" s="573">
        <f>IF(' Impaired Loans ASC 310-10'!A71="","",' Impaired Loans ASC 310-10'!A71)</f>
        <v/>
      </c>
      <c r="B71" s="573">
        <f>IF(' Impaired Loans ASC 310-10'!B71="","",' Impaired Loans ASC 310-10'!B71)</f>
        <v/>
      </c>
      <c r="C71" s="573">
        <f>IF(' Impaired Loans ASC 310-10'!C71="","",' Impaired Loans ASC 310-10'!C71)</f>
        <v/>
      </c>
      <c r="D71" s="573">
        <f>IF(' Impaired Loans ASC 310-10'!D71="","",' Impaired Loans ASC 310-10'!D71)</f>
        <v/>
      </c>
      <c r="E71" s="574">
        <f>IF(' Impaired Loans ASC 310-10'!E71="","",' Impaired Loans ASC 310-10'!E71)</f>
        <v/>
      </c>
      <c r="F71" s="575">
        <f>IF(' Impaired Loans ASC 310-10'!F71="","",' Impaired Loans ASC 310-10'!F71)</f>
        <v/>
      </c>
      <c r="G71" s="574">
        <f>IF(' Impaired Loans ASC 310-10'!G71="","",' Impaired Loans ASC 310-10'!G71)</f>
        <v/>
      </c>
      <c r="H71" s="574">
        <f>IF(' Impaired Loans ASC 310-10'!H71="","",' Impaired Loans ASC 310-10'!H71)</f>
        <v/>
      </c>
      <c r="I71" s="574">
        <f>IF(' Impaired Loans ASC 310-10'!I71="","",' Impaired Loans ASC 310-10'!I71)</f>
        <v/>
      </c>
      <c r="J71" s="574">
        <f>IF(' Impaired Loans ASC 310-10'!J71="","",' Impaired Loans ASC 310-10'!J71)</f>
        <v/>
      </c>
      <c r="K71" s="584" t="n"/>
      <c r="L71" s="578">
        <f>IFERROR(A71,"")</f>
        <v/>
      </c>
      <c r="M71" s="849">
        <f>IF(' Impaired Loans ASC 310-10'!A71="","",' Impaired Loans ASC 310-10'!K71)</f>
        <v/>
      </c>
      <c r="N71" s="580">
        <f>IF(' Impaired Loans ASC 310-10'!A71="","",' Impaired Loans ASC 310-10'!L71)</f>
        <v/>
      </c>
      <c r="O71" s="581">
        <f>IF(' Impaired Loans ASC 310-10'!A71="","",' Impaired Loans ASC 310-10'!M71)</f>
        <v/>
      </c>
      <c r="P71" s="582">
        <f>IF(' Impaired Loans ASC 310-10'!A71="","",' Impaired Loans ASC 310-10'!O71)</f>
        <v/>
      </c>
      <c r="Q71" s="583">
        <f>IF(' Impaired Loans ASC 310-10'!A71="","",' Impaired Loans ASC 310-10'!N71)</f>
        <v/>
      </c>
      <c r="R71" s="583">
        <f>IF(' Impaired Loans ASC 310-10'!A71="","",' Impaired Loans ASC 310-10'!P71)</f>
        <v/>
      </c>
      <c r="S71" s="583">
        <f>IF(' Impaired Loans ASC 310-10'!A71="","",' Impaired Loans ASC 310-10'!Q71)</f>
        <v/>
      </c>
    </row>
    <row r="72" customFormat="1" s="729">
      <c r="A72" s="573">
        <f>IF(' Impaired Loans ASC 310-10'!A72="","",' Impaired Loans ASC 310-10'!A72)</f>
        <v/>
      </c>
      <c r="B72" s="573">
        <f>IF(' Impaired Loans ASC 310-10'!B72="","",' Impaired Loans ASC 310-10'!B72)</f>
        <v/>
      </c>
      <c r="C72" s="573">
        <f>IF(' Impaired Loans ASC 310-10'!C72="","",' Impaired Loans ASC 310-10'!C72)</f>
        <v/>
      </c>
      <c r="D72" s="573">
        <f>IF(' Impaired Loans ASC 310-10'!D72="","",' Impaired Loans ASC 310-10'!D72)</f>
        <v/>
      </c>
      <c r="E72" s="574">
        <f>IF(' Impaired Loans ASC 310-10'!E72="","",' Impaired Loans ASC 310-10'!E72)</f>
        <v/>
      </c>
      <c r="F72" s="575">
        <f>IF(' Impaired Loans ASC 310-10'!F72="","",' Impaired Loans ASC 310-10'!F72)</f>
        <v/>
      </c>
      <c r="G72" s="574">
        <f>IF(' Impaired Loans ASC 310-10'!G72="","",' Impaired Loans ASC 310-10'!G72)</f>
        <v/>
      </c>
      <c r="H72" s="574">
        <f>IF(' Impaired Loans ASC 310-10'!H72="","",' Impaired Loans ASC 310-10'!H72)</f>
        <v/>
      </c>
      <c r="I72" s="574">
        <f>IF(' Impaired Loans ASC 310-10'!I72="","",' Impaired Loans ASC 310-10'!I72)</f>
        <v/>
      </c>
      <c r="J72" s="574">
        <f>IF(' Impaired Loans ASC 310-10'!J72="","",' Impaired Loans ASC 310-10'!J72)</f>
        <v/>
      </c>
      <c r="K72" s="584" t="n"/>
      <c r="L72" s="578">
        <f>IFERROR(A72,"")</f>
        <v/>
      </c>
      <c r="M72" s="849">
        <f>IF(' Impaired Loans ASC 310-10'!A72="","",' Impaired Loans ASC 310-10'!K72)</f>
        <v/>
      </c>
      <c r="N72" s="580">
        <f>IF(' Impaired Loans ASC 310-10'!A72="","",' Impaired Loans ASC 310-10'!L72)</f>
        <v/>
      </c>
      <c r="O72" s="581">
        <f>IF(' Impaired Loans ASC 310-10'!A72="","",' Impaired Loans ASC 310-10'!M72)</f>
        <v/>
      </c>
      <c r="P72" s="582">
        <f>IF(' Impaired Loans ASC 310-10'!A72="","",' Impaired Loans ASC 310-10'!O72)</f>
        <v/>
      </c>
      <c r="Q72" s="583">
        <f>IF(' Impaired Loans ASC 310-10'!A72="","",' Impaired Loans ASC 310-10'!N72)</f>
        <v/>
      </c>
      <c r="R72" s="583">
        <f>IF(' Impaired Loans ASC 310-10'!A72="","",' Impaired Loans ASC 310-10'!P72)</f>
        <v/>
      </c>
      <c r="S72" s="583">
        <f>IF(' Impaired Loans ASC 310-10'!A72="","",' Impaired Loans ASC 310-10'!Q72)</f>
        <v/>
      </c>
    </row>
    <row r="73" customFormat="1" s="729">
      <c r="A73" s="573">
        <f>IF(' Impaired Loans ASC 310-10'!A73="","",' Impaired Loans ASC 310-10'!A73)</f>
        <v/>
      </c>
      <c r="B73" s="573">
        <f>IF(' Impaired Loans ASC 310-10'!B73="","",' Impaired Loans ASC 310-10'!B73)</f>
        <v/>
      </c>
      <c r="C73" s="573">
        <f>IF(' Impaired Loans ASC 310-10'!C73="","",' Impaired Loans ASC 310-10'!C73)</f>
        <v/>
      </c>
      <c r="D73" s="573">
        <f>IF(' Impaired Loans ASC 310-10'!D73="","",' Impaired Loans ASC 310-10'!D73)</f>
        <v/>
      </c>
      <c r="E73" s="574">
        <f>IF(' Impaired Loans ASC 310-10'!E73="","",' Impaired Loans ASC 310-10'!E73)</f>
        <v/>
      </c>
      <c r="F73" s="575">
        <f>IF(' Impaired Loans ASC 310-10'!F73="","",' Impaired Loans ASC 310-10'!F73)</f>
        <v/>
      </c>
      <c r="G73" s="574">
        <f>IF(' Impaired Loans ASC 310-10'!G73="","",' Impaired Loans ASC 310-10'!G73)</f>
        <v/>
      </c>
      <c r="H73" s="574">
        <f>IF(' Impaired Loans ASC 310-10'!H73="","",' Impaired Loans ASC 310-10'!H73)</f>
        <v/>
      </c>
      <c r="I73" s="574">
        <f>IF(' Impaired Loans ASC 310-10'!I73="","",' Impaired Loans ASC 310-10'!I73)</f>
        <v/>
      </c>
      <c r="J73" s="574">
        <f>IF(' Impaired Loans ASC 310-10'!J73="","",' Impaired Loans ASC 310-10'!J73)</f>
        <v/>
      </c>
      <c r="K73" s="584" t="n"/>
      <c r="L73" s="578">
        <f>IFERROR(A73,"")</f>
        <v/>
      </c>
      <c r="M73" s="849">
        <f>IF(' Impaired Loans ASC 310-10'!A73="","",' Impaired Loans ASC 310-10'!K73)</f>
        <v/>
      </c>
      <c r="N73" s="580">
        <f>IF(' Impaired Loans ASC 310-10'!A73="","",' Impaired Loans ASC 310-10'!L73)</f>
        <v/>
      </c>
      <c r="O73" s="581">
        <f>IF(' Impaired Loans ASC 310-10'!A73="","",' Impaired Loans ASC 310-10'!M73)</f>
        <v/>
      </c>
      <c r="P73" s="582">
        <f>IF(' Impaired Loans ASC 310-10'!A73="","",' Impaired Loans ASC 310-10'!O73)</f>
        <v/>
      </c>
      <c r="Q73" s="583">
        <f>IF(' Impaired Loans ASC 310-10'!A73="","",' Impaired Loans ASC 310-10'!N73)</f>
        <v/>
      </c>
      <c r="R73" s="583">
        <f>IF(' Impaired Loans ASC 310-10'!A73="","",' Impaired Loans ASC 310-10'!P73)</f>
        <v/>
      </c>
      <c r="S73" s="583">
        <f>IF(' Impaired Loans ASC 310-10'!A73="","",' Impaired Loans ASC 310-10'!Q73)</f>
        <v/>
      </c>
    </row>
    <row r="74" customFormat="1" s="729">
      <c r="A74" s="573">
        <f>IF(' Impaired Loans ASC 310-10'!A74="","",' Impaired Loans ASC 310-10'!A74)</f>
        <v/>
      </c>
      <c r="B74" s="573">
        <f>IF(' Impaired Loans ASC 310-10'!B74="","",' Impaired Loans ASC 310-10'!B74)</f>
        <v/>
      </c>
      <c r="C74" s="573">
        <f>IF(' Impaired Loans ASC 310-10'!C74="","",' Impaired Loans ASC 310-10'!C74)</f>
        <v/>
      </c>
      <c r="D74" s="573">
        <f>IF(' Impaired Loans ASC 310-10'!D74="","",' Impaired Loans ASC 310-10'!D74)</f>
        <v/>
      </c>
      <c r="E74" s="574">
        <f>IF(' Impaired Loans ASC 310-10'!E74="","",' Impaired Loans ASC 310-10'!E74)</f>
        <v/>
      </c>
      <c r="F74" s="575">
        <f>IF(' Impaired Loans ASC 310-10'!F74="","",' Impaired Loans ASC 310-10'!F74)</f>
        <v/>
      </c>
      <c r="G74" s="574">
        <f>IF(' Impaired Loans ASC 310-10'!G74="","",' Impaired Loans ASC 310-10'!G74)</f>
        <v/>
      </c>
      <c r="H74" s="574">
        <f>IF(' Impaired Loans ASC 310-10'!H74="","",' Impaired Loans ASC 310-10'!H74)</f>
        <v/>
      </c>
      <c r="I74" s="574">
        <f>IF(' Impaired Loans ASC 310-10'!I74="","",' Impaired Loans ASC 310-10'!I74)</f>
        <v/>
      </c>
      <c r="J74" s="574">
        <f>IF(' Impaired Loans ASC 310-10'!J74="","",' Impaired Loans ASC 310-10'!J74)</f>
        <v/>
      </c>
      <c r="K74" s="584" t="n"/>
      <c r="L74" s="578">
        <f>IFERROR(A74,"")</f>
        <v/>
      </c>
      <c r="M74" s="849">
        <f>IF(' Impaired Loans ASC 310-10'!A74="","",' Impaired Loans ASC 310-10'!K74)</f>
        <v/>
      </c>
      <c r="N74" s="580">
        <f>IF(' Impaired Loans ASC 310-10'!A74="","",' Impaired Loans ASC 310-10'!L74)</f>
        <v/>
      </c>
      <c r="O74" s="581">
        <f>IF(' Impaired Loans ASC 310-10'!A74="","",' Impaired Loans ASC 310-10'!M74)</f>
        <v/>
      </c>
      <c r="P74" s="582">
        <f>IF(' Impaired Loans ASC 310-10'!A74="","",' Impaired Loans ASC 310-10'!O74)</f>
        <v/>
      </c>
      <c r="Q74" s="583">
        <f>IF(' Impaired Loans ASC 310-10'!A74="","",' Impaired Loans ASC 310-10'!N74)</f>
        <v/>
      </c>
      <c r="R74" s="583">
        <f>IF(' Impaired Loans ASC 310-10'!A74="","",' Impaired Loans ASC 310-10'!P74)</f>
        <v/>
      </c>
      <c r="S74" s="583">
        <f>IF(' Impaired Loans ASC 310-10'!A74="","",' Impaired Loans ASC 310-10'!Q74)</f>
        <v/>
      </c>
    </row>
    <row r="75" customFormat="1" s="729">
      <c r="A75" s="573">
        <f>IF(' Impaired Loans ASC 310-10'!A75="","",' Impaired Loans ASC 310-10'!A75)</f>
        <v/>
      </c>
      <c r="B75" s="573">
        <f>IF(' Impaired Loans ASC 310-10'!B75="","",' Impaired Loans ASC 310-10'!B75)</f>
        <v/>
      </c>
      <c r="C75" s="573">
        <f>IF(' Impaired Loans ASC 310-10'!C75="","",' Impaired Loans ASC 310-10'!C75)</f>
        <v/>
      </c>
      <c r="D75" s="573">
        <f>IF(' Impaired Loans ASC 310-10'!D75="","",' Impaired Loans ASC 310-10'!D75)</f>
        <v/>
      </c>
      <c r="E75" s="574">
        <f>IF(' Impaired Loans ASC 310-10'!E75="","",' Impaired Loans ASC 310-10'!E75)</f>
        <v/>
      </c>
      <c r="F75" s="575">
        <f>IF(' Impaired Loans ASC 310-10'!F75="","",' Impaired Loans ASC 310-10'!F75)</f>
        <v/>
      </c>
      <c r="G75" s="574">
        <f>IF(' Impaired Loans ASC 310-10'!G75="","",' Impaired Loans ASC 310-10'!G75)</f>
        <v/>
      </c>
      <c r="H75" s="574">
        <f>IF(' Impaired Loans ASC 310-10'!H75="","",' Impaired Loans ASC 310-10'!H75)</f>
        <v/>
      </c>
      <c r="I75" s="574">
        <f>IF(' Impaired Loans ASC 310-10'!I75="","",' Impaired Loans ASC 310-10'!I75)</f>
        <v/>
      </c>
      <c r="J75" s="574">
        <f>IF(' Impaired Loans ASC 310-10'!J75="","",' Impaired Loans ASC 310-10'!J75)</f>
        <v/>
      </c>
      <c r="K75" s="584" t="n"/>
      <c r="L75" s="578">
        <f>IFERROR(A75,"")</f>
        <v/>
      </c>
      <c r="M75" s="849">
        <f>IF(' Impaired Loans ASC 310-10'!A75="","",' Impaired Loans ASC 310-10'!K75)</f>
        <v/>
      </c>
      <c r="N75" s="580">
        <f>IF(' Impaired Loans ASC 310-10'!A75="","",' Impaired Loans ASC 310-10'!L75)</f>
        <v/>
      </c>
      <c r="O75" s="581">
        <f>IF(' Impaired Loans ASC 310-10'!A75="","",' Impaired Loans ASC 310-10'!M75)</f>
        <v/>
      </c>
      <c r="P75" s="582">
        <f>IF(' Impaired Loans ASC 310-10'!A75="","",' Impaired Loans ASC 310-10'!O75)</f>
        <v/>
      </c>
      <c r="Q75" s="583">
        <f>IF(' Impaired Loans ASC 310-10'!A75="","",' Impaired Loans ASC 310-10'!N75)</f>
        <v/>
      </c>
      <c r="R75" s="583">
        <f>IF(' Impaired Loans ASC 310-10'!A75="","",' Impaired Loans ASC 310-10'!P75)</f>
        <v/>
      </c>
      <c r="S75" s="583">
        <f>IF(' Impaired Loans ASC 310-10'!A75="","",' Impaired Loans ASC 310-10'!Q75)</f>
        <v/>
      </c>
    </row>
    <row r="76" customFormat="1" s="729">
      <c r="A76" s="573">
        <f>IF(' Impaired Loans ASC 310-10'!A76="","",' Impaired Loans ASC 310-10'!A76)</f>
        <v/>
      </c>
      <c r="B76" s="573">
        <f>IF(' Impaired Loans ASC 310-10'!B76="","",' Impaired Loans ASC 310-10'!B76)</f>
        <v/>
      </c>
      <c r="C76" s="573">
        <f>IF(' Impaired Loans ASC 310-10'!C76="","",' Impaired Loans ASC 310-10'!C76)</f>
        <v/>
      </c>
      <c r="D76" s="573">
        <f>IF(' Impaired Loans ASC 310-10'!D76="","",' Impaired Loans ASC 310-10'!D76)</f>
        <v/>
      </c>
      <c r="E76" s="574">
        <f>IF(' Impaired Loans ASC 310-10'!E76="","",' Impaired Loans ASC 310-10'!E76)</f>
        <v/>
      </c>
      <c r="F76" s="575">
        <f>IF(' Impaired Loans ASC 310-10'!F76="","",' Impaired Loans ASC 310-10'!F76)</f>
        <v/>
      </c>
      <c r="G76" s="574">
        <f>IF(' Impaired Loans ASC 310-10'!G76="","",' Impaired Loans ASC 310-10'!G76)</f>
        <v/>
      </c>
      <c r="H76" s="574">
        <f>IF(' Impaired Loans ASC 310-10'!H76="","",' Impaired Loans ASC 310-10'!H76)</f>
        <v/>
      </c>
      <c r="I76" s="574">
        <f>IF(' Impaired Loans ASC 310-10'!I76="","",' Impaired Loans ASC 310-10'!I76)</f>
        <v/>
      </c>
      <c r="J76" s="574">
        <f>IF(' Impaired Loans ASC 310-10'!J76="","",' Impaired Loans ASC 310-10'!J76)</f>
        <v/>
      </c>
      <c r="K76" s="584" t="n"/>
      <c r="L76" s="578">
        <f>IFERROR(A76,"")</f>
        <v/>
      </c>
      <c r="M76" s="849">
        <f>IF(' Impaired Loans ASC 310-10'!A76="","",' Impaired Loans ASC 310-10'!K76)</f>
        <v/>
      </c>
      <c r="N76" s="580">
        <f>IF(' Impaired Loans ASC 310-10'!A76="","",' Impaired Loans ASC 310-10'!L76)</f>
        <v/>
      </c>
      <c r="O76" s="581">
        <f>IF(' Impaired Loans ASC 310-10'!A76="","",' Impaired Loans ASC 310-10'!M76)</f>
        <v/>
      </c>
      <c r="P76" s="582">
        <f>IF(' Impaired Loans ASC 310-10'!A76="","",' Impaired Loans ASC 310-10'!O76)</f>
        <v/>
      </c>
      <c r="Q76" s="583">
        <f>IF(' Impaired Loans ASC 310-10'!A76="","",' Impaired Loans ASC 310-10'!N76)</f>
        <v/>
      </c>
      <c r="R76" s="583">
        <f>IF(' Impaired Loans ASC 310-10'!A76="","",' Impaired Loans ASC 310-10'!P76)</f>
        <v/>
      </c>
      <c r="S76" s="583">
        <f>IF(' Impaired Loans ASC 310-10'!A76="","",' Impaired Loans ASC 310-10'!Q76)</f>
        <v/>
      </c>
    </row>
    <row r="77" customFormat="1" s="729">
      <c r="A77" s="573">
        <f>IF(' Impaired Loans ASC 310-10'!A77="","",' Impaired Loans ASC 310-10'!A77)</f>
        <v/>
      </c>
      <c r="B77" s="573">
        <f>IF(' Impaired Loans ASC 310-10'!B77="","",' Impaired Loans ASC 310-10'!B77)</f>
        <v/>
      </c>
      <c r="C77" s="573">
        <f>IF(' Impaired Loans ASC 310-10'!C77="","",' Impaired Loans ASC 310-10'!C77)</f>
        <v/>
      </c>
      <c r="D77" s="573">
        <f>IF(' Impaired Loans ASC 310-10'!D77="","",' Impaired Loans ASC 310-10'!D77)</f>
        <v/>
      </c>
      <c r="E77" s="574">
        <f>IF(' Impaired Loans ASC 310-10'!E77="","",' Impaired Loans ASC 310-10'!E77)</f>
        <v/>
      </c>
      <c r="F77" s="575">
        <f>IF(' Impaired Loans ASC 310-10'!F77="","",' Impaired Loans ASC 310-10'!F77)</f>
        <v/>
      </c>
      <c r="G77" s="574">
        <f>IF(' Impaired Loans ASC 310-10'!G77="","",' Impaired Loans ASC 310-10'!G77)</f>
        <v/>
      </c>
      <c r="H77" s="574">
        <f>IF(' Impaired Loans ASC 310-10'!H77="","",' Impaired Loans ASC 310-10'!H77)</f>
        <v/>
      </c>
      <c r="I77" s="574">
        <f>IF(' Impaired Loans ASC 310-10'!I77="","",' Impaired Loans ASC 310-10'!I77)</f>
        <v/>
      </c>
      <c r="J77" s="574">
        <f>IF(' Impaired Loans ASC 310-10'!J77="","",' Impaired Loans ASC 310-10'!J77)</f>
        <v/>
      </c>
      <c r="K77" s="584" t="n"/>
      <c r="L77" s="578">
        <f>IFERROR(A77,"")</f>
        <v/>
      </c>
      <c r="M77" s="849">
        <f>IF(' Impaired Loans ASC 310-10'!A77="","",' Impaired Loans ASC 310-10'!K77)</f>
        <v/>
      </c>
      <c r="N77" s="580">
        <f>IF(' Impaired Loans ASC 310-10'!A77="","",' Impaired Loans ASC 310-10'!L77)</f>
        <v/>
      </c>
      <c r="O77" s="581">
        <f>IF(' Impaired Loans ASC 310-10'!A77="","",' Impaired Loans ASC 310-10'!M77)</f>
        <v/>
      </c>
      <c r="P77" s="582">
        <f>IF(' Impaired Loans ASC 310-10'!A77="","",' Impaired Loans ASC 310-10'!O77)</f>
        <v/>
      </c>
      <c r="Q77" s="583">
        <f>IF(' Impaired Loans ASC 310-10'!A77="","",' Impaired Loans ASC 310-10'!N77)</f>
        <v/>
      </c>
      <c r="R77" s="583">
        <f>IF(' Impaired Loans ASC 310-10'!A77="","",' Impaired Loans ASC 310-10'!P77)</f>
        <v/>
      </c>
      <c r="S77" s="583">
        <f>IF(' Impaired Loans ASC 310-10'!A77="","",' Impaired Loans ASC 310-10'!Q77)</f>
        <v/>
      </c>
    </row>
    <row r="78" customFormat="1" s="729">
      <c r="A78" s="573">
        <f>IF(' Impaired Loans ASC 310-10'!A78="","",' Impaired Loans ASC 310-10'!A78)</f>
        <v/>
      </c>
      <c r="B78" s="573">
        <f>IF(' Impaired Loans ASC 310-10'!B78="","",' Impaired Loans ASC 310-10'!B78)</f>
        <v/>
      </c>
      <c r="C78" s="573">
        <f>IF(' Impaired Loans ASC 310-10'!C78="","",' Impaired Loans ASC 310-10'!C78)</f>
        <v/>
      </c>
      <c r="D78" s="573">
        <f>IF(' Impaired Loans ASC 310-10'!D78="","",' Impaired Loans ASC 310-10'!D78)</f>
        <v/>
      </c>
      <c r="E78" s="574">
        <f>IF(' Impaired Loans ASC 310-10'!E78="","",' Impaired Loans ASC 310-10'!E78)</f>
        <v/>
      </c>
      <c r="F78" s="575">
        <f>IF(' Impaired Loans ASC 310-10'!F78="","",' Impaired Loans ASC 310-10'!F78)</f>
        <v/>
      </c>
      <c r="G78" s="574">
        <f>IF(' Impaired Loans ASC 310-10'!G78="","",' Impaired Loans ASC 310-10'!G78)</f>
        <v/>
      </c>
      <c r="H78" s="574">
        <f>IF(' Impaired Loans ASC 310-10'!H78="","",' Impaired Loans ASC 310-10'!H78)</f>
        <v/>
      </c>
      <c r="I78" s="574">
        <f>IF(' Impaired Loans ASC 310-10'!I78="","",' Impaired Loans ASC 310-10'!I78)</f>
        <v/>
      </c>
      <c r="J78" s="574">
        <f>IF(' Impaired Loans ASC 310-10'!J78="","",' Impaired Loans ASC 310-10'!J78)</f>
        <v/>
      </c>
      <c r="K78" s="584" t="n"/>
      <c r="L78" s="578">
        <f>IFERROR(A78,"")</f>
        <v/>
      </c>
      <c r="M78" s="849">
        <f>IF(' Impaired Loans ASC 310-10'!A78="","",' Impaired Loans ASC 310-10'!K78)</f>
        <v/>
      </c>
      <c r="N78" s="580">
        <f>IF(' Impaired Loans ASC 310-10'!A78="","",' Impaired Loans ASC 310-10'!L78)</f>
        <v/>
      </c>
      <c r="O78" s="581">
        <f>IF(' Impaired Loans ASC 310-10'!A78="","",' Impaired Loans ASC 310-10'!M78)</f>
        <v/>
      </c>
      <c r="P78" s="582">
        <f>IF(' Impaired Loans ASC 310-10'!A78="","",' Impaired Loans ASC 310-10'!O78)</f>
        <v/>
      </c>
      <c r="Q78" s="583">
        <f>IF(' Impaired Loans ASC 310-10'!A78="","",' Impaired Loans ASC 310-10'!N78)</f>
        <v/>
      </c>
      <c r="R78" s="583">
        <f>IF(' Impaired Loans ASC 310-10'!A78="","",' Impaired Loans ASC 310-10'!P78)</f>
        <v/>
      </c>
      <c r="S78" s="583">
        <f>IF(' Impaired Loans ASC 310-10'!A78="","",' Impaired Loans ASC 310-10'!Q78)</f>
        <v/>
      </c>
    </row>
    <row r="79" customFormat="1" s="729">
      <c r="A79" s="573">
        <f>IF(' Impaired Loans ASC 310-10'!A79="","",' Impaired Loans ASC 310-10'!A79)</f>
        <v/>
      </c>
      <c r="B79" s="573">
        <f>IF(' Impaired Loans ASC 310-10'!B79="","",' Impaired Loans ASC 310-10'!B79)</f>
        <v/>
      </c>
      <c r="C79" s="573">
        <f>IF(' Impaired Loans ASC 310-10'!C79="","",' Impaired Loans ASC 310-10'!C79)</f>
        <v/>
      </c>
      <c r="D79" s="573">
        <f>IF(' Impaired Loans ASC 310-10'!D79="","",' Impaired Loans ASC 310-10'!D79)</f>
        <v/>
      </c>
      <c r="E79" s="574">
        <f>IF(' Impaired Loans ASC 310-10'!E79="","",' Impaired Loans ASC 310-10'!E79)</f>
        <v/>
      </c>
      <c r="F79" s="575">
        <f>IF(' Impaired Loans ASC 310-10'!F79="","",' Impaired Loans ASC 310-10'!F79)</f>
        <v/>
      </c>
      <c r="G79" s="574">
        <f>IF(' Impaired Loans ASC 310-10'!G79="","",' Impaired Loans ASC 310-10'!G79)</f>
        <v/>
      </c>
      <c r="H79" s="574">
        <f>IF(' Impaired Loans ASC 310-10'!H79="","",' Impaired Loans ASC 310-10'!H79)</f>
        <v/>
      </c>
      <c r="I79" s="574">
        <f>IF(' Impaired Loans ASC 310-10'!I79="","",' Impaired Loans ASC 310-10'!I79)</f>
        <v/>
      </c>
      <c r="J79" s="574">
        <f>IF(' Impaired Loans ASC 310-10'!J79="","",' Impaired Loans ASC 310-10'!J79)</f>
        <v/>
      </c>
      <c r="K79" s="584" t="n"/>
      <c r="L79" s="578">
        <f>IFERROR(A79,"")</f>
        <v/>
      </c>
      <c r="M79" s="849">
        <f>IF(' Impaired Loans ASC 310-10'!A79="","",' Impaired Loans ASC 310-10'!K79)</f>
        <v/>
      </c>
      <c r="N79" s="580">
        <f>IF(' Impaired Loans ASC 310-10'!A79="","",' Impaired Loans ASC 310-10'!L79)</f>
        <v/>
      </c>
      <c r="O79" s="581">
        <f>IF(' Impaired Loans ASC 310-10'!A79="","",' Impaired Loans ASC 310-10'!M79)</f>
        <v/>
      </c>
      <c r="P79" s="582">
        <f>IF(' Impaired Loans ASC 310-10'!A79="","",' Impaired Loans ASC 310-10'!O79)</f>
        <v/>
      </c>
      <c r="Q79" s="583">
        <f>IF(' Impaired Loans ASC 310-10'!A79="","",' Impaired Loans ASC 310-10'!N79)</f>
        <v/>
      </c>
      <c r="R79" s="583">
        <f>IF(' Impaired Loans ASC 310-10'!A79="","",' Impaired Loans ASC 310-10'!P79)</f>
        <v/>
      </c>
      <c r="S79" s="583">
        <f>IF(' Impaired Loans ASC 310-10'!A79="","",' Impaired Loans ASC 310-10'!Q79)</f>
        <v/>
      </c>
    </row>
    <row r="80" customFormat="1" s="729">
      <c r="A80" s="573">
        <f>IF(' Impaired Loans ASC 310-10'!A80="","",' Impaired Loans ASC 310-10'!A80)</f>
        <v/>
      </c>
      <c r="B80" s="573">
        <f>IF(' Impaired Loans ASC 310-10'!B80="","",' Impaired Loans ASC 310-10'!B80)</f>
        <v/>
      </c>
      <c r="C80" s="573">
        <f>IF(' Impaired Loans ASC 310-10'!C80="","",' Impaired Loans ASC 310-10'!C80)</f>
        <v/>
      </c>
      <c r="D80" s="573">
        <f>IF(' Impaired Loans ASC 310-10'!D80="","",' Impaired Loans ASC 310-10'!D80)</f>
        <v/>
      </c>
      <c r="E80" s="574">
        <f>IF(' Impaired Loans ASC 310-10'!E80="","",' Impaired Loans ASC 310-10'!E80)</f>
        <v/>
      </c>
      <c r="F80" s="575">
        <f>IF(' Impaired Loans ASC 310-10'!F80="","",' Impaired Loans ASC 310-10'!F80)</f>
        <v/>
      </c>
      <c r="G80" s="574">
        <f>IF(' Impaired Loans ASC 310-10'!G80="","",' Impaired Loans ASC 310-10'!G80)</f>
        <v/>
      </c>
      <c r="H80" s="574">
        <f>IF(' Impaired Loans ASC 310-10'!H80="","",' Impaired Loans ASC 310-10'!H80)</f>
        <v/>
      </c>
      <c r="I80" s="574">
        <f>IF(' Impaired Loans ASC 310-10'!I80="","",' Impaired Loans ASC 310-10'!I80)</f>
        <v/>
      </c>
      <c r="J80" s="574">
        <f>IF(' Impaired Loans ASC 310-10'!J80="","",' Impaired Loans ASC 310-10'!J80)</f>
        <v/>
      </c>
      <c r="K80" s="584" t="n"/>
      <c r="L80" s="578">
        <f>IFERROR(A80,"")</f>
        <v/>
      </c>
      <c r="M80" s="849">
        <f>IF(' Impaired Loans ASC 310-10'!A80="","",' Impaired Loans ASC 310-10'!K80)</f>
        <v/>
      </c>
      <c r="N80" s="580">
        <f>IF(' Impaired Loans ASC 310-10'!A80="","",' Impaired Loans ASC 310-10'!L80)</f>
        <v/>
      </c>
      <c r="O80" s="581">
        <f>IF(' Impaired Loans ASC 310-10'!A80="","",' Impaired Loans ASC 310-10'!M80)</f>
        <v/>
      </c>
      <c r="P80" s="582">
        <f>IF(' Impaired Loans ASC 310-10'!A80="","",' Impaired Loans ASC 310-10'!O80)</f>
        <v/>
      </c>
      <c r="Q80" s="583">
        <f>IF(' Impaired Loans ASC 310-10'!A80="","",' Impaired Loans ASC 310-10'!N80)</f>
        <v/>
      </c>
      <c r="R80" s="583">
        <f>IF(' Impaired Loans ASC 310-10'!A80="","",' Impaired Loans ASC 310-10'!P80)</f>
        <v/>
      </c>
      <c r="S80" s="583">
        <f>IF(' Impaired Loans ASC 310-10'!A80="","",' Impaired Loans ASC 310-10'!Q80)</f>
        <v/>
      </c>
    </row>
    <row r="81" customFormat="1" s="729">
      <c r="A81" s="573">
        <f>IF(' Impaired Loans ASC 310-10'!A81="","",' Impaired Loans ASC 310-10'!A81)</f>
        <v/>
      </c>
      <c r="B81" s="573">
        <f>IF(' Impaired Loans ASC 310-10'!B81="","",' Impaired Loans ASC 310-10'!B81)</f>
        <v/>
      </c>
      <c r="C81" s="573">
        <f>IF(' Impaired Loans ASC 310-10'!C81="","",' Impaired Loans ASC 310-10'!C81)</f>
        <v/>
      </c>
      <c r="D81" s="573">
        <f>IF(' Impaired Loans ASC 310-10'!D81="","",' Impaired Loans ASC 310-10'!D81)</f>
        <v/>
      </c>
      <c r="E81" s="574">
        <f>IF(' Impaired Loans ASC 310-10'!E81="","",' Impaired Loans ASC 310-10'!E81)</f>
        <v/>
      </c>
      <c r="F81" s="575">
        <f>IF(' Impaired Loans ASC 310-10'!F81="","",' Impaired Loans ASC 310-10'!F81)</f>
        <v/>
      </c>
      <c r="G81" s="574">
        <f>IF(' Impaired Loans ASC 310-10'!G81="","",' Impaired Loans ASC 310-10'!G81)</f>
        <v/>
      </c>
      <c r="H81" s="574">
        <f>IF(' Impaired Loans ASC 310-10'!H81="","",' Impaired Loans ASC 310-10'!H81)</f>
        <v/>
      </c>
      <c r="I81" s="574">
        <f>IF(' Impaired Loans ASC 310-10'!I81="","",' Impaired Loans ASC 310-10'!I81)</f>
        <v/>
      </c>
      <c r="J81" s="574">
        <f>IF(' Impaired Loans ASC 310-10'!J81="","",' Impaired Loans ASC 310-10'!J81)</f>
        <v/>
      </c>
      <c r="K81" s="584" t="n"/>
      <c r="L81" s="578">
        <f>IFERROR(A81,"")</f>
        <v/>
      </c>
      <c r="M81" s="849">
        <f>IF(' Impaired Loans ASC 310-10'!A81="","",' Impaired Loans ASC 310-10'!K81)</f>
        <v/>
      </c>
      <c r="N81" s="580">
        <f>IF(' Impaired Loans ASC 310-10'!A81="","",' Impaired Loans ASC 310-10'!L81)</f>
        <v/>
      </c>
      <c r="O81" s="581">
        <f>IF(' Impaired Loans ASC 310-10'!A81="","",' Impaired Loans ASC 310-10'!M81)</f>
        <v/>
      </c>
      <c r="P81" s="582">
        <f>IF(' Impaired Loans ASC 310-10'!A81="","",' Impaired Loans ASC 310-10'!O81)</f>
        <v/>
      </c>
      <c r="Q81" s="583">
        <f>IF(' Impaired Loans ASC 310-10'!A81="","",' Impaired Loans ASC 310-10'!N81)</f>
        <v/>
      </c>
      <c r="R81" s="583">
        <f>IF(' Impaired Loans ASC 310-10'!A81="","",' Impaired Loans ASC 310-10'!P81)</f>
        <v/>
      </c>
      <c r="S81" s="583">
        <f>IF(' Impaired Loans ASC 310-10'!A81="","",' Impaired Loans ASC 310-10'!Q81)</f>
        <v/>
      </c>
    </row>
    <row r="82" customFormat="1" s="729">
      <c r="A82" s="573">
        <f>IF(' Impaired Loans ASC 310-10'!A82="","",' Impaired Loans ASC 310-10'!A82)</f>
        <v/>
      </c>
      <c r="B82" s="573">
        <f>IF(' Impaired Loans ASC 310-10'!B82="","",' Impaired Loans ASC 310-10'!B82)</f>
        <v/>
      </c>
      <c r="C82" s="573">
        <f>IF(' Impaired Loans ASC 310-10'!C82="","",' Impaired Loans ASC 310-10'!C82)</f>
        <v/>
      </c>
      <c r="D82" s="573">
        <f>IF(' Impaired Loans ASC 310-10'!D82="","",' Impaired Loans ASC 310-10'!D82)</f>
        <v/>
      </c>
      <c r="E82" s="574">
        <f>IF(' Impaired Loans ASC 310-10'!E82="","",' Impaired Loans ASC 310-10'!E82)</f>
        <v/>
      </c>
      <c r="F82" s="575">
        <f>IF(' Impaired Loans ASC 310-10'!F82="","",' Impaired Loans ASC 310-10'!F82)</f>
        <v/>
      </c>
      <c r="G82" s="574">
        <f>IF(' Impaired Loans ASC 310-10'!G82="","",' Impaired Loans ASC 310-10'!G82)</f>
        <v/>
      </c>
      <c r="H82" s="574">
        <f>IF(' Impaired Loans ASC 310-10'!H82="","",' Impaired Loans ASC 310-10'!H82)</f>
        <v/>
      </c>
      <c r="I82" s="574">
        <f>IF(' Impaired Loans ASC 310-10'!I82="","",' Impaired Loans ASC 310-10'!I82)</f>
        <v/>
      </c>
      <c r="J82" s="574">
        <f>IF(' Impaired Loans ASC 310-10'!J82="","",' Impaired Loans ASC 310-10'!J82)</f>
        <v/>
      </c>
      <c r="K82" s="584" t="n"/>
      <c r="L82" s="578">
        <f>IFERROR(A82,"")</f>
        <v/>
      </c>
      <c r="M82" s="849">
        <f>IF(' Impaired Loans ASC 310-10'!A82="","",' Impaired Loans ASC 310-10'!K82)</f>
        <v/>
      </c>
      <c r="N82" s="580">
        <f>IF(' Impaired Loans ASC 310-10'!A82="","",' Impaired Loans ASC 310-10'!L82)</f>
        <v/>
      </c>
      <c r="O82" s="581">
        <f>IF(' Impaired Loans ASC 310-10'!A82="","",' Impaired Loans ASC 310-10'!M82)</f>
        <v/>
      </c>
      <c r="P82" s="582">
        <f>IF(' Impaired Loans ASC 310-10'!A82="","",' Impaired Loans ASC 310-10'!O82)</f>
        <v/>
      </c>
      <c r="Q82" s="583">
        <f>IF(' Impaired Loans ASC 310-10'!A82="","",' Impaired Loans ASC 310-10'!N82)</f>
        <v/>
      </c>
      <c r="R82" s="583">
        <f>IF(' Impaired Loans ASC 310-10'!A82="","",' Impaired Loans ASC 310-10'!P82)</f>
        <v/>
      </c>
      <c r="S82" s="583">
        <f>IF(' Impaired Loans ASC 310-10'!A82="","",' Impaired Loans ASC 310-10'!Q82)</f>
        <v/>
      </c>
    </row>
    <row r="83" customFormat="1" s="729">
      <c r="A83" s="573">
        <f>IF(' Impaired Loans ASC 310-10'!A83="","",' Impaired Loans ASC 310-10'!A83)</f>
        <v/>
      </c>
      <c r="B83" s="573">
        <f>IF(' Impaired Loans ASC 310-10'!B83="","",' Impaired Loans ASC 310-10'!B83)</f>
        <v/>
      </c>
      <c r="C83" s="573">
        <f>IF(' Impaired Loans ASC 310-10'!C83="","",' Impaired Loans ASC 310-10'!C83)</f>
        <v/>
      </c>
      <c r="D83" s="573">
        <f>IF(' Impaired Loans ASC 310-10'!D83="","",' Impaired Loans ASC 310-10'!D83)</f>
        <v/>
      </c>
      <c r="E83" s="574">
        <f>IF(' Impaired Loans ASC 310-10'!E83="","",' Impaired Loans ASC 310-10'!E83)</f>
        <v/>
      </c>
      <c r="F83" s="575">
        <f>IF(' Impaired Loans ASC 310-10'!F83="","",' Impaired Loans ASC 310-10'!F83)</f>
        <v/>
      </c>
      <c r="G83" s="574">
        <f>IF(' Impaired Loans ASC 310-10'!G83="","",' Impaired Loans ASC 310-10'!G83)</f>
        <v/>
      </c>
      <c r="H83" s="574">
        <f>IF(' Impaired Loans ASC 310-10'!H83="","",' Impaired Loans ASC 310-10'!H83)</f>
        <v/>
      </c>
      <c r="I83" s="574">
        <f>IF(' Impaired Loans ASC 310-10'!I83="","",' Impaired Loans ASC 310-10'!I83)</f>
        <v/>
      </c>
      <c r="J83" s="574">
        <f>IF(' Impaired Loans ASC 310-10'!J83="","",' Impaired Loans ASC 310-10'!J83)</f>
        <v/>
      </c>
      <c r="K83" s="584" t="n"/>
      <c r="L83" s="578">
        <f>IFERROR(A83,"")</f>
        <v/>
      </c>
      <c r="M83" s="849">
        <f>IF(' Impaired Loans ASC 310-10'!A83="","",' Impaired Loans ASC 310-10'!K83)</f>
        <v/>
      </c>
      <c r="N83" s="580">
        <f>IF(' Impaired Loans ASC 310-10'!A83="","",' Impaired Loans ASC 310-10'!L83)</f>
        <v/>
      </c>
      <c r="O83" s="581">
        <f>IF(' Impaired Loans ASC 310-10'!A83="","",' Impaired Loans ASC 310-10'!M83)</f>
        <v/>
      </c>
      <c r="P83" s="582">
        <f>IF(' Impaired Loans ASC 310-10'!A83="","",' Impaired Loans ASC 310-10'!O83)</f>
        <v/>
      </c>
      <c r="Q83" s="583">
        <f>IF(' Impaired Loans ASC 310-10'!A83="","",' Impaired Loans ASC 310-10'!N83)</f>
        <v/>
      </c>
      <c r="R83" s="583">
        <f>IF(' Impaired Loans ASC 310-10'!A83="","",' Impaired Loans ASC 310-10'!P83)</f>
        <v/>
      </c>
      <c r="S83" s="583">
        <f>IF(' Impaired Loans ASC 310-10'!A83="","",' Impaired Loans ASC 310-10'!Q83)</f>
        <v/>
      </c>
    </row>
    <row r="84" customFormat="1" s="729">
      <c r="A84" s="573">
        <f>IF(' Impaired Loans ASC 310-10'!A84="","",' Impaired Loans ASC 310-10'!A84)</f>
        <v/>
      </c>
      <c r="B84" s="573">
        <f>IF(' Impaired Loans ASC 310-10'!B84="","",' Impaired Loans ASC 310-10'!B84)</f>
        <v/>
      </c>
      <c r="C84" s="573">
        <f>IF(' Impaired Loans ASC 310-10'!C84="","",' Impaired Loans ASC 310-10'!C84)</f>
        <v/>
      </c>
      <c r="D84" s="573">
        <f>IF(' Impaired Loans ASC 310-10'!D84="","",' Impaired Loans ASC 310-10'!D84)</f>
        <v/>
      </c>
      <c r="E84" s="574">
        <f>IF(' Impaired Loans ASC 310-10'!E84="","",' Impaired Loans ASC 310-10'!E84)</f>
        <v/>
      </c>
      <c r="F84" s="575">
        <f>IF(' Impaired Loans ASC 310-10'!F84="","",' Impaired Loans ASC 310-10'!F84)</f>
        <v/>
      </c>
      <c r="G84" s="574">
        <f>IF(' Impaired Loans ASC 310-10'!G84="","",' Impaired Loans ASC 310-10'!G84)</f>
        <v/>
      </c>
      <c r="H84" s="574">
        <f>IF(' Impaired Loans ASC 310-10'!H84="","",' Impaired Loans ASC 310-10'!H84)</f>
        <v/>
      </c>
      <c r="I84" s="574">
        <f>IF(' Impaired Loans ASC 310-10'!I84="","",' Impaired Loans ASC 310-10'!I84)</f>
        <v/>
      </c>
      <c r="J84" s="574">
        <f>IF(' Impaired Loans ASC 310-10'!J84="","",' Impaired Loans ASC 310-10'!J84)</f>
        <v/>
      </c>
      <c r="K84" s="584" t="n"/>
      <c r="L84" s="578">
        <f>IFERROR(A84,"")</f>
        <v/>
      </c>
      <c r="M84" s="849">
        <f>IF(' Impaired Loans ASC 310-10'!A84="","",' Impaired Loans ASC 310-10'!K84)</f>
        <v/>
      </c>
      <c r="N84" s="580">
        <f>IF(' Impaired Loans ASC 310-10'!A84="","",' Impaired Loans ASC 310-10'!L84)</f>
        <v/>
      </c>
      <c r="O84" s="581">
        <f>IF(' Impaired Loans ASC 310-10'!A84="","",' Impaired Loans ASC 310-10'!M84)</f>
        <v/>
      </c>
      <c r="P84" s="582">
        <f>IF(' Impaired Loans ASC 310-10'!A84="","",' Impaired Loans ASC 310-10'!O84)</f>
        <v/>
      </c>
      <c r="Q84" s="583">
        <f>IF(' Impaired Loans ASC 310-10'!A84="","",' Impaired Loans ASC 310-10'!N84)</f>
        <v/>
      </c>
      <c r="R84" s="583">
        <f>IF(' Impaired Loans ASC 310-10'!A84="","",' Impaired Loans ASC 310-10'!P84)</f>
        <v/>
      </c>
      <c r="S84" s="583">
        <f>IF(' Impaired Loans ASC 310-10'!A84="","",' Impaired Loans ASC 310-10'!Q84)</f>
        <v/>
      </c>
    </row>
    <row r="85" customFormat="1" s="729">
      <c r="A85" s="573">
        <f>IF(' Impaired Loans ASC 310-10'!A85="","",' Impaired Loans ASC 310-10'!A85)</f>
        <v/>
      </c>
      <c r="B85" s="573">
        <f>IF(' Impaired Loans ASC 310-10'!B85="","",' Impaired Loans ASC 310-10'!B85)</f>
        <v/>
      </c>
      <c r="C85" s="573">
        <f>IF(' Impaired Loans ASC 310-10'!C85="","",' Impaired Loans ASC 310-10'!C85)</f>
        <v/>
      </c>
      <c r="D85" s="573">
        <f>IF(' Impaired Loans ASC 310-10'!D85="","",' Impaired Loans ASC 310-10'!D85)</f>
        <v/>
      </c>
      <c r="E85" s="574">
        <f>IF(' Impaired Loans ASC 310-10'!E85="","",' Impaired Loans ASC 310-10'!E85)</f>
        <v/>
      </c>
      <c r="F85" s="575">
        <f>IF(' Impaired Loans ASC 310-10'!F85="","",' Impaired Loans ASC 310-10'!F85)</f>
        <v/>
      </c>
      <c r="G85" s="574">
        <f>IF(' Impaired Loans ASC 310-10'!G85="","",' Impaired Loans ASC 310-10'!G85)</f>
        <v/>
      </c>
      <c r="H85" s="574">
        <f>IF(' Impaired Loans ASC 310-10'!H85="","",' Impaired Loans ASC 310-10'!H85)</f>
        <v/>
      </c>
      <c r="I85" s="574">
        <f>IF(' Impaired Loans ASC 310-10'!I85="","",' Impaired Loans ASC 310-10'!I85)</f>
        <v/>
      </c>
      <c r="J85" s="574">
        <f>IF(' Impaired Loans ASC 310-10'!J85="","",' Impaired Loans ASC 310-10'!J85)</f>
        <v/>
      </c>
      <c r="K85" s="584" t="n"/>
      <c r="L85" s="578">
        <f>IFERROR(A85,"")</f>
        <v/>
      </c>
      <c r="M85" s="849">
        <f>IF(' Impaired Loans ASC 310-10'!A85="","",' Impaired Loans ASC 310-10'!K85)</f>
        <v/>
      </c>
      <c r="N85" s="580">
        <f>IF(' Impaired Loans ASC 310-10'!A85="","",' Impaired Loans ASC 310-10'!L85)</f>
        <v/>
      </c>
      <c r="O85" s="581">
        <f>IF(' Impaired Loans ASC 310-10'!A85="","",' Impaired Loans ASC 310-10'!M85)</f>
        <v/>
      </c>
      <c r="P85" s="582">
        <f>IF(' Impaired Loans ASC 310-10'!A85="","",' Impaired Loans ASC 310-10'!O85)</f>
        <v/>
      </c>
      <c r="Q85" s="583">
        <f>IF(' Impaired Loans ASC 310-10'!A85="","",' Impaired Loans ASC 310-10'!N85)</f>
        <v/>
      </c>
      <c r="R85" s="583">
        <f>IF(' Impaired Loans ASC 310-10'!A85="","",' Impaired Loans ASC 310-10'!P85)</f>
        <v/>
      </c>
      <c r="S85" s="583">
        <f>IF(' Impaired Loans ASC 310-10'!A85="","",' Impaired Loans ASC 310-10'!Q85)</f>
        <v/>
      </c>
    </row>
    <row r="86" customFormat="1" s="729">
      <c r="A86" s="573">
        <f>IF(' Impaired Loans ASC 310-10'!A86="","",' Impaired Loans ASC 310-10'!A86)</f>
        <v/>
      </c>
      <c r="B86" s="573">
        <f>IF(' Impaired Loans ASC 310-10'!B86="","",' Impaired Loans ASC 310-10'!B86)</f>
        <v/>
      </c>
      <c r="C86" s="573">
        <f>IF(' Impaired Loans ASC 310-10'!C86="","",' Impaired Loans ASC 310-10'!C86)</f>
        <v/>
      </c>
      <c r="D86" s="573">
        <f>IF(' Impaired Loans ASC 310-10'!D86="","",' Impaired Loans ASC 310-10'!D86)</f>
        <v/>
      </c>
      <c r="E86" s="574">
        <f>IF(' Impaired Loans ASC 310-10'!E86="","",' Impaired Loans ASC 310-10'!E86)</f>
        <v/>
      </c>
      <c r="F86" s="575">
        <f>IF(' Impaired Loans ASC 310-10'!F86="","",' Impaired Loans ASC 310-10'!F86)</f>
        <v/>
      </c>
      <c r="G86" s="574">
        <f>IF(' Impaired Loans ASC 310-10'!G86="","",' Impaired Loans ASC 310-10'!G86)</f>
        <v/>
      </c>
      <c r="H86" s="574">
        <f>IF(' Impaired Loans ASC 310-10'!H86="","",' Impaired Loans ASC 310-10'!H86)</f>
        <v/>
      </c>
      <c r="I86" s="574">
        <f>IF(' Impaired Loans ASC 310-10'!I86="","",' Impaired Loans ASC 310-10'!I86)</f>
        <v/>
      </c>
      <c r="J86" s="574">
        <f>IF(' Impaired Loans ASC 310-10'!J86="","",' Impaired Loans ASC 310-10'!J86)</f>
        <v/>
      </c>
      <c r="K86" s="584" t="n"/>
      <c r="L86" s="578">
        <f>IFERROR(A86,"")</f>
        <v/>
      </c>
      <c r="M86" s="849">
        <f>IF(' Impaired Loans ASC 310-10'!A86="","",' Impaired Loans ASC 310-10'!K86)</f>
        <v/>
      </c>
      <c r="N86" s="580">
        <f>IF(' Impaired Loans ASC 310-10'!A86="","",' Impaired Loans ASC 310-10'!L86)</f>
        <v/>
      </c>
      <c r="O86" s="581">
        <f>IF(' Impaired Loans ASC 310-10'!A86="","",' Impaired Loans ASC 310-10'!M86)</f>
        <v/>
      </c>
      <c r="P86" s="582">
        <f>IF(' Impaired Loans ASC 310-10'!A86="","",' Impaired Loans ASC 310-10'!O86)</f>
        <v/>
      </c>
      <c r="Q86" s="583">
        <f>IF(' Impaired Loans ASC 310-10'!A86="","",' Impaired Loans ASC 310-10'!N86)</f>
        <v/>
      </c>
      <c r="R86" s="583">
        <f>IF(' Impaired Loans ASC 310-10'!A86="","",' Impaired Loans ASC 310-10'!P86)</f>
        <v/>
      </c>
      <c r="S86" s="583">
        <f>IF(' Impaired Loans ASC 310-10'!A86="","",' Impaired Loans ASC 310-10'!Q86)</f>
        <v/>
      </c>
    </row>
    <row r="87" customFormat="1" s="729">
      <c r="A87" s="573">
        <f>IF(' Impaired Loans ASC 310-10'!A87="","",' Impaired Loans ASC 310-10'!A87)</f>
        <v/>
      </c>
      <c r="B87" s="573">
        <f>IF(' Impaired Loans ASC 310-10'!B87="","",' Impaired Loans ASC 310-10'!B87)</f>
        <v/>
      </c>
      <c r="C87" s="573">
        <f>IF(' Impaired Loans ASC 310-10'!C87="","",' Impaired Loans ASC 310-10'!C87)</f>
        <v/>
      </c>
      <c r="D87" s="573">
        <f>IF(' Impaired Loans ASC 310-10'!D87="","",' Impaired Loans ASC 310-10'!D87)</f>
        <v/>
      </c>
      <c r="E87" s="574">
        <f>IF(' Impaired Loans ASC 310-10'!E87="","",' Impaired Loans ASC 310-10'!E87)</f>
        <v/>
      </c>
      <c r="F87" s="575">
        <f>IF(' Impaired Loans ASC 310-10'!F87="","",' Impaired Loans ASC 310-10'!F87)</f>
        <v/>
      </c>
      <c r="G87" s="574">
        <f>IF(' Impaired Loans ASC 310-10'!G87="","",' Impaired Loans ASC 310-10'!G87)</f>
        <v/>
      </c>
      <c r="H87" s="574">
        <f>IF(' Impaired Loans ASC 310-10'!H87="","",' Impaired Loans ASC 310-10'!H87)</f>
        <v/>
      </c>
      <c r="I87" s="574">
        <f>IF(' Impaired Loans ASC 310-10'!I87="","",' Impaired Loans ASC 310-10'!I87)</f>
        <v/>
      </c>
      <c r="J87" s="574">
        <f>IF(' Impaired Loans ASC 310-10'!J87="","",' Impaired Loans ASC 310-10'!J87)</f>
        <v/>
      </c>
      <c r="K87" s="584" t="n"/>
      <c r="L87" s="578">
        <f>IFERROR(A87,"")</f>
        <v/>
      </c>
      <c r="M87" s="849">
        <f>IF(' Impaired Loans ASC 310-10'!A87="","",' Impaired Loans ASC 310-10'!K87)</f>
        <v/>
      </c>
      <c r="N87" s="580">
        <f>IF(' Impaired Loans ASC 310-10'!A87="","",' Impaired Loans ASC 310-10'!L87)</f>
        <v/>
      </c>
      <c r="O87" s="581">
        <f>IF(' Impaired Loans ASC 310-10'!A87="","",' Impaired Loans ASC 310-10'!M87)</f>
        <v/>
      </c>
      <c r="P87" s="582">
        <f>IF(' Impaired Loans ASC 310-10'!A87="","",' Impaired Loans ASC 310-10'!O87)</f>
        <v/>
      </c>
      <c r="Q87" s="583">
        <f>IF(' Impaired Loans ASC 310-10'!A87="","",' Impaired Loans ASC 310-10'!N87)</f>
        <v/>
      </c>
      <c r="R87" s="583">
        <f>IF(' Impaired Loans ASC 310-10'!A87="","",' Impaired Loans ASC 310-10'!P87)</f>
        <v/>
      </c>
      <c r="S87" s="583">
        <f>IF(' Impaired Loans ASC 310-10'!A87="","",' Impaired Loans ASC 310-10'!Q87)</f>
        <v/>
      </c>
    </row>
    <row r="88" customFormat="1" s="729">
      <c r="A88" s="573">
        <f>IF(' Impaired Loans ASC 310-10'!A88="","",' Impaired Loans ASC 310-10'!A88)</f>
        <v/>
      </c>
      <c r="B88" s="573">
        <f>IF(' Impaired Loans ASC 310-10'!B88="","",' Impaired Loans ASC 310-10'!B88)</f>
        <v/>
      </c>
      <c r="C88" s="573">
        <f>IF(' Impaired Loans ASC 310-10'!C88="","",' Impaired Loans ASC 310-10'!C88)</f>
        <v/>
      </c>
      <c r="D88" s="573">
        <f>IF(' Impaired Loans ASC 310-10'!D88="","",' Impaired Loans ASC 310-10'!D88)</f>
        <v/>
      </c>
      <c r="E88" s="574">
        <f>IF(' Impaired Loans ASC 310-10'!E88="","",' Impaired Loans ASC 310-10'!E88)</f>
        <v/>
      </c>
      <c r="F88" s="575">
        <f>IF(' Impaired Loans ASC 310-10'!F88="","",' Impaired Loans ASC 310-10'!F88)</f>
        <v/>
      </c>
      <c r="G88" s="574">
        <f>IF(' Impaired Loans ASC 310-10'!G88="","",' Impaired Loans ASC 310-10'!G88)</f>
        <v/>
      </c>
      <c r="H88" s="574">
        <f>IF(' Impaired Loans ASC 310-10'!H88="","",' Impaired Loans ASC 310-10'!H88)</f>
        <v/>
      </c>
      <c r="I88" s="574">
        <f>IF(' Impaired Loans ASC 310-10'!I88="","",' Impaired Loans ASC 310-10'!I88)</f>
        <v/>
      </c>
      <c r="J88" s="574">
        <f>IF(' Impaired Loans ASC 310-10'!J88="","",' Impaired Loans ASC 310-10'!J88)</f>
        <v/>
      </c>
      <c r="K88" s="584" t="n"/>
      <c r="L88" s="578">
        <f>IFERROR(A88,"")</f>
        <v/>
      </c>
      <c r="M88" s="849">
        <f>IF(' Impaired Loans ASC 310-10'!A88="","",' Impaired Loans ASC 310-10'!K88)</f>
        <v/>
      </c>
      <c r="N88" s="580">
        <f>IF(' Impaired Loans ASC 310-10'!A88="","",' Impaired Loans ASC 310-10'!L88)</f>
        <v/>
      </c>
      <c r="O88" s="581">
        <f>IF(' Impaired Loans ASC 310-10'!A88="","",' Impaired Loans ASC 310-10'!M88)</f>
        <v/>
      </c>
      <c r="P88" s="582">
        <f>IF(' Impaired Loans ASC 310-10'!A88="","",' Impaired Loans ASC 310-10'!O88)</f>
        <v/>
      </c>
      <c r="Q88" s="583">
        <f>IF(' Impaired Loans ASC 310-10'!A88="","",' Impaired Loans ASC 310-10'!N88)</f>
        <v/>
      </c>
      <c r="R88" s="583">
        <f>IF(' Impaired Loans ASC 310-10'!A88="","",' Impaired Loans ASC 310-10'!P88)</f>
        <v/>
      </c>
      <c r="S88" s="583">
        <f>IF(' Impaired Loans ASC 310-10'!A88="","",' Impaired Loans ASC 310-10'!Q88)</f>
        <v/>
      </c>
    </row>
    <row r="89" customFormat="1" s="729">
      <c r="A89" s="573">
        <f>IF(' Impaired Loans ASC 310-10'!A89="","",' Impaired Loans ASC 310-10'!A89)</f>
        <v/>
      </c>
      <c r="B89" s="573">
        <f>IF(' Impaired Loans ASC 310-10'!B89="","",' Impaired Loans ASC 310-10'!B89)</f>
        <v/>
      </c>
      <c r="C89" s="573">
        <f>IF(' Impaired Loans ASC 310-10'!C89="","",' Impaired Loans ASC 310-10'!C89)</f>
        <v/>
      </c>
      <c r="D89" s="573">
        <f>IF(' Impaired Loans ASC 310-10'!D89="","",' Impaired Loans ASC 310-10'!D89)</f>
        <v/>
      </c>
      <c r="E89" s="574">
        <f>IF(' Impaired Loans ASC 310-10'!E89="","",' Impaired Loans ASC 310-10'!E89)</f>
        <v/>
      </c>
      <c r="F89" s="575">
        <f>IF(' Impaired Loans ASC 310-10'!F89="","",' Impaired Loans ASC 310-10'!F89)</f>
        <v/>
      </c>
      <c r="G89" s="574">
        <f>IF(' Impaired Loans ASC 310-10'!G89="","",' Impaired Loans ASC 310-10'!G89)</f>
        <v/>
      </c>
      <c r="H89" s="574">
        <f>IF(' Impaired Loans ASC 310-10'!H89="","",' Impaired Loans ASC 310-10'!H89)</f>
        <v/>
      </c>
      <c r="I89" s="574">
        <f>IF(' Impaired Loans ASC 310-10'!I89="","",' Impaired Loans ASC 310-10'!I89)</f>
        <v/>
      </c>
      <c r="J89" s="574">
        <f>IF(' Impaired Loans ASC 310-10'!J89="","",' Impaired Loans ASC 310-10'!J89)</f>
        <v/>
      </c>
      <c r="K89" s="584" t="n"/>
      <c r="L89" s="578">
        <f>IFERROR(A89,"")</f>
        <v/>
      </c>
      <c r="M89" s="849">
        <f>IF(' Impaired Loans ASC 310-10'!A89="","",' Impaired Loans ASC 310-10'!K89)</f>
        <v/>
      </c>
      <c r="N89" s="580">
        <f>IF(' Impaired Loans ASC 310-10'!A89="","",' Impaired Loans ASC 310-10'!L89)</f>
        <v/>
      </c>
      <c r="O89" s="581">
        <f>IF(' Impaired Loans ASC 310-10'!A89="","",' Impaired Loans ASC 310-10'!M89)</f>
        <v/>
      </c>
      <c r="P89" s="582">
        <f>IF(' Impaired Loans ASC 310-10'!A89="","",' Impaired Loans ASC 310-10'!O89)</f>
        <v/>
      </c>
      <c r="Q89" s="583">
        <f>IF(' Impaired Loans ASC 310-10'!A89="","",' Impaired Loans ASC 310-10'!N89)</f>
        <v/>
      </c>
      <c r="R89" s="583">
        <f>IF(' Impaired Loans ASC 310-10'!A89="","",' Impaired Loans ASC 310-10'!P89)</f>
        <v/>
      </c>
      <c r="S89" s="583">
        <f>IF(' Impaired Loans ASC 310-10'!A89="","",' Impaired Loans ASC 310-10'!Q89)</f>
        <v/>
      </c>
    </row>
    <row r="90" customFormat="1" s="729">
      <c r="A90" s="573">
        <f>IF(' Impaired Loans ASC 310-10'!A90="","",' Impaired Loans ASC 310-10'!A90)</f>
        <v/>
      </c>
      <c r="B90" s="573">
        <f>IF(' Impaired Loans ASC 310-10'!B90="","",' Impaired Loans ASC 310-10'!B90)</f>
        <v/>
      </c>
      <c r="C90" s="573">
        <f>IF(' Impaired Loans ASC 310-10'!C90="","",' Impaired Loans ASC 310-10'!C90)</f>
        <v/>
      </c>
      <c r="D90" s="573">
        <f>IF(' Impaired Loans ASC 310-10'!D90="","",' Impaired Loans ASC 310-10'!D90)</f>
        <v/>
      </c>
      <c r="E90" s="574">
        <f>IF(' Impaired Loans ASC 310-10'!E90="","",' Impaired Loans ASC 310-10'!E90)</f>
        <v/>
      </c>
      <c r="F90" s="575">
        <f>IF(' Impaired Loans ASC 310-10'!F90="","",' Impaired Loans ASC 310-10'!F90)</f>
        <v/>
      </c>
      <c r="G90" s="574">
        <f>IF(' Impaired Loans ASC 310-10'!G90="","",' Impaired Loans ASC 310-10'!G90)</f>
        <v/>
      </c>
      <c r="H90" s="574">
        <f>IF(' Impaired Loans ASC 310-10'!H90="","",' Impaired Loans ASC 310-10'!H90)</f>
        <v/>
      </c>
      <c r="I90" s="574">
        <f>IF(' Impaired Loans ASC 310-10'!I90="","",' Impaired Loans ASC 310-10'!I90)</f>
        <v/>
      </c>
      <c r="J90" s="574">
        <f>IF(' Impaired Loans ASC 310-10'!J90="","",' Impaired Loans ASC 310-10'!J90)</f>
        <v/>
      </c>
      <c r="K90" s="584" t="n"/>
      <c r="L90" s="578">
        <f>IFERROR(A90,"")</f>
        <v/>
      </c>
      <c r="M90" s="849">
        <f>IF(' Impaired Loans ASC 310-10'!A90="","",' Impaired Loans ASC 310-10'!K90)</f>
        <v/>
      </c>
      <c r="N90" s="580">
        <f>IF(' Impaired Loans ASC 310-10'!A90="","",' Impaired Loans ASC 310-10'!L90)</f>
        <v/>
      </c>
      <c r="O90" s="581">
        <f>IF(' Impaired Loans ASC 310-10'!A90="","",' Impaired Loans ASC 310-10'!M90)</f>
        <v/>
      </c>
      <c r="P90" s="582">
        <f>IF(' Impaired Loans ASC 310-10'!A90="","",' Impaired Loans ASC 310-10'!O90)</f>
        <v/>
      </c>
      <c r="Q90" s="583">
        <f>IF(' Impaired Loans ASC 310-10'!A90="","",' Impaired Loans ASC 310-10'!N90)</f>
        <v/>
      </c>
      <c r="R90" s="583">
        <f>IF(' Impaired Loans ASC 310-10'!A90="","",' Impaired Loans ASC 310-10'!P90)</f>
        <v/>
      </c>
      <c r="S90" s="583">
        <f>IF(' Impaired Loans ASC 310-10'!A90="","",' Impaired Loans ASC 310-10'!Q90)</f>
        <v/>
      </c>
    </row>
    <row r="91" customFormat="1" s="729">
      <c r="A91" s="573">
        <f>IF(' Impaired Loans ASC 310-10'!A91="","",' Impaired Loans ASC 310-10'!A91)</f>
        <v/>
      </c>
      <c r="B91" s="573">
        <f>IF(' Impaired Loans ASC 310-10'!B91="","",' Impaired Loans ASC 310-10'!B91)</f>
        <v/>
      </c>
      <c r="C91" s="573">
        <f>IF(' Impaired Loans ASC 310-10'!C91="","",' Impaired Loans ASC 310-10'!C91)</f>
        <v/>
      </c>
      <c r="D91" s="573">
        <f>IF(' Impaired Loans ASC 310-10'!D91="","",' Impaired Loans ASC 310-10'!D91)</f>
        <v/>
      </c>
      <c r="E91" s="574">
        <f>IF(' Impaired Loans ASC 310-10'!E91="","",' Impaired Loans ASC 310-10'!E91)</f>
        <v/>
      </c>
      <c r="F91" s="575">
        <f>IF(' Impaired Loans ASC 310-10'!F91="","",' Impaired Loans ASC 310-10'!F91)</f>
        <v/>
      </c>
      <c r="G91" s="574">
        <f>IF(' Impaired Loans ASC 310-10'!G91="","",' Impaired Loans ASC 310-10'!G91)</f>
        <v/>
      </c>
      <c r="H91" s="574">
        <f>IF(' Impaired Loans ASC 310-10'!H91="","",' Impaired Loans ASC 310-10'!H91)</f>
        <v/>
      </c>
      <c r="I91" s="574">
        <f>IF(' Impaired Loans ASC 310-10'!I91="","",' Impaired Loans ASC 310-10'!I91)</f>
        <v/>
      </c>
      <c r="J91" s="574">
        <f>IF(' Impaired Loans ASC 310-10'!J91="","",' Impaired Loans ASC 310-10'!J91)</f>
        <v/>
      </c>
      <c r="K91" s="584" t="n"/>
      <c r="L91" s="578">
        <f>IFERROR(A91,"")</f>
        <v/>
      </c>
      <c r="M91" s="849">
        <f>IF(' Impaired Loans ASC 310-10'!A91="","",' Impaired Loans ASC 310-10'!K91)</f>
        <v/>
      </c>
      <c r="N91" s="580">
        <f>IF(' Impaired Loans ASC 310-10'!A91="","",' Impaired Loans ASC 310-10'!L91)</f>
        <v/>
      </c>
      <c r="O91" s="581">
        <f>IF(' Impaired Loans ASC 310-10'!A91="","",' Impaired Loans ASC 310-10'!M91)</f>
        <v/>
      </c>
      <c r="P91" s="582">
        <f>IF(' Impaired Loans ASC 310-10'!A91="","",' Impaired Loans ASC 310-10'!O91)</f>
        <v/>
      </c>
      <c r="Q91" s="583">
        <f>IF(' Impaired Loans ASC 310-10'!A91="","",' Impaired Loans ASC 310-10'!N91)</f>
        <v/>
      </c>
      <c r="R91" s="583">
        <f>IF(' Impaired Loans ASC 310-10'!A91="","",' Impaired Loans ASC 310-10'!P91)</f>
        <v/>
      </c>
      <c r="S91" s="583">
        <f>IF(' Impaired Loans ASC 310-10'!A91="","",' Impaired Loans ASC 310-10'!Q91)</f>
        <v/>
      </c>
    </row>
    <row r="92" customFormat="1" s="729">
      <c r="A92" s="573">
        <f>IF(' Impaired Loans ASC 310-10'!A92="","",' Impaired Loans ASC 310-10'!A92)</f>
        <v/>
      </c>
      <c r="B92" s="573">
        <f>IF(' Impaired Loans ASC 310-10'!B92="","",' Impaired Loans ASC 310-10'!B92)</f>
        <v/>
      </c>
      <c r="C92" s="573">
        <f>IF(' Impaired Loans ASC 310-10'!C92="","",' Impaired Loans ASC 310-10'!C92)</f>
        <v/>
      </c>
      <c r="D92" s="573">
        <f>IF(' Impaired Loans ASC 310-10'!D92="","",' Impaired Loans ASC 310-10'!D92)</f>
        <v/>
      </c>
      <c r="E92" s="574">
        <f>IF(' Impaired Loans ASC 310-10'!E92="","",' Impaired Loans ASC 310-10'!E92)</f>
        <v/>
      </c>
      <c r="F92" s="575">
        <f>IF(' Impaired Loans ASC 310-10'!F92="","",' Impaired Loans ASC 310-10'!F92)</f>
        <v/>
      </c>
      <c r="G92" s="574">
        <f>IF(' Impaired Loans ASC 310-10'!G92="","",' Impaired Loans ASC 310-10'!G92)</f>
        <v/>
      </c>
      <c r="H92" s="574">
        <f>IF(' Impaired Loans ASC 310-10'!H92="","",' Impaired Loans ASC 310-10'!H92)</f>
        <v/>
      </c>
      <c r="I92" s="574">
        <f>IF(' Impaired Loans ASC 310-10'!I92="","",' Impaired Loans ASC 310-10'!I92)</f>
        <v/>
      </c>
      <c r="J92" s="574">
        <f>IF(' Impaired Loans ASC 310-10'!J92="","",' Impaired Loans ASC 310-10'!J92)</f>
        <v/>
      </c>
      <c r="K92" s="584" t="n"/>
      <c r="L92" s="578">
        <f>IFERROR(A92,"")</f>
        <v/>
      </c>
      <c r="M92" s="849">
        <f>IF(' Impaired Loans ASC 310-10'!A92="","",' Impaired Loans ASC 310-10'!K92)</f>
        <v/>
      </c>
      <c r="N92" s="580">
        <f>IF(' Impaired Loans ASC 310-10'!A92="","",' Impaired Loans ASC 310-10'!L92)</f>
        <v/>
      </c>
      <c r="O92" s="581">
        <f>IF(' Impaired Loans ASC 310-10'!A92="","",' Impaired Loans ASC 310-10'!M92)</f>
        <v/>
      </c>
      <c r="P92" s="582">
        <f>IF(' Impaired Loans ASC 310-10'!A92="","",' Impaired Loans ASC 310-10'!O92)</f>
        <v/>
      </c>
      <c r="Q92" s="583">
        <f>IF(' Impaired Loans ASC 310-10'!A92="","",' Impaired Loans ASC 310-10'!N92)</f>
        <v/>
      </c>
      <c r="R92" s="583">
        <f>IF(' Impaired Loans ASC 310-10'!A92="","",' Impaired Loans ASC 310-10'!P92)</f>
        <v/>
      </c>
      <c r="S92" s="583">
        <f>IF(' Impaired Loans ASC 310-10'!A92="","",' Impaired Loans ASC 310-10'!Q92)</f>
        <v/>
      </c>
    </row>
    <row r="93" customFormat="1" s="729">
      <c r="A93" s="573">
        <f>IF(' Impaired Loans ASC 310-10'!A93="","",' Impaired Loans ASC 310-10'!A93)</f>
        <v/>
      </c>
      <c r="B93" s="573">
        <f>IF(' Impaired Loans ASC 310-10'!B93="","",' Impaired Loans ASC 310-10'!B93)</f>
        <v/>
      </c>
      <c r="C93" s="573">
        <f>IF(' Impaired Loans ASC 310-10'!C93="","",' Impaired Loans ASC 310-10'!C93)</f>
        <v/>
      </c>
      <c r="D93" s="573">
        <f>IF(' Impaired Loans ASC 310-10'!D93="","",' Impaired Loans ASC 310-10'!D93)</f>
        <v/>
      </c>
      <c r="E93" s="574">
        <f>IF(' Impaired Loans ASC 310-10'!E93="","",' Impaired Loans ASC 310-10'!E93)</f>
        <v/>
      </c>
      <c r="F93" s="575">
        <f>IF(' Impaired Loans ASC 310-10'!F93="","",' Impaired Loans ASC 310-10'!F93)</f>
        <v/>
      </c>
      <c r="G93" s="574">
        <f>IF(' Impaired Loans ASC 310-10'!G93="","",' Impaired Loans ASC 310-10'!G93)</f>
        <v/>
      </c>
      <c r="H93" s="574">
        <f>IF(' Impaired Loans ASC 310-10'!H93="","",' Impaired Loans ASC 310-10'!H93)</f>
        <v/>
      </c>
      <c r="I93" s="574">
        <f>IF(' Impaired Loans ASC 310-10'!I93="","",' Impaired Loans ASC 310-10'!I93)</f>
        <v/>
      </c>
      <c r="J93" s="574">
        <f>IF(' Impaired Loans ASC 310-10'!J93="","",' Impaired Loans ASC 310-10'!J93)</f>
        <v/>
      </c>
      <c r="K93" s="584" t="n"/>
      <c r="L93" s="578">
        <f>IFERROR(A93,"")</f>
        <v/>
      </c>
      <c r="M93" s="849">
        <f>IF(' Impaired Loans ASC 310-10'!A93="","",' Impaired Loans ASC 310-10'!K93)</f>
        <v/>
      </c>
      <c r="N93" s="580">
        <f>IF(' Impaired Loans ASC 310-10'!A93="","",' Impaired Loans ASC 310-10'!L93)</f>
        <v/>
      </c>
      <c r="O93" s="581">
        <f>IF(' Impaired Loans ASC 310-10'!A93="","",' Impaired Loans ASC 310-10'!M93)</f>
        <v/>
      </c>
      <c r="P93" s="582">
        <f>IF(' Impaired Loans ASC 310-10'!A93="","",' Impaired Loans ASC 310-10'!O93)</f>
        <v/>
      </c>
      <c r="Q93" s="583">
        <f>IF(' Impaired Loans ASC 310-10'!A93="","",' Impaired Loans ASC 310-10'!N93)</f>
        <v/>
      </c>
      <c r="R93" s="583">
        <f>IF(' Impaired Loans ASC 310-10'!A93="","",' Impaired Loans ASC 310-10'!P93)</f>
        <v/>
      </c>
      <c r="S93" s="583">
        <f>IF(' Impaired Loans ASC 310-10'!A93="","",' Impaired Loans ASC 310-10'!Q93)</f>
        <v/>
      </c>
    </row>
    <row r="94" customFormat="1" s="729">
      <c r="A94" s="573">
        <f>IF(' Impaired Loans ASC 310-10'!A94="","",' Impaired Loans ASC 310-10'!A94)</f>
        <v/>
      </c>
      <c r="B94" s="573">
        <f>IF(' Impaired Loans ASC 310-10'!B94="","",' Impaired Loans ASC 310-10'!B94)</f>
        <v/>
      </c>
      <c r="C94" s="573">
        <f>IF(' Impaired Loans ASC 310-10'!C94="","",' Impaired Loans ASC 310-10'!C94)</f>
        <v/>
      </c>
      <c r="D94" s="573">
        <f>IF(' Impaired Loans ASC 310-10'!D94="","",' Impaired Loans ASC 310-10'!D94)</f>
        <v/>
      </c>
      <c r="E94" s="574">
        <f>IF(' Impaired Loans ASC 310-10'!E94="","",' Impaired Loans ASC 310-10'!E94)</f>
        <v/>
      </c>
      <c r="F94" s="575">
        <f>IF(' Impaired Loans ASC 310-10'!F94="","",' Impaired Loans ASC 310-10'!F94)</f>
        <v/>
      </c>
      <c r="G94" s="574">
        <f>IF(' Impaired Loans ASC 310-10'!G94="","",' Impaired Loans ASC 310-10'!G94)</f>
        <v/>
      </c>
      <c r="H94" s="574">
        <f>IF(' Impaired Loans ASC 310-10'!H94="","",' Impaired Loans ASC 310-10'!H94)</f>
        <v/>
      </c>
      <c r="I94" s="574">
        <f>IF(' Impaired Loans ASC 310-10'!I94="","",' Impaired Loans ASC 310-10'!I94)</f>
        <v/>
      </c>
      <c r="J94" s="574">
        <f>IF(' Impaired Loans ASC 310-10'!J94="","",' Impaired Loans ASC 310-10'!J94)</f>
        <v/>
      </c>
      <c r="K94" s="584" t="n"/>
      <c r="L94" s="578">
        <f>IFERROR(A94,"")</f>
        <v/>
      </c>
      <c r="M94" s="849">
        <f>IF(' Impaired Loans ASC 310-10'!A94="","",' Impaired Loans ASC 310-10'!K94)</f>
        <v/>
      </c>
      <c r="N94" s="580">
        <f>IF(' Impaired Loans ASC 310-10'!A94="","",' Impaired Loans ASC 310-10'!L94)</f>
        <v/>
      </c>
      <c r="O94" s="581">
        <f>IF(' Impaired Loans ASC 310-10'!A94="","",' Impaired Loans ASC 310-10'!M94)</f>
        <v/>
      </c>
      <c r="P94" s="582">
        <f>IF(' Impaired Loans ASC 310-10'!A94="","",' Impaired Loans ASC 310-10'!O94)</f>
        <v/>
      </c>
      <c r="Q94" s="583">
        <f>IF(' Impaired Loans ASC 310-10'!A94="","",' Impaired Loans ASC 310-10'!N94)</f>
        <v/>
      </c>
      <c r="R94" s="583">
        <f>IF(' Impaired Loans ASC 310-10'!A94="","",' Impaired Loans ASC 310-10'!P94)</f>
        <v/>
      </c>
      <c r="S94" s="583">
        <f>IF(' Impaired Loans ASC 310-10'!A94="","",' Impaired Loans ASC 310-10'!Q94)</f>
        <v/>
      </c>
    </row>
    <row r="95" customFormat="1" s="729">
      <c r="A95" s="573">
        <f>IF(' Impaired Loans ASC 310-10'!A95="","",' Impaired Loans ASC 310-10'!A95)</f>
        <v/>
      </c>
      <c r="B95" s="573">
        <f>IF(' Impaired Loans ASC 310-10'!B95="","",' Impaired Loans ASC 310-10'!B95)</f>
        <v/>
      </c>
      <c r="C95" s="573">
        <f>IF(' Impaired Loans ASC 310-10'!C95="","",' Impaired Loans ASC 310-10'!C95)</f>
        <v/>
      </c>
      <c r="D95" s="573">
        <f>IF(' Impaired Loans ASC 310-10'!D95="","",' Impaired Loans ASC 310-10'!D95)</f>
        <v/>
      </c>
      <c r="E95" s="574">
        <f>IF(' Impaired Loans ASC 310-10'!E95="","",' Impaired Loans ASC 310-10'!E95)</f>
        <v/>
      </c>
      <c r="F95" s="575">
        <f>IF(' Impaired Loans ASC 310-10'!F95="","",' Impaired Loans ASC 310-10'!F95)</f>
        <v/>
      </c>
      <c r="G95" s="574">
        <f>IF(' Impaired Loans ASC 310-10'!G95="","",' Impaired Loans ASC 310-10'!G95)</f>
        <v/>
      </c>
      <c r="H95" s="574">
        <f>IF(' Impaired Loans ASC 310-10'!H95="","",' Impaired Loans ASC 310-10'!H95)</f>
        <v/>
      </c>
      <c r="I95" s="574">
        <f>IF(' Impaired Loans ASC 310-10'!I95="","",' Impaired Loans ASC 310-10'!I95)</f>
        <v/>
      </c>
      <c r="J95" s="574">
        <f>IF(' Impaired Loans ASC 310-10'!J95="","",' Impaired Loans ASC 310-10'!J95)</f>
        <v/>
      </c>
      <c r="K95" s="584" t="n"/>
      <c r="L95" s="578">
        <f>IFERROR(A95,"")</f>
        <v/>
      </c>
      <c r="M95" s="849">
        <f>IF(' Impaired Loans ASC 310-10'!A95="","",' Impaired Loans ASC 310-10'!K95)</f>
        <v/>
      </c>
      <c r="N95" s="580">
        <f>IF(' Impaired Loans ASC 310-10'!A95="","",' Impaired Loans ASC 310-10'!L95)</f>
        <v/>
      </c>
      <c r="O95" s="581">
        <f>IF(' Impaired Loans ASC 310-10'!A95="","",' Impaired Loans ASC 310-10'!M95)</f>
        <v/>
      </c>
      <c r="P95" s="582">
        <f>IF(' Impaired Loans ASC 310-10'!A95="","",' Impaired Loans ASC 310-10'!O95)</f>
        <v/>
      </c>
      <c r="Q95" s="583">
        <f>IF(' Impaired Loans ASC 310-10'!A95="","",' Impaired Loans ASC 310-10'!N95)</f>
        <v/>
      </c>
      <c r="R95" s="583">
        <f>IF(' Impaired Loans ASC 310-10'!A95="","",' Impaired Loans ASC 310-10'!P95)</f>
        <v/>
      </c>
      <c r="S95" s="583">
        <f>IF(' Impaired Loans ASC 310-10'!A95="","",' Impaired Loans ASC 310-10'!Q95)</f>
        <v/>
      </c>
    </row>
    <row r="96" customFormat="1" s="729">
      <c r="A96" s="573">
        <f>IF(' Impaired Loans ASC 310-10'!A96="","",' Impaired Loans ASC 310-10'!A96)</f>
        <v/>
      </c>
      <c r="B96" s="573">
        <f>IF(' Impaired Loans ASC 310-10'!B96="","",' Impaired Loans ASC 310-10'!B96)</f>
        <v/>
      </c>
      <c r="C96" s="573">
        <f>IF(' Impaired Loans ASC 310-10'!C96="","",' Impaired Loans ASC 310-10'!C96)</f>
        <v/>
      </c>
      <c r="D96" s="573">
        <f>IF(' Impaired Loans ASC 310-10'!D96="","",' Impaired Loans ASC 310-10'!D96)</f>
        <v/>
      </c>
      <c r="E96" s="574">
        <f>IF(' Impaired Loans ASC 310-10'!E96="","",' Impaired Loans ASC 310-10'!E96)</f>
        <v/>
      </c>
      <c r="F96" s="575">
        <f>IF(' Impaired Loans ASC 310-10'!F96="","",' Impaired Loans ASC 310-10'!F96)</f>
        <v/>
      </c>
      <c r="G96" s="574">
        <f>IF(' Impaired Loans ASC 310-10'!G96="","",' Impaired Loans ASC 310-10'!G96)</f>
        <v/>
      </c>
      <c r="H96" s="574">
        <f>IF(' Impaired Loans ASC 310-10'!H96="","",' Impaired Loans ASC 310-10'!H96)</f>
        <v/>
      </c>
      <c r="I96" s="574">
        <f>IF(' Impaired Loans ASC 310-10'!I96="","",' Impaired Loans ASC 310-10'!I96)</f>
        <v/>
      </c>
      <c r="J96" s="574">
        <f>IF(' Impaired Loans ASC 310-10'!J96="","",' Impaired Loans ASC 310-10'!J96)</f>
        <v/>
      </c>
      <c r="K96" s="584" t="n"/>
      <c r="L96" s="578">
        <f>IFERROR(A96,"")</f>
        <v/>
      </c>
      <c r="M96" s="849">
        <f>IF(' Impaired Loans ASC 310-10'!A96="","",' Impaired Loans ASC 310-10'!K96)</f>
        <v/>
      </c>
      <c r="N96" s="580">
        <f>IF(' Impaired Loans ASC 310-10'!A96="","",' Impaired Loans ASC 310-10'!L96)</f>
        <v/>
      </c>
      <c r="O96" s="581">
        <f>IF(' Impaired Loans ASC 310-10'!A96="","",' Impaired Loans ASC 310-10'!M96)</f>
        <v/>
      </c>
      <c r="P96" s="582">
        <f>IF(' Impaired Loans ASC 310-10'!A96="","",' Impaired Loans ASC 310-10'!O96)</f>
        <v/>
      </c>
      <c r="Q96" s="583">
        <f>IF(' Impaired Loans ASC 310-10'!A96="","",' Impaired Loans ASC 310-10'!N96)</f>
        <v/>
      </c>
      <c r="R96" s="583">
        <f>IF(' Impaired Loans ASC 310-10'!A96="","",' Impaired Loans ASC 310-10'!P96)</f>
        <v/>
      </c>
      <c r="S96" s="583">
        <f>IF(' Impaired Loans ASC 310-10'!A96="","",' Impaired Loans ASC 310-10'!Q96)</f>
        <v/>
      </c>
    </row>
    <row r="97" customFormat="1" s="729">
      <c r="A97" s="573">
        <f>IF(' Impaired Loans ASC 310-10'!A97="","",' Impaired Loans ASC 310-10'!A97)</f>
        <v/>
      </c>
      <c r="B97" s="573">
        <f>IF(' Impaired Loans ASC 310-10'!B97="","",' Impaired Loans ASC 310-10'!B97)</f>
        <v/>
      </c>
      <c r="C97" s="573">
        <f>IF(' Impaired Loans ASC 310-10'!C97="","",' Impaired Loans ASC 310-10'!C97)</f>
        <v/>
      </c>
      <c r="D97" s="573">
        <f>IF(' Impaired Loans ASC 310-10'!D97="","",' Impaired Loans ASC 310-10'!D97)</f>
        <v/>
      </c>
      <c r="E97" s="574">
        <f>IF(' Impaired Loans ASC 310-10'!E97="","",' Impaired Loans ASC 310-10'!E97)</f>
        <v/>
      </c>
      <c r="F97" s="575">
        <f>IF(' Impaired Loans ASC 310-10'!F97="","",' Impaired Loans ASC 310-10'!F97)</f>
        <v/>
      </c>
      <c r="G97" s="574">
        <f>IF(' Impaired Loans ASC 310-10'!G97="","",' Impaired Loans ASC 310-10'!G97)</f>
        <v/>
      </c>
      <c r="H97" s="574">
        <f>IF(' Impaired Loans ASC 310-10'!H97="","",' Impaired Loans ASC 310-10'!H97)</f>
        <v/>
      </c>
      <c r="I97" s="574">
        <f>IF(' Impaired Loans ASC 310-10'!I97="","",' Impaired Loans ASC 310-10'!I97)</f>
        <v/>
      </c>
      <c r="J97" s="574">
        <f>IF(' Impaired Loans ASC 310-10'!J97="","",' Impaired Loans ASC 310-10'!J97)</f>
        <v/>
      </c>
      <c r="K97" s="584" t="n"/>
      <c r="L97" s="578">
        <f>IFERROR(A97,"")</f>
        <v/>
      </c>
      <c r="M97" s="849">
        <f>IF(' Impaired Loans ASC 310-10'!A97="","",' Impaired Loans ASC 310-10'!K97)</f>
        <v/>
      </c>
      <c r="N97" s="580">
        <f>IF(' Impaired Loans ASC 310-10'!A97="","",' Impaired Loans ASC 310-10'!L97)</f>
        <v/>
      </c>
      <c r="O97" s="581">
        <f>IF(' Impaired Loans ASC 310-10'!A97="","",' Impaired Loans ASC 310-10'!M97)</f>
        <v/>
      </c>
      <c r="P97" s="582">
        <f>IF(' Impaired Loans ASC 310-10'!A97="","",' Impaired Loans ASC 310-10'!O97)</f>
        <v/>
      </c>
      <c r="Q97" s="583">
        <f>IF(' Impaired Loans ASC 310-10'!A97="","",' Impaired Loans ASC 310-10'!N97)</f>
        <v/>
      </c>
      <c r="R97" s="583">
        <f>IF(' Impaired Loans ASC 310-10'!A97="","",' Impaired Loans ASC 310-10'!P97)</f>
        <v/>
      </c>
      <c r="S97" s="583">
        <f>IF(' Impaired Loans ASC 310-10'!A97="","",' Impaired Loans ASC 310-10'!Q97)</f>
        <v/>
      </c>
    </row>
    <row r="98" customFormat="1" s="729">
      <c r="A98" s="573">
        <f>IF(' Impaired Loans ASC 310-10'!A98="","",' Impaired Loans ASC 310-10'!A98)</f>
        <v/>
      </c>
      <c r="B98" s="573">
        <f>IF(' Impaired Loans ASC 310-10'!B98="","",' Impaired Loans ASC 310-10'!B98)</f>
        <v/>
      </c>
      <c r="C98" s="573">
        <f>IF(' Impaired Loans ASC 310-10'!C98="","",' Impaired Loans ASC 310-10'!C98)</f>
        <v/>
      </c>
      <c r="D98" s="573">
        <f>IF(' Impaired Loans ASC 310-10'!D98="","",' Impaired Loans ASC 310-10'!D98)</f>
        <v/>
      </c>
      <c r="E98" s="574">
        <f>IF(' Impaired Loans ASC 310-10'!E98="","",' Impaired Loans ASC 310-10'!E98)</f>
        <v/>
      </c>
      <c r="F98" s="575">
        <f>IF(' Impaired Loans ASC 310-10'!F98="","",' Impaired Loans ASC 310-10'!F98)</f>
        <v/>
      </c>
      <c r="G98" s="574">
        <f>IF(' Impaired Loans ASC 310-10'!G98="","",' Impaired Loans ASC 310-10'!G98)</f>
        <v/>
      </c>
      <c r="H98" s="574">
        <f>IF(' Impaired Loans ASC 310-10'!H98="","",' Impaired Loans ASC 310-10'!H98)</f>
        <v/>
      </c>
      <c r="I98" s="574">
        <f>IF(' Impaired Loans ASC 310-10'!I98="","",' Impaired Loans ASC 310-10'!I98)</f>
        <v/>
      </c>
      <c r="J98" s="574">
        <f>IF(' Impaired Loans ASC 310-10'!J98="","",' Impaired Loans ASC 310-10'!J98)</f>
        <v/>
      </c>
      <c r="K98" s="584" t="n"/>
      <c r="L98" s="578">
        <f>IFERROR(A98,"")</f>
        <v/>
      </c>
      <c r="M98" s="849">
        <f>IF(' Impaired Loans ASC 310-10'!A98="","",' Impaired Loans ASC 310-10'!K98)</f>
        <v/>
      </c>
      <c r="N98" s="580">
        <f>IF(' Impaired Loans ASC 310-10'!A98="","",' Impaired Loans ASC 310-10'!L98)</f>
        <v/>
      </c>
      <c r="O98" s="581">
        <f>IF(' Impaired Loans ASC 310-10'!A98="","",' Impaired Loans ASC 310-10'!M98)</f>
        <v/>
      </c>
      <c r="P98" s="582">
        <f>IF(' Impaired Loans ASC 310-10'!A98="","",' Impaired Loans ASC 310-10'!O98)</f>
        <v/>
      </c>
      <c r="Q98" s="583">
        <f>IF(' Impaired Loans ASC 310-10'!A98="","",' Impaired Loans ASC 310-10'!N98)</f>
        <v/>
      </c>
      <c r="R98" s="583">
        <f>IF(' Impaired Loans ASC 310-10'!A98="","",' Impaired Loans ASC 310-10'!P98)</f>
        <v/>
      </c>
      <c r="S98" s="583">
        <f>IF(' Impaired Loans ASC 310-10'!A98="","",' Impaired Loans ASC 310-10'!Q98)</f>
        <v/>
      </c>
    </row>
    <row r="99" customFormat="1" s="729">
      <c r="A99" s="573">
        <f>IF(' Impaired Loans ASC 310-10'!A99="","",' Impaired Loans ASC 310-10'!A99)</f>
        <v/>
      </c>
      <c r="B99" s="573">
        <f>IF(' Impaired Loans ASC 310-10'!B99="","",' Impaired Loans ASC 310-10'!B99)</f>
        <v/>
      </c>
      <c r="C99" s="573">
        <f>IF(' Impaired Loans ASC 310-10'!C99="","",' Impaired Loans ASC 310-10'!C99)</f>
        <v/>
      </c>
      <c r="D99" s="573">
        <f>IF(' Impaired Loans ASC 310-10'!D99="","",' Impaired Loans ASC 310-10'!D99)</f>
        <v/>
      </c>
      <c r="E99" s="574">
        <f>IF(' Impaired Loans ASC 310-10'!E99="","",' Impaired Loans ASC 310-10'!E99)</f>
        <v/>
      </c>
      <c r="F99" s="575">
        <f>IF(' Impaired Loans ASC 310-10'!F99="","",' Impaired Loans ASC 310-10'!F99)</f>
        <v/>
      </c>
      <c r="G99" s="574">
        <f>IF(' Impaired Loans ASC 310-10'!G99="","",' Impaired Loans ASC 310-10'!G99)</f>
        <v/>
      </c>
      <c r="H99" s="574">
        <f>IF(' Impaired Loans ASC 310-10'!H99="","",' Impaired Loans ASC 310-10'!H99)</f>
        <v/>
      </c>
      <c r="I99" s="574">
        <f>IF(' Impaired Loans ASC 310-10'!I99="","",' Impaired Loans ASC 310-10'!I99)</f>
        <v/>
      </c>
      <c r="J99" s="574">
        <f>IF(' Impaired Loans ASC 310-10'!J99="","",' Impaired Loans ASC 310-10'!J99)</f>
        <v/>
      </c>
      <c r="K99" s="584" t="n"/>
      <c r="L99" s="578">
        <f>IFERROR(A99,"")</f>
        <v/>
      </c>
      <c r="M99" s="849">
        <f>IF(' Impaired Loans ASC 310-10'!A99="","",' Impaired Loans ASC 310-10'!K99)</f>
        <v/>
      </c>
      <c r="N99" s="580">
        <f>IF(' Impaired Loans ASC 310-10'!A99="","",' Impaired Loans ASC 310-10'!L99)</f>
        <v/>
      </c>
      <c r="O99" s="581">
        <f>IF(' Impaired Loans ASC 310-10'!A99="","",' Impaired Loans ASC 310-10'!M99)</f>
        <v/>
      </c>
      <c r="P99" s="582">
        <f>IF(' Impaired Loans ASC 310-10'!A99="","",' Impaired Loans ASC 310-10'!O99)</f>
        <v/>
      </c>
      <c r="Q99" s="583">
        <f>IF(' Impaired Loans ASC 310-10'!A99="","",' Impaired Loans ASC 310-10'!N99)</f>
        <v/>
      </c>
      <c r="R99" s="583">
        <f>IF(' Impaired Loans ASC 310-10'!A99="","",' Impaired Loans ASC 310-10'!P99)</f>
        <v/>
      </c>
      <c r="S99" s="583">
        <f>IF(' Impaired Loans ASC 310-10'!A99="","",' Impaired Loans ASC 310-10'!Q99)</f>
        <v/>
      </c>
    </row>
    <row r="100" customFormat="1" s="729">
      <c r="A100" s="573">
        <f>IF(' Impaired Loans ASC 310-10'!A100="","",' Impaired Loans ASC 310-10'!A100)</f>
        <v/>
      </c>
      <c r="B100" s="573">
        <f>IF(' Impaired Loans ASC 310-10'!B100="","",' Impaired Loans ASC 310-10'!B100)</f>
        <v/>
      </c>
      <c r="C100" s="573">
        <f>IF(' Impaired Loans ASC 310-10'!C100="","",' Impaired Loans ASC 310-10'!C100)</f>
        <v/>
      </c>
      <c r="D100" s="573">
        <f>IF(' Impaired Loans ASC 310-10'!D100="","",' Impaired Loans ASC 310-10'!D100)</f>
        <v/>
      </c>
      <c r="E100" s="574">
        <f>IF(' Impaired Loans ASC 310-10'!E100="","",' Impaired Loans ASC 310-10'!E100)</f>
        <v/>
      </c>
      <c r="F100" s="575">
        <f>IF(' Impaired Loans ASC 310-10'!F100="","",' Impaired Loans ASC 310-10'!F100)</f>
        <v/>
      </c>
      <c r="G100" s="574">
        <f>IF(' Impaired Loans ASC 310-10'!G100="","",' Impaired Loans ASC 310-10'!G100)</f>
        <v/>
      </c>
      <c r="H100" s="574">
        <f>IF(' Impaired Loans ASC 310-10'!H100="","",' Impaired Loans ASC 310-10'!H100)</f>
        <v/>
      </c>
      <c r="I100" s="574">
        <f>IF(' Impaired Loans ASC 310-10'!I100="","",' Impaired Loans ASC 310-10'!I100)</f>
        <v/>
      </c>
      <c r="J100" s="574">
        <f>IF(' Impaired Loans ASC 310-10'!J100="","",' Impaired Loans ASC 310-10'!J100)</f>
        <v/>
      </c>
      <c r="K100" s="584" t="n"/>
      <c r="L100" s="578">
        <f>IFERROR(A100,"")</f>
        <v/>
      </c>
      <c r="M100" s="849">
        <f>IF(' Impaired Loans ASC 310-10'!A100="","",' Impaired Loans ASC 310-10'!K100)</f>
        <v/>
      </c>
      <c r="N100" s="580">
        <f>IF(' Impaired Loans ASC 310-10'!A100="","",' Impaired Loans ASC 310-10'!L100)</f>
        <v/>
      </c>
      <c r="O100" s="581">
        <f>IF(' Impaired Loans ASC 310-10'!A100="","",' Impaired Loans ASC 310-10'!M100)</f>
        <v/>
      </c>
      <c r="P100" s="582">
        <f>IF(' Impaired Loans ASC 310-10'!A100="","",' Impaired Loans ASC 310-10'!O100)</f>
        <v/>
      </c>
      <c r="Q100" s="583">
        <f>IF(' Impaired Loans ASC 310-10'!A100="","",' Impaired Loans ASC 310-10'!N100)</f>
        <v/>
      </c>
      <c r="R100" s="583">
        <f>IF(' Impaired Loans ASC 310-10'!A100="","",' Impaired Loans ASC 310-10'!P100)</f>
        <v/>
      </c>
      <c r="S100" s="583">
        <f>IF(' Impaired Loans ASC 310-10'!A100="","",' Impaired Loans ASC 310-10'!Q100)</f>
        <v/>
      </c>
    </row>
    <row r="101" customFormat="1" s="729">
      <c r="A101" s="573">
        <f>IF(' Impaired Loans ASC 310-10'!A101="","",' Impaired Loans ASC 310-10'!A101)</f>
        <v/>
      </c>
      <c r="B101" s="573">
        <f>IF(' Impaired Loans ASC 310-10'!B101="","",' Impaired Loans ASC 310-10'!B101)</f>
        <v/>
      </c>
      <c r="C101" s="573">
        <f>IF(' Impaired Loans ASC 310-10'!C101="","",' Impaired Loans ASC 310-10'!C101)</f>
        <v/>
      </c>
      <c r="D101" s="573">
        <f>IF(' Impaired Loans ASC 310-10'!D101="","",' Impaired Loans ASC 310-10'!D101)</f>
        <v/>
      </c>
      <c r="E101" s="574">
        <f>IF(' Impaired Loans ASC 310-10'!E101="","",' Impaired Loans ASC 310-10'!E101)</f>
        <v/>
      </c>
      <c r="F101" s="575">
        <f>IF(' Impaired Loans ASC 310-10'!F101="","",' Impaired Loans ASC 310-10'!F101)</f>
        <v/>
      </c>
      <c r="G101" s="574">
        <f>IF(' Impaired Loans ASC 310-10'!G101="","",' Impaired Loans ASC 310-10'!G101)</f>
        <v/>
      </c>
      <c r="H101" s="574">
        <f>IF(' Impaired Loans ASC 310-10'!H101="","",' Impaired Loans ASC 310-10'!H101)</f>
        <v/>
      </c>
      <c r="I101" s="574">
        <f>IF(' Impaired Loans ASC 310-10'!I101="","",' Impaired Loans ASC 310-10'!I101)</f>
        <v/>
      </c>
      <c r="J101" s="574">
        <f>IF(' Impaired Loans ASC 310-10'!J101="","",' Impaired Loans ASC 310-10'!J101)</f>
        <v/>
      </c>
      <c r="K101" s="584" t="n"/>
      <c r="L101" s="578">
        <f>IFERROR(A101,"")</f>
        <v/>
      </c>
      <c r="M101" s="849">
        <f>IF(' Impaired Loans ASC 310-10'!A101="","",' Impaired Loans ASC 310-10'!K101)</f>
        <v/>
      </c>
      <c r="N101" s="580">
        <f>IF(' Impaired Loans ASC 310-10'!A101="","",' Impaired Loans ASC 310-10'!L101)</f>
        <v/>
      </c>
      <c r="O101" s="581">
        <f>IF(' Impaired Loans ASC 310-10'!A101="","",' Impaired Loans ASC 310-10'!M101)</f>
        <v/>
      </c>
      <c r="P101" s="582">
        <f>IF(' Impaired Loans ASC 310-10'!A101="","",' Impaired Loans ASC 310-10'!O101)</f>
        <v/>
      </c>
      <c r="Q101" s="583">
        <f>IF(' Impaired Loans ASC 310-10'!A101="","",' Impaired Loans ASC 310-10'!N101)</f>
        <v/>
      </c>
      <c r="R101" s="583">
        <f>IF(' Impaired Loans ASC 310-10'!A101="","",' Impaired Loans ASC 310-10'!P101)</f>
        <v/>
      </c>
      <c r="S101" s="583">
        <f>IF(' Impaired Loans ASC 310-10'!A101="","",' Impaired Loans ASC 310-10'!Q101)</f>
        <v/>
      </c>
    </row>
    <row r="102" customFormat="1" s="729">
      <c r="A102" s="573">
        <f>IF(' Impaired Loans ASC 310-10'!A102="","",' Impaired Loans ASC 310-10'!A102)</f>
        <v/>
      </c>
      <c r="B102" s="573">
        <f>IF(' Impaired Loans ASC 310-10'!B102="","",' Impaired Loans ASC 310-10'!B102)</f>
        <v/>
      </c>
      <c r="C102" s="573">
        <f>IF(' Impaired Loans ASC 310-10'!C102="","",' Impaired Loans ASC 310-10'!C102)</f>
        <v/>
      </c>
      <c r="D102" s="573">
        <f>IF(' Impaired Loans ASC 310-10'!D102="","",' Impaired Loans ASC 310-10'!D102)</f>
        <v/>
      </c>
      <c r="E102" s="574">
        <f>IF(' Impaired Loans ASC 310-10'!E102="","",' Impaired Loans ASC 310-10'!E102)</f>
        <v/>
      </c>
      <c r="F102" s="575">
        <f>IF(' Impaired Loans ASC 310-10'!F102="","",' Impaired Loans ASC 310-10'!F102)</f>
        <v/>
      </c>
      <c r="G102" s="574">
        <f>IF(' Impaired Loans ASC 310-10'!G102="","",' Impaired Loans ASC 310-10'!G102)</f>
        <v/>
      </c>
      <c r="H102" s="574">
        <f>IF(' Impaired Loans ASC 310-10'!H102="","",' Impaired Loans ASC 310-10'!H102)</f>
        <v/>
      </c>
      <c r="I102" s="574">
        <f>IF(' Impaired Loans ASC 310-10'!I102="","",' Impaired Loans ASC 310-10'!I102)</f>
        <v/>
      </c>
      <c r="J102" s="574">
        <f>IF(' Impaired Loans ASC 310-10'!J102="","",' Impaired Loans ASC 310-10'!J102)</f>
        <v/>
      </c>
      <c r="K102" s="584" t="n"/>
      <c r="L102" s="578">
        <f>IFERROR(A102,"")</f>
        <v/>
      </c>
      <c r="M102" s="849">
        <f>IF(' Impaired Loans ASC 310-10'!A102="","",' Impaired Loans ASC 310-10'!K102)</f>
        <v/>
      </c>
      <c r="N102" s="580">
        <f>IF(' Impaired Loans ASC 310-10'!A102="","",' Impaired Loans ASC 310-10'!L102)</f>
        <v/>
      </c>
      <c r="O102" s="581">
        <f>IF(' Impaired Loans ASC 310-10'!A102="","",' Impaired Loans ASC 310-10'!M102)</f>
        <v/>
      </c>
      <c r="P102" s="582">
        <f>IF(' Impaired Loans ASC 310-10'!A102="","",' Impaired Loans ASC 310-10'!O102)</f>
        <v/>
      </c>
      <c r="Q102" s="583">
        <f>IF(' Impaired Loans ASC 310-10'!A102="","",' Impaired Loans ASC 310-10'!N102)</f>
        <v/>
      </c>
      <c r="R102" s="583">
        <f>IF(' Impaired Loans ASC 310-10'!A102="","",' Impaired Loans ASC 310-10'!P102)</f>
        <v/>
      </c>
      <c r="S102" s="583">
        <f>IF(' Impaired Loans ASC 310-10'!A102="","",' Impaired Loans ASC 310-10'!Q102)</f>
        <v/>
      </c>
    </row>
    <row r="103" customFormat="1" s="729">
      <c r="A103" s="573">
        <f>IF(' Impaired Loans ASC 310-10'!A103="","",' Impaired Loans ASC 310-10'!A103)</f>
        <v/>
      </c>
      <c r="B103" s="573">
        <f>IF(' Impaired Loans ASC 310-10'!B103="","",' Impaired Loans ASC 310-10'!B103)</f>
        <v/>
      </c>
      <c r="C103" s="573">
        <f>IF(' Impaired Loans ASC 310-10'!C103="","",' Impaired Loans ASC 310-10'!C103)</f>
        <v/>
      </c>
      <c r="D103" s="573">
        <f>IF(' Impaired Loans ASC 310-10'!D103="","",' Impaired Loans ASC 310-10'!D103)</f>
        <v/>
      </c>
      <c r="E103" s="574">
        <f>IF(' Impaired Loans ASC 310-10'!E103="","",' Impaired Loans ASC 310-10'!E103)</f>
        <v/>
      </c>
      <c r="F103" s="575">
        <f>IF(' Impaired Loans ASC 310-10'!F103="","",' Impaired Loans ASC 310-10'!F103)</f>
        <v/>
      </c>
      <c r="G103" s="574">
        <f>IF(' Impaired Loans ASC 310-10'!G103="","",' Impaired Loans ASC 310-10'!G103)</f>
        <v/>
      </c>
      <c r="H103" s="574">
        <f>IF(' Impaired Loans ASC 310-10'!H103="","",' Impaired Loans ASC 310-10'!H103)</f>
        <v/>
      </c>
      <c r="I103" s="574">
        <f>IF(' Impaired Loans ASC 310-10'!I103="","",' Impaired Loans ASC 310-10'!I103)</f>
        <v/>
      </c>
      <c r="J103" s="574">
        <f>IF(' Impaired Loans ASC 310-10'!J103="","",' Impaired Loans ASC 310-10'!J103)</f>
        <v/>
      </c>
      <c r="K103" s="584" t="n"/>
      <c r="L103" s="578">
        <f>IFERROR(A103,"")</f>
        <v/>
      </c>
      <c r="M103" s="849">
        <f>IF(' Impaired Loans ASC 310-10'!A103="","",' Impaired Loans ASC 310-10'!K103)</f>
        <v/>
      </c>
      <c r="N103" s="580">
        <f>IF(' Impaired Loans ASC 310-10'!A103="","",' Impaired Loans ASC 310-10'!L103)</f>
        <v/>
      </c>
      <c r="O103" s="581">
        <f>IF(' Impaired Loans ASC 310-10'!A103="","",' Impaired Loans ASC 310-10'!M103)</f>
        <v/>
      </c>
      <c r="P103" s="582">
        <f>IF(' Impaired Loans ASC 310-10'!A103="","",' Impaired Loans ASC 310-10'!O103)</f>
        <v/>
      </c>
      <c r="Q103" s="583">
        <f>IF(' Impaired Loans ASC 310-10'!A103="","",' Impaired Loans ASC 310-10'!N103)</f>
        <v/>
      </c>
      <c r="R103" s="583">
        <f>IF(' Impaired Loans ASC 310-10'!A103="","",' Impaired Loans ASC 310-10'!P103)</f>
        <v/>
      </c>
      <c r="S103" s="583">
        <f>IF(' Impaired Loans ASC 310-10'!A103="","",' Impaired Loans ASC 310-10'!Q103)</f>
        <v/>
      </c>
    </row>
    <row r="104" customFormat="1" s="729">
      <c r="A104" s="573">
        <f>IF(' Impaired Loans ASC 310-10'!A104="","",' Impaired Loans ASC 310-10'!A104)</f>
        <v/>
      </c>
      <c r="B104" s="573">
        <f>IF(' Impaired Loans ASC 310-10'!B104="","",' Impaired Loans ASC 310-10'!B104)</f>
        <v/>
      </c>
      <c r="C104" s="573">
        <f>IF(' Impaired Loans ASC 310-10'!C104="","",' Impaired Loans ASC 310-10'!C104)</f>
        <v/>
      </c>
      <c r="D104" s="573">
        <f>IF(' Impaired Loans ASC 310-10'!D104="","",' Impaired Loans ASC 310-10'!D104)</f>
        <v/>
      </c>
      <c r="E104" s="574">
        <f>IF(' Impaired Loans ASC 310-10'!E104="","",' Impaired Loans ASC 310-10'!E104)</f>
        <v/>
      </c>
      <c r="F104" s="575">
        <f>IF(' Impaired Loans ASC 310-10'!F104="","",' Impaired Loans ASC 310-10'!F104)</f>
        <v/>
      </c>
      <c r="G104" s="574">
        <f>IF(' Impaired Loans ASC 310-10'!G104="","",' Impaired Loans ASC 310-10'!G104)</f>
        <v/>
      </c>
      <c r="H104" s="574">
        <f>IF(' Impaired Loans ASC 310-10'!H104="","",' Impaired Loans ASC 310-10'!H104)</f>
        <v/>
      </c>
      <c r="I104" s="574">
        <f>IF(' Impaired Loans ASC 310-10'!I104="","",' Impaired Loans ASC 310-10'!I104)</f>
        <v/>
      </c>
      <c r="J104" s="574">
        <f>IF(' Impaired Loans ASC 310-10'!J104="","",' Impaired Loans ASC 310-10'!J104)</f>
        <v/>
      </c>
      <c r="K104" s="584" t="n"/>
      <c r="L104" s="578">
        <f>IFERROR(A104,"")</f>
        <v/>
      </c>
      <c r="M104" s="849">
        <f>IF(' Impaired Loans ASC 310-10'!A104="","",' Impaired Loans ASC 310-10'!K104)</f>
        <v/>
      </c>
      <c r="N104" s="580">
        <f>IF(' Impaired Loans ASC 310-10'!A104="","",' Impaired Loans ASC 310-10'!L104)</f>
        <v/>
      </c>
      <c r="O104" s="581">
        <f>IF(' Impaired Loans ASC 310-10'!A104="","",' Impaired Loans ASC 310-10'!M104)</f>
        <v/>
      </c>
      <c r="P104" s="582">
        <f>IF(' Impaired Loans ASC 310-10'!A104="","",' Impaired Loans ASC 310-10'!O104)</f>
        <v/>
      </c>
      <c r="Q104" s="583">
        <f>IF(' Impaired Loans ASC 310-10'!A104="","",' Impaired Loans ASC 310-10'!N104)</f>
        <v/>
      </c>
      <c r="R104" s="583">
        <f>IF(' Impaired Loans ASC 310-10'!A104="","",' Impaired Loans ASC 310-10'!P104)</f>
        <v/>
      </c>
      <c r="S104" s="583">
        <f>IF(' Impaired Loans ASC 310-10'!A104="","",' Impaired Loans ASC 310-10'!Q104)</f>
        <v/>
      </c>
    </row>
    <row r="105" customFormat="1" s="729">
      <c r="A105" s="573">
        <f>IF(' Impaired Loans ASC 310-10'!A105="","",' Impaired Loans ASC 310-10'!A105)</f>
        <v/>
      </c>
      <c r="B105" s="573">
        <f>IF(' Impaired Loans ASC 310-10'!B105="","",' Impaired Loans ASC 310-10'!B105)</f>
        <v/>
      </c>
      <c r="C105" s="573">
        <f>IF(' Impaired Loans ASC 310-10'!C105="","",' Impaired Loans ASC 310-10'!C105)</f>
        <v/>
      </c>
      <c r="D105" s="573">
        <f>IF(' Impaired Loans ASC 310-10'!D105="","",' Impaired Loans ASC 310-10'!D105)</f>
        <v/>
      </c>
      <c r="E105" s="574">
        <f>IF(' Impaired Loans ASC 310-10'!E105="","",' Impaired Loans ASC 310-10'!E105)</f>
        <v/>
      </c>
      <c r="F105" s="575">
        <f>IF(' Impaired Loans ASC 310-10'!F105="","",' Impaired Loans ASC 310-10'!F105)</f>
        <v/>
      </c>
      <c r="G105" s="574">
        <f>IF(' Impaired Loans ASC 310-10'!G105="","",' Impaired Loans ASC 310-10'!G105)</f>
        <v/>
      </c>
      <c r="H105" s="574">
        <f>IF(' Impaired Loans ASC 310-10'!H105="","",' Impaired Loans ASC 310-10'!H105)</f>
        <v/>
      </c>
      <c r="I105" s="574">
        <f>IF(' Impaired Loans ASC 310-10'!I105="","",' Impaired Loans ASC 310-10'!I105)</f>
        <v/>
      </c>
      <c r="J105" s="574">
        <f>IF(' Impaired Loans ASC 310-10'!J105="","",' Impaired Loans ASC 310-10'!J105)</f>
        <v/>
      </c>
      <c r="K105" s="584" t="n"/>
      <c r="L105" s="578">
        <f>IFERROR(A105,"")</f>
        <v/>
      </c>
      <c r="M105" s="849">
        <f>IF(' Impaired Loans ASC 310-10'!A105="","",' Impaired Loans ASC 310-10'!K105)</f>
        <v/>
      </c>
      <c r="N105" s="580">
        <f>IF(' Impaired Loans ASC 310-10'!A105="","",' Impaired Loans ASC 310-10'!L105)</f>
        <v/>
      </c>
      <c r="O105" s="581">
        <f>IF(' Impaired Loans ASC 310-10'!A105="","",' Impaired Loans ASC 310-10'!M105)</f>
        <v/>
      </c>
      <c r="P105" s="582">
        <f>IF(' Impaired Loans ASC 310-10'!A105="","",' Impaired Loans ASC 310-10'!O105)</f>
        <v/>
      </c>
      <c r="Q105" s="583">
        <f>IF(' Impaired Loans ASC 310-10'!A105="","",' Impaired Loans ASC 310-10'!N105)</f>
        <v/>
      </c>
      <c r="R105" s="583">
        <f>IF(' Impaired Loans ASC 310-10'!A105="","",' Impaired Loans ASC 310-10'!P105)</f>
        <v/>
      </c>
      <c r="S105" s="583">
        <f>IF(' Impaired Loans ASC 310-10'!A105="","",' Impaired Loans ASC 310-10'!Q105)</f>
        <v/>
      </c>
    </row>
    <row r="106" customFormat="1" s="729">
      <c r="A106" s="573">
        <f>IF(' Impaired Loans ASC 310-10'!A106="","",' Impaired Loans ASC 310-10'!A106)</f>
        <v/>
      </c>
      <c r="B106" s="573">
        <f>IF(' Impaired Loans ASC 310-10'!B106="","",' Impaired Loans ASC 310-10'!B106)</f>
        <v/>
      </c>
      <c r="C106" s="573">
        <f>IF(' Impaired Loans ASC 310-10'!C106="","",' Impaired Loans ASC 310-10'!C106)</f>
        <v/>
      </c>
      <c r="D106" s="573">
        <f>IF(' Impaired Loans ASC 310-10'!D106="","",' Impaired Loans ASC 310-10'!D106)</f>
        <v/>
      </c>
      <c r="E106" s="574">
        <f>IF(' Impaired Loans ASC 310-10'!E106="","",' Impaired Loans ASC 310-10'!E106)</f>
        <v/>
      </c>
      <c r="F106" s="575">
        <f>IF(' Impaired Loans ASC 310-10'!F106="","",' Impaired Loans ASC 310-10'!F106)</f>
        <v/>
      </c>
      <c r="G106" s="574">
        <f>IF(' Impaired Loans ASC 310-10'!G106="","",' Impaired Loans ASC 310-10'!G106)</f>
        <v/>
      </c>
      <c r="H106" s="574">
        <f>IF(' Impaired Loans ASC 310-10'!H106="","",' Impaired Loans ASC 310-10'!H106)</f>
        <v/>
      </c>
      <c r="I106" s="574">
        <f>IF(' Impaired Loans ASC 310-10'!I106="","",' Impaired Loans ASC 310-10'!I106)</f>
        <v/>
      </c>
      <c r="J106" s="574">
        <f>IF(' Impaired Loans ASC 310-10'!J106="","",' Impaired Loans ASC 310-10'!J106)</f>
        <v/>
      </c>
      <c r="K106" s="584" t="n"/>
      <c r="L106" s="578">
        <f>IFERROR(A106,"")</f>
        <v/>
      </c>
      <c r="M106" s="849">
        <f>IF(' Impaired Loans ASC 310-10'!A106="","",' Impaired Loans ASC 310-10'!K106)</f>
        <v/>
      </c>
      <c r="N106" s="580">
        <f>IF(' Impaired Loans ASC 310-10'!A106="","",' Impaired Loans ASC 310-10'!L106)</f>
        <v/>
      </c>
      <c r="O106" s="581">
        <f>IF(' Impaired Loans ASC 310-10'!A106="","",' Impaired Loans ASC 310-10'!M106)</f>
        <v/>
      </c>
      <c r="P106" s="582">
        <f>IF(' Impaired Loans ASC 310-10'!A106="","",' Impaired Loans ASC 310-10'!O106)</f>
        <v/>
      </c>
      <c r="Q106" s="583">
        <f>IF(' Impaired Loans ASC 310-10'!A106="","",' Impaired Loans ASC 310-10'!N106)</f>
        <v/>
      </c>
      <c r="R106" s="583">
        <f>IF(' Impaired Loans ASC 310-10'!A106="","",' Impaired Loans ASC 310-10'!P106)</f>
        <v/>
      </c>
      <c r="S106" s="583">
        <f>IF(' Impaired Loans ASC 310-10'!A106="","",' Impaired Loans ASC 310-10'!Q106)</f>
        <v/>
      </c>
    </row>
    <row r="107" customFormat="1" s="729">
      <c r="A107" s="573">
        <f>IF(' Impaired Loans ASC 310-10'!A107="","",' Impaired Loans ASC 310-10'!A107)</f>
        <v/>
      </c>
      <c r="B107" s="573">
        <f>IF(' Impaired Loans ASC 310-10'!B107="","",' Impaired Loans ASC 310-10'!B107)</f>
        <v/>
      </c>
      <c r="C107" s="573">
        <f>IF(' Impaired Loans ASC 310-10'!C107="","",' Impaired Loans ASC 310-10'!C107)</f>
        <v/>
      </c>
      <c r="D107" s="573">
        <f>IF(' Impaired Loans ASC 310-10'!D107="","",' Impaired Loans ASC 310-10'!D107)</f>
        <v/>
      </c>
      <c r="E107" s="574">
        <f>IF(' Impaired Loans ASC 310-10'!E107="","",' Impaired Loans ASC 310-10'!E107)</f>
        <v/>
      </c>
      <c r="F107" s="575">
        <f>IF(' Impaired Loans ASC 310-10'!F107="","",' Impaired Loans ASC 310-10'!F107)</f>
        <v/>
      </c>
      <c r="G107" s="574">
        <f>IF(' Impaired Loans ASC 310-10'!G107="","",' Impaired Loans ASC 310-10'!G107)</f>
        <v/>
      </c>
      <c r="H107" s="574">
        <f>IF(' Impaired Loans ASC 310-10'!H107="","",' Impaired Loans ASC 310-10'!H107)</f>
        <v/>
      </c>
      <c r="I107" s="574">
        <f>IF(' Impaired Loans ASC 310-10'!I107="","",' Impaired Loans ASC 310-10'!I107)</f>
        <v/>
      </c>
      <c r="J107" s="574">
        <f>IF(' Impaired Loans ASC 310-10'!J107="","",' Impaired Loans ASC 310-10'!J107)</f>
        <v/>
      </c>
      <c r="K107" s="584" t="n"/>
      <c r="L107" s="578">
        <f>IFERROR(A107,"")</f>
        <v/>
      </c>
      <c r="M107" s="849">
        <f>IF(' Impaired Loans ASC 310-10'!A107="","",' Impaired Loans ASC 310-10'!K107)</f>
        <v/>
      </c>
      <c r="N107" s="580">
        <f>IF(' Impaired Loans ASC 310-10'!A107="","",' Impaired Loans ASC 310-10'!L107)</f>
        <v/>
      </c>
      <c r="O107" s="581">
        <f>IF(' Impaired Loans ASC 310-10'!A107="","",' Impaired Loans ASC 310-10'!M107)</f>
        <v/>
      </c>
      <c r="P107" s="582">
        <f>IF(' Impaired Loans ASC 310-10'!A107="","",' Impaired Loans ASC 310-10'!O107)</f>
        <v/>
      </c>
      <c r="Q107" s="583">
        <f>IF(' Impaired Loans ASC 310-10'!A107="","",' Impaired Loans ASC 310-10'!N107)</f>
        <v/>
      </c>
      <c r="R107" s="583">
        <f>IF(' Impaired Loans ASC 310-10'!A107="","",' Impaired Loans ASC 310-10'!P107)</f>
        <v/>
      </c>
      <c r="S107" s="583">
        <f>IF(' Impaired Loans ASC 310-10'!A107="","",' Impaired Loans ASC 310-10'!Q107)</f>
        <v/>
      </c>
    </row>
    <row r="108" customFormat="1" s="729">
      <c r="A108" s="573">
        <f>IF(' Impaired Loans ASC 310-10'!A108="","",' Impaired Loans ASC 310-10'!A108)</f>
        <v/>
      </c>
      <c r="B108" s="573">
        <f>IF(' Impaired Loans ASC 310-10'!B108="","",' Impaired Loans ASC 310-10'!B108)</f>
        <v/>
      </c>
      <c r="C108" s="573">
        <f>IF(' Impaired Loans ASC 310-10'!C108="","",' Impaired Loans ASC 310-10'!C108)</f>
        <v/>
      </c>
      <c r="D108" s="573">
        <f>IF(' Impaired Loans ASC 310-10'!D108="","",' Impaired Loans ASC 310-10'!D108)</f>
        <v/>
      </c>
      <c r="E108" s="574">
        <f>IF(' Impaired Loans ASC 310-10'!E108="","",' Impaired Loans ASC 310-10'!E108)</f>
        <v/>
      </c>
      <c r="F108" s="575">
        <f>IF(' Impaired Loans ASC 310-10'!F108="","",' Impaired Loans ASC 310-10'!F108)</f>
        <v/>
      </c>
      <c r="G108" s="574">
        <f>IF(' Impaired Loans ASC 310-10'!G108="","",' Impaired Loans ASC 310-10'!G108)</f>
        <v/>
      </c>
      <c r="H108" s="574">
        <f>IF(' Impaired Loans ASC 310-10'!H108="","",' Impaired Loans ASC 310-10'!H108)</f>
        <v/>
      </c>
      <c r="I108" s="574">
        <f>IF(' Impaired Loans ASC 310-10'!I108="","",' Impaired Loans ASC 310-10'!I108)</f>
        <v/>
      </c>
      <c r="J108" s="574">
        <f>IF(' Impaired Loans ASC 310-10'!J108="","",' Impaired Loans ASC 310-10'!J108)</f>
        <v/>
      </c>
      <c r="K108" s="584" t="n"/>
      <c r="L108" s="578">
        <f>IFERROR(A108,"")</f>
        <v/>
      </c>
      <c r="M108" s="849">
        <f>IF(' Impaired Loans ASC 310-10'!A108="","",' Impaired Loans ASC 310-10'!K108)</f>
        <v/>
      </c>
      <c r="N108" s="580">
        <f>IF(' Impaired Loans ASC 310-10'!A108="","",' Impaired Loans ASC 310-10'!L108)</f>
        <v/>
      </c>
      <c r="O108" s="581">
        <f>IF(' Impaired Loans ASC 310-10'!A108="","",' Impaired Loans ASC 310-10'!M108)</f>
        <v/>
      </c>
      <c r="P108" s="582">
        <f>IF(' Impaired Loans ASC 310-10'!A108="","",' Impaired Loans ASC 310-10'!O108)</f>
        <v/>
      </c>
      <c r="Q108" s="583">
        <f>IF(' Impaired Loans ASC 310-10'!A108="","",' Impaired Loans ASC 310-10'!N108)</f>
        <v/>
      </c>
      <c r="R108" s="583">
        <f>IF(' Impaired Loans ASC 310-10'!A108="","",' Impaired Loans ASC 310-10'!P108)</f>
        <v/>
      </c>
      <c r="S108" s="583">
        <f>IF(' Impaired Loans ASC 310-10'!A108="","",' Impaired Loans ASC 310-10'!Q108)</f>
        <v/>
      </c>
    </row>
    <row r="109" customFormat="1" s="729">
      <c r="A109" s="573">
        <f>IF(' Impaired Loans ASC 310-10'!A109="","",' Impaired Loans ASC 310-10'!A109)</f>
        <v/>
      </c>
      <c r="B109" s="573">
        <f>IF(' Impaired Loans ASC 310-10'!B109="","",' Impaired Loans ASC 310-10'!B109)</f>
        <v/>
      </c>
      <c r="C109" s="573">
        <f>IF(' Impaired Loans ASC 310-10'!C109="","",' Impaired Loans ASC 310-10'!C109)</f>
        <v/>
      </c>
      <c r="D109" s="573">
        <f>IF(' Impaired Loans ASC 310-10'!D109="","",' Impaired Loans ASC 310-10'!D109)</f>
        <v/>
      </c>
      <c r="E109" s="574">
        <f>IF(' Impaired Loans ASC 310-10'!E109="","",' Impaired Loans ASC 310-10'!E109)</f>
        <v/>
      </c>
      <c r="F109" s="575">
        <f>IF(' Impaired Loans ASC 310-10'!F109="","",' Impaired Loans ASC 310-10'!F109)</f>
        <v/>
      </c>
      <c r="G109" s="574">
        <f>IF(' Impaired Loans ASC 310-10'!G109="","",' Impaired Loans ASC 310-10'!G109)</f>
        <v/>
      </c>
      <c r="H109" s="574">
        <f>IF(' Impaired Loans ASC 310-10'!H109="","",' Impaired Loans ASC 310-10'!H109)</f>
        <v/>
      </c>
      <c r="I109" s="574">
        <f>IF(' Impaired Loans ASC 310-10'!I109="","",' Impaired Loans ASC 310-10'!I109)</f>
        <v/>
      </c>
      <c r="J109" s="574">
        <f>IF(' Impaired Loans ASC 310-10'!J109="","",' Impaired Loans ASC 310-10'!J109)</f>
        <v/>
      </c>
      <c r="K109" s="584" t="n"/>
      <c r="L109" s="578">
        <f>IFERROR(A109,"")</f>
        <v/>
      </c>
      <c r="M109" s="849">
        <f>IF(' Impaired Loans ASC 310-10'!A109="","",' Impaired Loans ASC 310-10'!K109)</f>
        <v/>
      </c>
      <c r="N109" s="580">
        <f>IF(' Impaired Loans ASC 310-10'!A109="","",' Impaired Loans ASC 310-10'!L109)</f>
        <v/>
      </c>
      <c r="O109" s="581">
        <f>IF(' Impaired Loans ASC 310-10'!A109="","",' Impaired Loans ASC 310-10'!M109)</f>
        <v/>
      </c>
      <c r="P109" s="582">
        <f>IF(' Impaired Loans ASC 310-10'!A109="","",' Impaired Loans ASC 310-10'!O109)</f>
        <v/>
      </c>
      <c r="Q109" s="583">
        <f>IF(' Impaired Loans ASC 310-10'!A109="","",' Impaired Loans ASC 310-10'!N109)</f>
        <v/>
      </c>
      <c r="R109" s="583">
        <f>IF(' Impaired Loans ASC 310-10'!A109="","",' Impaired Loans ASC 310-10'!P109)</f>
        <v/>
      </c>
      <c r="S109" s="583">
        <f>IF(' Impaired Loans ASC 310-10'!A109="","",' Impaired Loans ASC 310-10'!Q109)</f>
        <v/>
      </c>
    </row>
    <row r="110" customFormat="1" s="729">
      <c r="A110" s="573">
        <f>IF(' Impaired Loans ASC 310-10'!A110="","",' Impaired Loans ASC 310-10'!A110)</f>
        <v/>
      </c>
      <c r="B110" s="573">
        <f>IF(' Impaired Loans ASC 310-10'!B110="","",' Impaired Loans ASC 310-10'!B110)</f>
        <v/>
      </c>
      <c r="C110" s="573">
        <f>IF(' Impaired Loans ASC 310-10'!C110="","",' Impaired Loans ASC 310-10'!C110)</f>
        <v/>
      </c>
      <c r="D110" s="573">
        <f>IF(' Impaired Loans ASC 310-10'!D110="","",' Impaired Loans ASC 310-10'!D110)</f>
        <v/>
      </c>
      <c r="E110" s="574">
        <f>IF(' Impaired Loans ASC 310-10'!E110="","",' Impaired Loans ASC 310-10'!E110)</f>
        <v/>
      </c>
      <c r="F110" s="575">
        <f>IF(' Impaired Loans ASC 310-10'!F110="","",' Impaired Loans ASC 310-10'!F110)</f>
        <v/>
      </c>
      <c r="G110" s="574">
        <f>IF(' Impaired Loans ASC 310-10'!G110="","",' Impaired Loans ASC 310-10'!G110)</f>
        <v/>
      </c>
      <c r="H110" s="574">
        <f>IF(' Impaired Loans ASC 310-10'!H110="","",' Impaired Loans ASC 310-10'!H110)</f>
        <v/>
      </c>
      <c r="I110" s="574">
        <f>IF(' Impaired Loans ASC 310-10'!I110="","",' Impaired Loans ASC 310-10'!I110)</f>
        <v/>
      </c>
      <c r="J110" s="574">
        <f>IF(' Impaired Loans ASC 310-10'!J110="","",' Impaired Loans ASC 310-10'!J110)</f>
        <v/>
      </c>
      <c r="K110" s="584" t="n"/>
      <c r="L110" s="578">
        <f>IFERROR(A110,"")</f>
        <v/>
      </c>
      <c r="M110" s="849">
        <f>IF(' Impaired Loans ASC 310-10'!A110="","",' Impaired Loans ASC 310-10'!K110)</f>
        <v/>
      </c>
      <c r="N110" s="580">
        <f>IF(' Impaired Loans ASC 310-10'!A110="","",' Impaired Loans ASC 310-10'!L110)</f>
        <v/>
      </c>
      <c r="O110" s="581">
        <f>IF(' Impaired Loans ASC 310-10'!A110="","",' Impaired Loans ASC 310-10'!M110)</f>
        <v/>
      </c>
      <c r="P110" s="582">
        <f>IF(' Impaired Loans ASC 310-10'!A110="","",' Impaired Loans ASC 310-10'!O110)</f>
        <v/>
      </c>
      <c r="Q110" s="583">
        <f>IF(' Impaired Loans ASC 310-10'!A110="","",' Impaired Loans ASC 310-10'!N110)</f>
        <v/>
      </c>
      <c r="R110" s="583">
        <f>IF(' Impaired Loans ASC 310-10'!A110="","",' Impaired Loans ASC 310-10'!P110)</f>
        <v/>
      </c>
      <c r="S110" s="583">
        <f>IF(' Impaired Loans ASC 310-10'!A110="","",' Impaired Loans ASC 310-10'!Q110)</f>
        <v/>
      </c>
    </row>
    <row r="111" customFormat="1" s="729">
      <c r="A111" s="573">
        <f>IF(' Impaired Loans ASC 310-10'!A111="","",' Impaired Loans ASC 310-10'!A111)</f>
        <v/>
      </c>
      <c r="B111" s="573">
        <f>IF(' Impaired Loans ASC 310-10'!B111="","",' Impaired Loans ASC 310-10'!B111)</f>
        <v/>
      </c>
      <c r="C111" s="573">
        <f>IF(' Impaired Loans ASC 310-10'!C111="","",' Impaired Loans ASC 310-10'!C111)</f>
        <v/>
      </c>
      <c r="D111" s="573">
        <f>IF(' Impaired Loans ASC 310-10'!D111="","",' Impaired Loans ASC 310-10'!D111)</f>
        <v/>
      </c>
      <c r="E111" s="574">
        <f>IF(' Impaired Loans ASC 310-10'!E111="","",' Impaired Loans ASC 310-10'!E111)</f>
        <v/>
      </c>
      <c r="F111" s="575">
        <f>IF(' Impaired Loans ASC 310-10'!F111="","",' Impaired Loans ASC 310-10'!F111)</f>
        <v/>
      </c>
      <c r="G111" s="574">
        <f>IF(' Impaired Loans ASC 310-10'!G111="","",' Impaired Loans ASC 310-10'!G111)</f>
        <v/>
      </c>
      <c r="H111" s="574">
        <f>IF(' Impaired Loans ASC 310-10'!H111="","",' Impaired Loans ASC 310-10'!H111)</f>
        <v/>
      </c>
      <c r="I111" s="574">
        <f>IF(' Impaired Loans ASC 310-10'!I111="","",' Impaired Loans ASC 310-10'!I111)</f>
        <v/>
      </c>
      <c r="J111" s="574">
        <f>IF(' Impaired Loans ASC 310-10'!J111="","",' Impaired Loans ASC 310-10'!J111)</f>
        <v/>
      </c>
      <c r="K111" s="584" t="n"/>
      <c r="L111" s="578">
        <f>IFERROR(A111,"")</f>
        <v/>
      </c>
      <c r="M111" s="849">
        <f>IF(' Impaired Loans ASC 310-10'!A111="","",' Impaired Loans ASC 310-10'!K111)</f>
        <v/>
      </c>
      <c r="N111" s="580">
        <f>IF(' Impaired Loans ASC 310-10'!A111="","",' Impaired Loans ASC 310-10'!L111)</f>
        <v/>
      </c>
      <c r="O111" s="581">
        <f>IF(' Impaired Loans ASC 310-10'!A111="","",' Impaired Loans ASC 310-10'!M111)</f>
        <v/>
      </c>
      <c r="P111" s="582">
        <f>IF(' Impaired Loans ASC 310-10'!A111="","",' Impaired Loans ASC 310-10'!O111)</f>
        <v/>
      </c>
      <c r="Q111" s="583">
        <f>IF(' Impaired Loans ASC 310-10'!A111="","",' Impaired Loans ASC 310-10'!N111)</f>
        <v/>
      </c>
      <c r="R111" s="583">
        <f>IF(' Impaired Loans ASC 310-10'!A111="","",' Impaired Loans ASC 310-10'!P111)</f>
        <v/>
      </c>
      <c r="S111" s="583">
        <f>IF(' Impaired Loans ASC 310-10'!A111="","",' Impaired Loans ASC 310-10'!Q111)</f>
        <v/>
      </c>
    </row>
    <row r="112" customFormat="1" s="729">
      <c r="A112" s="573">
        <f>IF(' Impaired Loans ASC 310-10'!A112="","",' Impaired Loans ASC 310-10'!A112)</f>
        <v/>
      </c>
      <c r="B112" s="573">
        <f>IF(' Impaired Loans ASC 310-10'!B112="","",' Impaired Loans ASC 310-10'!B112)</f>
        <v/>
      </c>
      <c r="C112" s="573">
        <f>IF(' Impaired Loans ASC 310-10'!C112="","",' Impaired Loans ASC 310-10'!C112)</f>
        <v/>
      </c>
      <c r="D112" s="573">
        <f>IF(' Impaired Loans ASC 310-10'!D112="","",' Impaired Loans ASC 310-10'!D112)</f>
        <v/>
      </c>
      <c r="E112" s="574">
        <f>IF(' Impaired Loans ASC 310-10'!E112="","",' Impaired Loans ASC 310-10'!E112)</f>
        <v/>
      </c>
      <c r="F112" s="575">
        <f>IF(' Impaired Loans ASC 310-10'!F112="","",' Impaired Loans ASC 310-10'!F112)</f>
        <v/>
      </c>
      <c r="G112" s="574">
        <f>IF(' Impaired Loans ASC 310-10'!G112="","",' Impaired Loans ASC 310-10'!G112)</f>
        <v/>
      </c>
      <c r="H112" s="574">
        <f>IF(' Impaired Loans ASC 310-10'!H112="","",' Impaired Loans ASC 310-10'!H112)</f>
        <v/>
      </c>
      <c r="I112" s="574">
        <f>IF(' Impaired Loans ASC 310-10'!I112="","",' Impaired Loans ASC 310-10'!I112)</f>
        <v/>
      </c>
      <c r="J112" s="574">
        <f>IF(' Impaired Loans ASC 310-10'!J112="","",' Impaired Loans ASC 310-10'!J112)</f>
        <v/>
      </c>
      <c r="K112" s="584" t="n"/>
      <c r="L112" s="578">
        <f>IFERROR(A112,"")</f>
        <v/>
      </c>
      <c r="M112" s="849">
        <f>IF(' Impaired Loans ASC 310-10'!A112="","",' Impaired Loans ASC 310-10'!K112)</f>
        <v/>
      </c>
      <c r="N112" s="580">
        <f>IF(' Impaired Loans ASC 310-10'!A112="","",' Impaired Loans ASC 310-10'!L112)</f>
        <v/>
      </c>
      <c r="O112" s="581">
        <f>IF(' Impaired Loans ASC 310-10'!A112="","",' Impaired Loans ASC 310-10'!M112)</f>
        <v/>
      </c>
      <c r="P112" s="582">
        <f>IF(' Impaired Loans ASC 310-10'!A112="","",' Impaired Loans ASC 310-10'!O112)</f>
        <v/>
      </c>
      <c r="Q112" s="583">
        <f>IF(' Impaired Loans ASC 310-10'!A112="","",' Impaired Loans ASC 310-10'!N112)</f>
        <v/>
      </c>
      <c r="R112" s="583">
        <f>IF(' Impaired Loans ASC 310-10'!A112="","",' Impaired Loans ASC 310-10'!P112)</f>
        <v/>
      </c>
      <c r="S112" s="583">
        <f>IF(' Impaired Loans ASC 310-10'!A112="","",' Impaired Loans ASC 310-10'!Q112)</f>
        <v/>
      </c>
    </row>
    <row r="113" customFormat="1" s="729">
      <c r="A113" s="573">
        <f>IF(' Impaired Loans ASC 310-10'!A113="","",' Impaired Loans ASC 310-10'!A113)</f>
        <v/>
      </c>
      <c r="B113" s="573">
        <f>IF(' Impaired Loans ASC 310-10'!B113="","",' Impaired Loans ASC 310-10'!B113)</f>
        <v/>
      </c>
      <c r="C113" s="573">
        <f>IF(' Impaired Loans ASC 310-10'!C113="","",' Impaired Loans ASC 310-10'!C113)</f>
        <v/>
      </c>
      <c r="D113" s="573">
        <f>IF(' Impaired Loans ASC 310-10'!D113="","",' Impaired Loans ASC 310-10'!D113)</f>
        <v/>
      </c>
      <c r="E113" s="574">
        <f>IF(' Impaired Loans ASC 310-10'!E113="","",' Impaired Loans ASC 310-10'!E113)</f>
        <v/>
      </c>
      <c r="F113" s="575">
        <f>IF(' Impaired Loans ASC 310-10'!F113="","",' Impaired Loans ASC 310-10'!F113)</f>
        <v/>
      </c>
      <c r="G113" s="574">
        <f>IF(' Impaired Loans ASC 310-10'!G113="","",' Impaired Loans ASC 310-10'!G113)</f>
        <v/>
      </c>
      <c r="H113" s="574">
        <f>IF(' Impaired Loans ASC 310-10'!H113="","",' Impaired Loans ASC 310-10'!H113)</f>
        <v/>
      </c>
      <c r="I113" s="574">
        <f>IF(' Impaired Loans ASC 310-10'!I113="","",' Impaired Loans ASC 310-10'!I113)</f>
        <v/>
      </c>
      <c r="J113" s="574">
        <f>IF(' Impaired Loans ASC 310-10'!J113="","",' Impaired Loans ASC 310-10'!J113)</f>
        <v/>
      </c>
      <c r="K113" s="584" t="n"/>
      <c r="L113" s="578">
        <f>IFERROR(A113,"")</f>
        <v/>
      </c>
      <c r="M113" s="849">
        <f>IF(' Impaired Loans ASC 310-10'!A113="","",' Impaired Loans ASC 310-10'!K113)</f>
        <v/>
      </c>
      <c r="N113" s="580">
        <f>IF(' Impaired Loans ASC 310-10'!A113="","",' Impaired Loans ASC 310-10'!L113)</f>
        <v/>
      </c>
      <c r="O113" s="581">
        <f>IF(' Impaired Loans ASC 310-10'!A113="","",' Impaired Loans ASC 310-10'!M113)</f>
        <v/>
      </c>
      <c r="P113" s="582">
        <f>IF(' Impaired Loans ASC 310-10'!A113="","",' Impaired Loans ASC 310-10'!O113)</f>
        <v/>
      </c>
      <c r="Q113" s="583">
        <f>IF(' Impaired Loans ASC 310-10'!A113="","",' Impaired Loans ASC 310-10'!N113)</f>
        <v/>
      </c>
      <c r="R113" s="583">
        <f>IF(' Impaired Loans ASC 310-10'!A113="","",' Impaired Loans ASC 310-10'!P113)</f>
        <v/>
      </c>
      <c r="S113" s="583">
        <f>IF(' Impaired Loans ASC 310-10'!A113="","",' Impaired Loans ASC 310-10'!Q113)</f>
        <v/>
      </c>
    </row>
    <row r="114" customFormat="1" s="729">
      <c r="A114" s="573">
        <f>IF(' Impaired Loans ASC 310-10'!A114="","",' Impaired Loans ASC 310-10'!A114)</f>
        <v/>
      </c>
      <c r="B114" s="573">
        <f>IF(' Impaired Loans ASC 310-10'!B114="","",' Impaired Loans ASC 310-10'!B114)</f>
        <v/>
      </c>
      <c r="C114" s="573">
        <f>IF(' Impaired Loans ASC 310-10'!C114="","",' Impaired Loans ASC 310-10'!C114)</f>
        <v/>
      </c>
      <c r="D114" s="573">
        <f>IF(' Impaired Loans ASC 310-10'!D114="","",' Impaired Loans ASC 310-10'!D114)</f>
        <v/>
      </c>
      <c r="E114" s="574">
        <f>IF(' Impaired Loans ASC 310-10'!E114="","",' Impaired Loans ASC 310-10'!E114)</f>
        <v/>
      </c>
      <c r="F114" s="575">
        <f>IF(' Impaired Loans ASC 310-10'!F114="","",' Impaired Loans ASC 310-10'!F114)</f>
        <v/>
      </c>
      <c r="G114" s="574">
        <f>IF(' Impaired Loans ASC 310-10'!G114="","",' Impaired Loans ASC 310-10'!G114)</f>
        <v/>
      </c>
      <c r="H114" s="574">
        <f>IF(' Impaired Loans ASC 310-10'!H114="","",' Impaired Loans ASC 310-10'!H114)</f>
        <v/>
      </c>
      <c r="I114" s="574">
        <f>IF(' Impaired Loans ASC 310-10'!I114="","",' Impaired Loans ASC 310-10'!I114)</f>
        <v/>
      </c>
      <c r="J114" s="574">
        <f>IF(' Impaired Loans ASC 310-10'!J114="","",' Impaired Loans ASC 310-10'!J114)</f>
        <v/>
      </c>
      <c r="K114" s="584" t="n"/>
      <c r="L114" s="578">
        <f>IFERROR(A114,"")</f>
        <v/>
      </c>
      <c r="M114" s="849">
        <f>IF(' Impaired Loans ASC 310-10'!A114="","",' Impaired Loans ASC 310-10'!K114)</f>
        <v/>
      </c>
      <c r="N114" s="580">
        <f>IF(' Impaired Loans ASC 310-10'!A114="","",' Impaired Loans ASC 310-10'!L114)</f>
        <v/>
      </c>
      <c r="O114" s="581">
        <f>IF(' Impaired Loans ASC 310-10'!A114="","",' Impaired Loans ASC 310-10'!M114)</f>
        <v/>
      </c>
      <c r="P114" s="582">
        <f>IF(' Impaired Loans ASC 310-10'!A114="","",' Impaired Loans ASC 310-10'!O114)</f>
        <v/>
      </c>
      <c r="Q114" s="583">
        <f>IF(' Impaired Loans ASC 310-10'!A114="","",' Impaired Loans ASC 310-10'!N114)</f>
        <v/>
      </c>
      <c r="R114" s="583">
        <f>IF(' Impaired Loans ASC 310-10'!A114="","",' Impaired Loans ASC 310-10'!P114)</f>
        <v/>
      </c>
      <c r="S114" s="583">
        <f>IF(' Impaired Loans ASC 310-10'!A114="","",' Impaired Loans ASC 310-10'!Q114)</f>
        <v/>
      </c>
    </row>
    <row r="115" customFormat="1" s="729">
      <c r="A115" s="573">
        <f>IF(' Impaired Loans ASC 310-10'!A115="","",' Impaired Loans ASC 310-10'!A115)</f>
        <v/>
      </c>
      <c r="B115" s="573">
        <f>IF(' Impaired Loans ASC 310-10'!B115="","",' Impaired Loans ASC 310-10'!B115)</f>
        <v/>
      </c>
      <c r="C115" s="573">
        <f>IF(' Impaired Loans ASC 310-10'!C115="","",' Impaired Loans ASC 310-10'!C115)</f>
        <v/>
      </c>
      <c r="D115" s="573">
        <f>IF(' Impaired Loans ASC 310-10'!D115="","",' Impaired Loans ASC 310-10'!D115)</f>
        <v/>
      </c>
      <c r="E115" s="574">
        <f>IF(' Impaired Loans ASC 310-10'!E115="","",' Impaired Loans ASC 310-10'!E115)</f>
        <v/>
      </c>
      <c r="F115" s="575">
        <f>IF(' Impaired Loans ASC 310-10'!F115="","",' Impaired Loans ASC 310-10'!F115)</f>
        <v/>
      </c>
      <c r="G115" s="574">
        <f>IF(' Impaired Loans ASC 310-10'!G115="","",' Impaired Loans ASC 310-10'!G115)</f>
        <v/>
      </c>
      <c r="H115" s="574">
        <f>IF(' Impaired Loans ASC 310-10'!H115="","",' Impaired Loans ASC 310-10'!H115)</f>
        <v/>
      </c>
      <c r="I115" s="574">
        <f>IF(' Impaired Loans ASC 310-10'!I115="","",' Impaired Loans ASC 310-10'!I115)</f>
        <v/>
      </c>
      <c r="J115" s="574">
        <f>IF(' Impaired Loans ASC 310-10'!J115="","",' Impaired Loans ASC 310-10'!J115)</f>
        <v/>
      </c>
      <c r="K115" s="584" t="n"/>
      <c r="L115" s="578">
        <f>IFERROR(A115,"")</f>
        <v/>
      </c>
      <c r="M115" s="849">
        <f>IF(' Impaired Loans ASC 310-10'!A115="","",' Impaired Loans ASC 310-10'!K115)</f>
        <v/>
      </c>
      <c r="N115" s="580">
        <f>IF(' Impaired Loans ASC 310-10'!A115="","",' Impaired Loans ASC 310-10'!L115)</f>
        <v/>
      </c>
      <c r="O115" s="581">
        <f>IF(' Impaired Loans ASC 310-10'!A115="","",' Impaired Loans ASC 310-10'!M115)</f>
        <v/>
      </c>
      <c r="P115" s="582">
        <f>IF(' Impaired Loans ASC 310-10'!A115="","",' Impaired Loans ASC 310-10'!O115)</f>
        <v/>
      </c>
      <c r="Q115" s="583">
        <f>IF(' Impaired Loans ASC 310-10'!A115="","",' Impaired Loans ASC 310-10'!N115)</f>
        <v/>
      </c>
      <c r="R115" s="583">
        <f>IF(' Impaired Loans ASC 310-10'!A115="","",' Impaired Loans ASC 310-10'!P115)</f>
        <v/>
      </c>
      <c r="S115" s="583">
        <f>IF(' Impaired Loans ASC 310-10'!A115="","",' Impaired Loans ASC 310-10'!Q115)</f>
        <v/>
      </c>
    </row>
    <row r="116" customFormat="1" s="729">
      <c r="A116" s="573">
        <f>IF(' Impaired Loans ASC 310-10'!A116="","",' Impaired Loans ASC 310-10'!A116)</f>
        <v/>
      </c>
      <c r="B116" s="573">
        <f>IF(' Impaired Loans ASC 310-10'!B116="","",' Impaired Loans ASC 310-10'!B116)</f>
        <v/>
      </c>
      <c r="C116" s="573">
        <f>IF(' Impaired Loans ASC 310-10'!C116="","",' Impaired Loans ASC 310-10'!C116)</f>
        <v/>
      </c>
      <c r="D116" s="573">
        <f>IF(' Impaired Loans ASC 310-10'!D116="","",' Impaired Loans ASC 310-10'!D116)</f>
        <v/>
      </c>
      <c r="E116" s="574">
        <f>IF(' Impaired Loans ASC 310-10'!E116="","",' Impaired Loans ASC 310-10'!E116)</f>
        <v/>
      </c>
      <c r="F116" s="575">
        <f>IF(' Impaired Loans ASC 310-10'!F116="","",' Impaired Loans ASC 310-10'!F116)</f>
        <v/>
      </c>
      <c r="G116" s="574">
        <f>IF(' Impaired Loans ASC 310-10'!G116="","",' Impaired Loans ASC 310-10'!G116)</f>
        <v/>
      </c>
      <c r="H116" s="574">
        <f>IF(' Impaired Loans ASC 310-10'!H116="","",' Impaired Loans ASC 310-10'!H116)</f>
        <v/>
      </c>
      <c r="I116" s="574">
        <f>IF(' Impaired Loans ASC 310-10'!I116="","",' Impaired Loans ASC 310-10'!I116)</f>
        <v/>
      </c>
      <c r="J116" s="574">
        <f>IF(' Impaired Loans ASC 310-10'!J116="","",' Impaired Loans ASC 310-10'!J116)</f>
        <v/>
      </c>
      <c r="K116" s="584" t="n"/>
      <c r="L116" s="578">
        <f>IFERROR(A116,"")</f>
        <v/>
      </c>
      <c r="M116" s="849">
        <f>IF(' Impaired Loans ASC 310-10'!A116="","",' Impaired Loans ASC 310-10'!K116)</f>
        <v/>
      </c>
      <c r="N116" s="580">
        <f>IF(' Impaired Loans ASC 310-10'!A116="","",' Impaired Loans ASC 310-10'!L116)</f>
        <v/>
      </c>
      <c r="O116" s="581">
        <f>IF(' Impaired Loans ASC 310-10'!A116="","",' Impaired Loans ASC 310-10'!M116)</f>
        <v/>
      </c>
      <c r="P116" s="582">
        <f>IF(' Impaired Loans ASC 310-10'!A116="","",' Impaired Loans ASC 310-10'!O116)</f>
        <v/>
      </c>
      <c r="Q116" s="583">
        <f>IF(' Impaired Loans ASC 310-10'!A116="","",' Impaired Loans ASC 310-10'!N116)</f>
        <v/>
      </c>
      <c r="R116" s="583">
        <f>IF(' Impaired Loans ASC 310-10'!A116="","",' Impaired Loans ASC 310-10'!P116)</f>
        <v/>
      </c>
      <c r="S116" s="583">
        <f>IF(' Impaired Loans ASC 310-10'!A116="","",' Impaired Loans ASC 310-10'!Q116)</f>
        <v/>
      </c>
    </row>
    <row r="117">
      <c r="A117" s="573">
        <f>IF(' Impaired Loans ASC 310-10'!A117="","",' Impaired Loans ASC 310-10'!A117)</f>
        <v/>
      </c>
      <c r="B117" s="573">
        <f>IF(' Impaired Loans ASC 310-10'!B117="","",' Impaired Loans ASC 310-10'!B117)</f>
        <v/>
      </c>
      <c r="C117" s="573">
        <f>IF(' Impaired Loans ASC 310-10'!C117="","",' Impaired Loans ASC 310-10'!C117)</f>
        <v/>
      </c>
      <c r="D117" s="573">
        <f>IF(' Impaired Loans ASC 310-10'!D117="","",' Impaired Loans ASC 310-10'!D117)</f>
        <v/>
      </c>
      <c r="E117" s="574">
        <f>IF(' Impaired Loans ASC 310-10'!E117="","",' Impaired Loans ASC 310-10'!E117)</f>
        <v/>
      </c>
      <c r="F117" s="575">
        <f>IF(' Impaired Loans ASC 310-10'!F117="","",' Impaired Loans ASC 310-10'!F117)</f>
        <v/>
      </c>
      <c r="G117" s="574">
        <f>IF(' Impaired Loans ASC 310-10'!G117="","",' Impaired Loans ASC 310-10'!G117)</f>
        <v/>
      </c>
      <c r="H117" s="574">
        <f>IF(' Impaired Loans ASC 310-10'!H117="","",' Impaired Loans ASC 310-10'!H117)</f>
        <v/>
      </c>
      <c r="I117" s="574">
        <f>IF(' Impaired Loans ASC 310-10'!I117="","",' Impaired Loans ASC 310-10'!I117)</f>
        <v/>
      </c>
      <c r="J117" s="574">
        <f>IF(' Impaired Loans ASC 310-10'!J117="","",' Impaired Loans ASC 310-10'!J117)</f>
        <v/>
      </c>
      <c r="K117" s="584" t="n"/>
      <c r="L117" s="578">
        <f>IFERROR(A117,"")</f>
        <v/>
      </c>
      <c r="M117" s="849">
        <f>IF(' Impaired Loans ASC 310-10'!A117="","",' Impaired Loans ASC 310-10'!K117)</f>
        <v/>
      </c>
      <c r="N117" s="580">
        <f>IF(' Impaired Loans ASC 310-10'!A117="","",' Impaired Loans ASC 310-10'!L117)</f>
        <v/>
      </c>
      <c r="O117" s="581">
        <f>IF(' Impaired Loans ASC 310-10'!A117="","",' Impaired Loans ASC 310-10'!M117)</f>
        <v/>
      </c>
      <c r="P117" s="582">
        <f>IF(' Impaired Loans ASC 310-10'!A117="","",' Impaired Loans ASC 310-10'!O117)</f>
        <v/>
      </c>
      <c r="Q117" s="583">
        <f>IF(' Impaired Loans ASC 310-10'!A117="","",' Impaired Loans ASC 310-10'!N117)</f>
        <v/>
      </c>
      <c r="R117" s="583">
        <f>IF(' Impaired Loans ASC 310-10'!A117="","",' Impaired Loans ASC 310-10'!P117)</f>
        <v/>
      </c>
      <c r="S117" s="583">
        <f>IF(' Impaired Loans ASC 310-10'!A117="","",' Impaired Loans ASC 310-10'!Q117)</f>
        <v/>
      </c>
    </row>
    <row r="118">
      <c r="A118" s="573">
        <f>IF(' Impaired Loans ASC 310-10'!A118="","",' Impaired Loans ASC 310-10'!A118)</f>
        <v/>
      </c>
      <c r="B118" s="573">
        <f>IF(' Impaired Loans ASC 310-10'!B118="","",' Impaired Loans ASC 310-10'!B118)</f>
        <v/>
      </c>
      <c r="C118" s="573">
        <f>IF(' Impaired Loans ASC 310-10'!C118="","",' Impaired Loans ASC 310-10'!C118)</f>
        <v/>
      </c>
      <c r="D118" s="573">
        <f>IF(' Impaired Loans ASC 310-10'!D118="","",' Impaired Loans ASC 310-10'!D118)</f>
        <v/>
      </c>
      <c r="E118" s="574">
        <f>IF(' Impaired Loans ASC 310-10'!E118="","",' Impaired Loans ASC 310-10'!E118)</f>
        <v/>
      </c>
      <c r="F118" s="575">
        <f>IF(' Impaired Loans ASC 310-10'!F118="","",' Impaired Loans ASC 310-10'!F118)</f>
        <v/>
      </c>
      <c r="G118" s="574">
        <f>IF(' Impaired Loans ASC 310-10'!G118="","",' Impaired Loans ASC 310-10'!G118)</f>
        <v/>
      </c>
      <c r="H118" s="574">
        <f>IF(' Impaired Loans ASC 310-10'!H118="","",' Impaired Loans ASC 310-10'!H118)</f>
        <v/>
      </c>
      <c r="I118" s="574">
        <f>IF(' Impaired Loans ASC 310-10'!I118="","",' Impaired Loans ASC 310-10'!I118)</f>
        <v/>
      </c>
      <c r="J118" s="574">
        <f>IF(' Impaired Loans ASC 310-10'!J118="","",' Impaired Loans ASC 310-10'!J118)</f>
        <v/>
      </c>
      <c r="K118" s="584" t="n"/>
      <c r="L118" s="578">
        <f>IFERROR(A118,"")</f>
        <v/>
      </c>
      <c r="M118" s="849">
        <f>IF(' Impaired Loans ASC 310-10'!A118="","",' Impaired Loans ASC 310-10'!K118)</f>
        <v/>
      </c>
      <c r="N118" s="580">
        <f>IF(' Impaired Loans ASC 310-10'!A118="","",' Impaired Loans ASC 310-10'!L118)</f>
        <v/>
      </c>
      <c r="O118" s="581">
        <f>IF(' Impaired Loans ASC 310-10'!A118="","",' Impaired Loans ASC 310-10'!M118)</f>
        <v/>
      </c>
      <c r="P118" s="582">
        <f>IF(' Impaired Loans ASC 310-10'!A118="","",' Impaired Loans ASC 310-10'!O118)</f>
        <v/>
      </c>
      <c r="Q118" s="583">
        <f>IF(' Impaired Loans ASC 310-10'!A118="","",' Impaired Loans ASC 310-10'!N118)</f>
        <v/>
      </c>
      <c r="R118" s="583">
        <f>IF(' Impaired Loans ASC 310-10'!A118="","",' Impaired Loans ASC 310-10'!P118)</f>
        <v/>
      </c>
      <c r="S118" s="583">
        <f>IF(' Impaired Loans ASC 310-10'!A118="","",' Impaired Loans ASC 310-10'!Q118)</f>
        <v/>
      </c>
    </row>
    <row r="119">
      <c r="A119" s="573">
        <f>IF(' Impaired Loans ASC 310-10'!A119="","",' Impaired Loans ASC 310-10'!A119)</f>
        <v/>
      </c>
      <c r="B119" s="573">
        <f>IF(' Impaired Loans ASC 310-10'!B119="","",' Impaired Loans ASC 310-10'!B119)</f>
        <v/>
      </c>
      <c r="C119" s="573">
        <f>IF(' Impaired Loans ASC 310-10'!C119="","",' Impaired Loans ASC 310-10'!C119)</f>
        <v/>
      </c>
      <c r="D119" s="573">
        <f>IF(' Impaired Loans ASC 310-10'!D119="","",' Impaired Loans ASC 310-10'!D119)</f>
        <v/>
      </c>
      <c r="E119" s="574">
        <f>IF(' Impaired Loans ASC 310-10'!E119="","",' Impaired Loans ASC 310-10'!E119)</f>
        <v/>
      </c>
      <c r="F119" s="575">
        <f>IF(' Impaired Loans ASC 310-10'!F119="","",' Impaired Loans ASC 310-10'!F119)</f>
        <v/>
      </c>
      <c r="G119" s="574">
        <f>IF(' Impaired Loans ASC 310-10'!G119="","",' Impaired Loans ASC 310-10'!G119)</f>
        <v/>
      </c>
      <c r="H119" s="574">
        <f>IF(' Impaired Loans ASC 310-10'!H119="","",' Impaired Loans ASC 310-10'!H119)</f>
        <v/>
      </c>
      <c r="I119" s="574">
        <f>IF(' Impaired Loans ASC 310-10'!I119="","",' Impaired Loans ASC 310-10'!I119)</f>
        <v/>
      </c>
      <c r="J119" s="574">
        <f>IF(' Impaired Loans ASC 310-10'!J119="","",' Impaired Loans ASC 310-10'!J119)</f>
        <v/>
      </c>
      <c r="K119" s="584" t="n"/>
      <c r="L119" s="578">
        <f>IFERROR(A119,"")</f>
        <v/>
      </c>
      <c r="M119" s="849">
        <f>IF(' Impaired Loans ASC 310-10'!A119="","",' Impaired Loans ASC 310-10'!K119)</f>
        <v/>
      </c>
      <c r="N119" s="580">
        <f>IF(' Impaired Loans ASC 310-10'!A119="","",' Impaired Loans ASC 310-10'!L119)</f>
        <v/>
      </c>
      <c r="O119" s="581">
        <f>IF(' Impaired Loans ASC 310-10'!A119="","",' Impaired Loans ASC 310-10'!M119)</f>
        <v/>
      </c>
      <c r="P119" s="582">
        <f>IF(' Impaired Loans ASC 310-10'!A119="","",' Impaired Loans ASC 310-10'!O119)</f>
        <v/>
      </c>
      <c r="Q119" s="583">
        <f>IF(' Impaired Loans ASC 310-10'!A119="","",' Impaired Loans ASC 310-10'!N119)</f>
        <v/>
      </c>
      <c r="R119" s="583">
        <f>IF(' Impaired Loans ASC 310-10'!A119="","",' Impaired Loans ASC 310-10'!P119)</f>
        <v/>
      </c>
      <c r="S119" s="583">
        <f>IF(' Impaired Loans ASC 310-10'!A119="","",' Impaired Loans ASC 310-10'!Q119)</f>
        <v/>
      </c>
    </row>
    <row r="120">
      <c r="A120" s="573">
        <f>IF(' Impaired Loans ASC 310-10'!A120="","",' Impaired Loans ASC 310-10'!A120)</f>
        <v/>
      </c>
      <c r="B120" s="573">
        <f>IF(' Impaired Loans ASC 310-10'!B120="","",' Impaired Loans ASC 310-10'!B120)</f>
        <v/>
      </c>
      <c r="C120" s="573">
        <f>IF(' Impaired Loans ASC 310-10'!C120="","",' Impaired Loans ASC 310-10'!C120)</f>
        <v/>
      </c>
      <c r="D120" s="573">
        <f>IF(' Impaired Loans ASC 310-10'!D120="","",' Impaired Loans ASC 310-10'!D120)</f>
        <v/>
      </c>
      <c r="E120" s="574">
        <f>IF(' Impaired Loans ASC 310-10'!E120="","",' Impaired Loans ASC 310-10'!E120)</f>
        <v/>
      </c>
      <c r="F120" s="575">
        <f>IF(' Impaired Loans ASC 310-10'!F120="","",' Impaired Loans ASC 310-10'!F120)</f>
        <v/>
      </c>
      <c r="G120" s="574">
        <f>IF(' Impaired Loans ASC 310-10'!G120="","",' Impaired Loans ASC 310-10'!G120)</f>
        <v/>
      </c>
      <c r="H120" s="574">
        <f>IF(' Impaired Loans ASC 310-10'!H120="","",' Impaired Loans ASC 310-10'!H120)</f>
        <v/>
      </c>
      <c r="I120" s="574">
        <f>IF(' Impaired Loans ASC 310-10'!I120="","",' Impaired Loans ASC 310-10'!I120)</f>
        <v/>
      </c>
      <c r="J120" s="574">
        <f>IF(' Impaired Loans ASC 310-10'!J120="","",' Impaired Loans ASC 310-10'!J120)</f>
        <v/>
      </c>
      <c r="K120" s="584" t="n"/>
      <c r="L120" s="578">
        <f>IFERROR(A120,"")</f>
        <v/>
      </c>
      <c r="M120" s="849">
        <f>IF(' Impaired Loans ASC 310-10'!A120="","",' Impaired Loans ASC 310-10'!K120)</f>
        <v/>
      </c>
      <c r="N120" s="580">
        <f>IF(' Impaired Loans ASC 310-10'!A120="","",' Impaired Loans ASC 310-10'!L120)</f>
        <v/>
      </c>
      <c r="O120" s="581">
        <f>IF(' Impaired Loans ASC 310-10'!A120="","",' Impaired Loans ASC 310-10'!M120)</f>
        <v/>
      </c>
      <c r="P120" s="582">
        <f>IF(' Impaired Loans ASC 310-10'!A120="","",' Impaired Loans ASC 310-10'!O120)</f>
        <v/>
      </c>
      <c r="Q120" s="583">
        <f>IF(' Impaired Loans ASC 310-10'!A120="","",' Impaired Loans ASC 310-10'!N120)</f>
        <v/>
      </c>
      <c r="R120" s="583">
        <f>IF(' Impaired Loans ASC 310-10'!A120="","",' Impaired Loans ASC 310-10'!P120)</f>
        <v/>
      </c>
      <c r="S120" s="583">
        <f>IF(' Impaired Loans ASC 310-10'!A120="","",' Impaired Loans ASC 310-10'!Q120)</f>
        <v/>
      </c>
    </row>
    <row r="121">
      <c r="A121" s="573">
        <f>IF(' Impaired Loans ASC 310-10'!A121="","",' Impaired Loans ASC 310-10'!A121)</f>
        <v/>
      </c>
      <c r="B121" s="573">
        <f>IF(' Impaired Loans ASC 310-10'!B121="","",' Impaired Loans ASC 310-10'!B121)</f>
        <v/>
      </c>
      <c r="C121" s="573">
        <f>IF(' Impaired Loans ASC 310-10'!C121="","",' Impaired Loans ASC 310-10'!C121)</f>
        <v/>
      </c>
      <c r="D121" s="573">
        <f>IF(' Impaired Loans ASC 310-10'!D121="","",' Impaired Loans ASC 310-10'!D121)</f>
        <v/>
      </c>
      <c r="E121" s="574">
        <f>IF(' Impaired Loans ASC 310-10'!E121="","",' Impaired Loans ASC 310-10'!E121)</f>
        <v/>
      </c>
      <c r="F121" s="575">
        <f>IF(' Impaired Loans ASC 310-10'!F121="","",' Impaired Loans ASC 310-10'!F121)</f>
        <v/>
      </c>
      <c r="G121" s="574">
        <f>IF(' Impaired Loans ASC 310-10'!G121="","",' Impaired Loans ASC 310-10'!G121)</f>
        <v/>
      </c>
      <c r="H121" s="574">
        <f>IF(' Impaired Loans ASC 310-10'!H121="","",' Impaired Loans ASC 310-10'!H121)</f>
        <v/>
      </c>
      <c r="I121" s="574">
        <f>IF(' Impaired Loans ASC 310-10'!I121="","",' Impaired Loans ASC 310-10'!I121)</f>
        <v/>
      </c>
      <c r="J121" s="574">
        <f>IF(' Impaired Loans ASC 310-10'!J121="","",' Impaired Loans ASC 310-10'!J121)</f>
        <v/>
      </c>
      <c r="K121" s="584" t="n"/>
      <c r="L121" s="578">
        <f>IFERROR(A121,"")</f>
        <v/>
      </c>
      <c r="M121" s="849">
        <f>IF(' Impaired Loans ASC 310-10'!A121="","",' Impaired Loans ASC 310-10'!K121)</f>
        <v/>
      </c>
      <c r="N121" s="580">
        <f>IF(' Impaired Loans ASC 310-10'!A121="","",' Impaired Loans ASC 310-10'!L121)</f>
        <v/>
      </c>
      <c r="O121" s="581">
        <f>IF(' Impaired Loans ASC 310-10'!A121="","",' Impaired Loans ASC 310-10'!M121)</f>
        <v/>
      </c>
      <c r="P121" s="582">
        <f>IF(' Impaired Loans ASC 310-10'!A121="","",' Impaired Loans ASC 310-10'!O121)</f>
        <v/>
      </c>
      <c r="Q121" s="583">
        <f>IF(' Impaired Loans ASC 310-10'!A121="","",' Impaired Loans ASC 310-10'!N121)</f>
        <v/>
      </c>
      <c r="R121" s="583">
        <f>IF(' Impaired Loans ASC 310-10'!A121="","",' Impaired Loans ASC 310-10'!P121)</f>
        <v/>
      </c>
      <c r="S121" s="583">
        <f>IF(' Impaired Loans ASC 310-10'!A121="","",' Impaired Loans ASC 310-10'!Q121)</f>
        <v/>
      </c>
    </row>
    <row r="122">
      <c r="A122" s="573">
        <f>IF(' Impaired Loans ASC 310-10'!A122="","",' Impaired Loans ASC 310-10'!A122)</f>
        <v/>
      </c>
      <c r="B122" s="573">
        <f>IF(' Impaired Loans ASC 310-10'!B122="","",' Impaired Loans ASC 310-10'!B122)</f>
        <v/>
      </c>
      <c r="C122" s="573">
        <f>IF(' Impaired Loans ASC 310-10'!C122="","",' Impaired Loans ASC 310-10'!C122)</f>
        <v/>
      </c>
      <c r="D122" s="573">
        <f>IF(' Impaired Loans ASC 310-10'!D122="","",' Impaired Loans ASC 310-10'!D122)</f>
        <v/>
      </c>
      <c r="E122" s="574">
        <f>IF(' Impaired Loans ASC 310-10'!E122="","",' Impaired Loans ASC 310-10'!E122)</f>
        <v/>
      </c>
      <c r="F122" s="575">
        <f>IF(' Impaired Loans ASC 310-10'!F122="","",' Impaired Loans ASC 310-10'!F122)</f>
        <v/>
      </c>
      <c r="G122" s="574">
        <f>IF(' Impaired Loans ASC 310-10'!G122="","",' Impaired Loans ASC 310-10'!G122)</f>
        <v/>
      </c>
      <c r="H122" s="574">
        <f>IF(' Impaired Loans ASC 310-10'!H122="","",' Impaired Loans ASC 310-10'!H122)</f>
        <v/>
      </c>
      <c r="I122" s="574">
        <f>IF(' Impaired Loans ASC 310-10'!I122="","",' Impaired Loans ASC 310-10'!I122)</f>
        <v/>
      </c>
      <c r="J122" s="574">
        <f>IF(' Impaired Loans ASC 310-10'!J122="","",' Impaired Loans ASC 310-10'!J122)</f>
        <v/>
      </c>
      <c r="K122" s="584" t="n"/>
      <c r="L122" s="578">
        <f>IFERROR(A122,"")</f>
        <v/>
      </c>
      <c r="M122" s="849">
        <f>IF(' Impaired Loans ASC 310-10'!A122="","",' Impaired Loans ASC 310-10'!K122)</f>
        <v/>
      </c>
      <c r="N122" s="580">
        <f>IF(' Impaired Loans ASC 310-10'!A122="","",' Impaired Loans ASC 310-10'!L122)</f>
        <v/>
      </c>
      <c r="O122" s="581">
        <f>IF(' Impaired Loans ASC 310-10'!A122="","",' Impaired Loans ASC 310-10'!M122)</f>
        <v/>
      </c>
      <c r="P122" s="582">
        <f>IF(' Impaired Loans ASC 310-10'!A122="","",' Impaired Loans ASC 310-10'!O122)</f>
        <v/>
      </c>
      <c r="Q122" s="583">
        <f>IF(' Impaired Loans ASC 310-10'!A122="","",' Impaired Loans ASC 310-10'!N122)</f>
        <v/>
      </c>
      <c r="R122" s="583">
        <f>IF(' Impaired Loans ASC 310-10'!A122="","",' Impaired Loans ASC 310-10'!P122)</f>
        <v/>
      </c>
      <c r="S122" s="583">
        <f>IF(' Impaired Loans ASC 310-10'!A122="","",' Impaired Loans ASC 310-10'!Q122)</f>
        <v/>
      </c>
    </row>
    <row r="123">
      <c r="A123" s="573">
        <f>IF(' Impaired Loans ASC 310-10'!A123="","",' Impaired Loans ASC 310-10'!A123)</f>
        <v/>
      </c>
      <c r="B123" s="573">
        <f>IF(' Impaired Loans ASC 310-10'!B123="","",' Impaired Loans ASC 310-10'!B123)</f>
        <v/>
      </c>
      <c r="C123" s="573">
        <f>IF(' Impaired Loans ASC 310-10'!C123="","",' Impaired Loans ASC 310-10'!C123)</f>
        <v/>
      </c>
      <c r="D123" s="573">
        <f>IF(' Impaired Loans ASC 310-10'!D123="","",' Impaired Loans ASC 310-10'!D123)</f>
        <v/>
      </c>
      <c r="E123" s="574">
        <f>IF(' Impaired Loans ASC 310-10'!E123="","",' Impaired Loans ASC 310-10'!E123)</f>
        <v/>
      </c>
      <c r="F123" s="575">
        <f>IF(' Impaired Loans ASC 310-10'!F123="","",' Impaired Loans ASC 310-10'!F123)</f>
        <v/>
      </c>
      <c r="G123" s="574">
        <f>IF(' Impaired Loans ASC 310-10'!G123="","",' Impaired Loans ASC 310-10'!G123)</f>
        <v/>
      </c>
      <c r="H123" s="574">
        <f>IF(' Impaired Loans ASC 310-10'!H123="","",' Impaired Loans ASC 310-10'!H123)</f>
        <v/>
      </c>
      <c r="I123" s="574">
        <f>IF(' Impaired Loans ASC 310-10'!I123="","",' Impaired Loans ASC 310-10'!I123)</f>
        <v/>
      </c>
      <c r="J123" s="574">
        <f>IF(' Impaired Loans ASC 310-10'!J123="","",' Impaired Loans ASC 310-10'!J123)</f>
        <v/>
      </c>
      <c r="K123" s="584" t="n"/>
      <c r="L123" s="578">
        <f>IFERROR(A123,"")</f>
        <v/>
      </c>
      <c r="M123" s="849">
        <f>IF(' Impaired Loans ASC 310-10'!A123="","",' Impaired Loans ASC 310-10'!K123)</f>
        <v/>
      </c>
      <c r="N123" s="580">
        <f>IF(' Impaired Loans ASC 310-10'!A123="","",' Impaired Loans ASC 310-10'!L123)</f>
        <v/>
      </c>
      <c r="O123" s="581">
        <f>IF(' Impaired Loans ASC 310-10'!A123="","",' Impaired Loans ASC 310-10'!M123)</f>
        <v/>
      </c>
      <c r="P123" s="582">
        <f>IF(' Impaired Loans ASC 310-10'!A123="","",' Impaired Loans ASC 310-10'!O123)</f>
        <v/>
      </c>
      <c r="Q123" s="583">
        <f>IF(' Impaired Loans ASC 310-10'!A123="","",' Impaired Loans ASC 310-10'!N123)</f>
        <v/>
      </c>
      <c r="R123" s="583">
        <f>IF(' Impaired Loans ASC 310-10'!A123="","",' Impaired Loans ASC 310-10'!P123)</f>
        <v/>
      </c>
      <c r="S123" s="583">
        <f>IF(' Impaired Loans ASC 310-10'!A123="","",' Impaired Loans ASC 310-10'!Q123)</f>
        <v/>
      </c>
    </row>
    <row r="124">
      <c r="A124" s="573">
        <f>IF(' Impaired Loans ASC 310-10'!A124="","",' Impaired Loans ASC 310-10'!A124)</f>
        <v/>
      </c>
      <c r="B124" s="573">
        <f>IF(' Impaired Loans ASC 310-10'!B124="","",' Impaired Loans ASC 310-10'!B124)</f>
        <v/>
      </c>
      <c r="C124" s="573">
        <f>IF(' Impaired Loans ASC 310-10'!C124="","",' Impaired Loans ASC 310-10'!C124)</f>
        <v/>
      </c>
      <c r="D124" s="573">
        <f>IF(' Impaired Loans ASC 310-10'!D124="","",' Impaired Loans ASC 310-10'!D124)</f>
        <v/>
      </c>
      <c r="E124" s="574">
        <f>IF(' Impaired Loans ASC 310-10'!E124="","",' Impaired Loans ASC 310-10'!E124)</f>
        <v/>
      </c>
      <c r="F124" s="575">
        <f>IF(' Impaired Loans ASC 310-10'!F124="","",' Impaired Loans ASC 310-10'!F124)</f>
        <v/>
      </c>
      <c r="G124" s="574">
        <f>IF(' Impaired Loans ASC 310-10'!G124="","",' Impaired Loans ASC 310-10'!G124)</f>
        <v/>
      </c>
      <c r="H124" s="574">
        <f>IF(' Impaired Loans ASC 310-10'!H124="","",' Impaired Loans ASC 310-10'!H124)</f>
        <v/>
      </c>
      <c r="I124" s="574">
        <f>IF(' Impaired Loans ASC 310-10'!I124="","",' Impaired Loans ASC 310-10'!I124)</f>
        <v/>
      </c>
      <c r="J124" s="574">
        <f>IF(' Impaired Loans ASC 310-10'!J124="","",' Impaired Loans ASC 310-10'!J124)</f>
        <v/>
      </c>
      <c r="K124" s="584" t="n"/>
      <c r="L124" s="578">
        <f>IFERROR(A124,"")</f>
        <v/>
      </c>
      <c r="M124" s="849">
        <f>IF(' Impaired Loans ASC 310-10'!A124="","",' Impaired Loans ASC 310-10'!K124)</f>
        <v/>
      </c>
      <c r="N124" s="580">
        <f>IF(' Impaired Loans ASC 310-10'!A124="","",' Impaired Loans ASC 310-10'!L124)</f>
        <v/>
      </c>
      <c r="O124" s="581">
        <f>IF(' Impaired Loans ASC 310-10'!A124="","",' Impaired Loans ASC 310-10'!M124)</f>
        <v/>
      </c>
      <c r="P124" s="582">
        <f>IF(' Impaired Loans ASC 310-10'!A124="","",' Impaired Loans ASC 310-10'!O124)</f>
        <v/>
      </c>
      <c r="Q124" s="583">
        <f>IF(' Impaired Loans ASC 310-10'!A124="","",' Impaired Loans ASC 310-10'!N124)</f>
        <v/>
      </c>
      <c r="R124" s="583">
        <f>IF(' Impaired Loans ASC 310-10'!A124="","",' Impaired Loans ASC 310-10'!P124)</f>
        <v/>
      </c>
      <c r="S124" s="583">
        <f>IF(' Impaired Loans ASC 310-10'!A124="","",' Impaired Loans ASC 310-10'!Q124)</f>
        <v/>
      </c>
    </row>
    <row r="125">
      <c r="A125" s="573">
        <f>IF(' Impaired Loans ASC 310-10'!A125="","",' Impaired Loans ASC 310-10'!A125)</f>
        <v/>
      </c>
      <c r="B125" s="573">
        <f>IF(' Impaired Loans ASC 310-10'!B125="","",' Impaired Loans ASC 310-10'!B125)</f>
        <v/>
      </c>
      <c r="C125" s="573">
        <f>IF(' Impaired Loans ASC 310-10'!C125="","",' Impaired Loans ASC 310-10'!C125)</f>
        <v/>
      </c>
      <c r="D125" s="573">
        <f>IF(' Impaired Loans ASC 310-10'!D125="","",' Impaired Loans ASC 310-10'!D125)</f>
        <v/>
      </c>
      <c r="E125" s="574">
        <f>IF(' Impaired Loans ASC 310-10'!E125="","",' Impaired Loans ASC 310-10'!E125)</f>
        <v/>
      </c>
      <c r="F125" s="575">
        <f>IF(' Impaired Loans ASC 310-10'!F125="","",' Impaired Loans ASC 310-10'!F125)</f>
        <v/>
      </c>
      <c r="G125" s="574">
        <f>IF(' Impaired Loans ASC 310-10'!G125="","",' Impaired Loans ASC 310-10'!G125)</f>
        <v/>
      </c>
      <c r="H125" s="574">
        <f>IF(' Impaired Loans ASC 310-10'!H125="","",' Impaired Loans ASC 310-10'!H125)</f>
        <v/>
      </c>
      <c r="I125" s="574">
        <f>IF(' Impaired Loans ASC 310-10'!I125="","",' Impaired Loans ASC 310-10'!I125)</f>
        <v/>
      </c>
      <c r="J125" s="574">
        <f>IF(' Impaired Loans ASC 310-10'!J125="","",' Impaired Loans ASC 310-10'!J125)</f>
        <v/>
      </c>
      <c r="K125" s="584" t="n"/>
      <c r="L125" s="578">
        <f>IFERROR(A125,"")</f>
        <v/>
      </c>
      <c r="M125" s="849">
        <f>IF(' Impaired Loans ASC 310-10'!A125="","",' Impaired Loans ASC 310-10'!K125)</f>
        <v/>
      </c>
      <c r="N125" s="580">
        <f>IF(' Impaired Loans ASC 310-10'!A125="","",' Impaired Loans ASC 310-10'!L125)</f>
        <v/>
      </c>
      <c r="O125" s="581">
        <f>IF(' Impaired Loans ASC 310-10'!A125="","",' Impaired Loans ASC 310-10'!M125)</f>
        <v/>
      </c>
      <c r="P125" s="582">
        <f>IF(' Impaired Loans ASC 310-10'!A125="","",' Impaired Loans ASC 310-10'!O125)</f>
        <v/>
      </c>
      <c r="Q125" s="583">
        <f>IF(' Impaired Loans ASC 310-10'!A125="","",' Impaired Loans ASC 310-10'!N125)</f>
        <v/>
      </c>
      <c r="R125" s="583">
        <f>IF(' Impaired Loans ASC 310-10'!A125="","",' Impaired Loans ASC 310-10'!P125)</f>
        <v/>
      </c>
      <c r="S125" s="583">
        <f>IF(' Impaired Loans ASC 310-10'!A125="","",' Impaired Loans ASC 310-10'!Q125)</f>
        <v/>
      </c>
    </row>
    <row r="126">
      <c r="A126" s="573">
        <f>IF(' Impaired Loans ASC 310-10'!A126="","",' Impaired Loans ASC 310-10'!A126)</f>
        <v/>
      </c>
      <c r="B126" s="573">
        <f>IF(' Impaired Loans ASC 310-10'!B126="","",' Impaired Loans ASC 310-10'!B126)</f>
        <v/>
      </c>
      <c r="C126" s="573">
        <f>IF(' Impaired Loans ASC 310-10'!C126="","",' Impaired Loans ASC 310-10'!C126)</f>
        <v/>
      </c>
      <c r="D126" s="573">
        <f>IF(' Impaired Loans ASC 310-10'!D126="","",' Impaired Loans ASC 310-10'!D126)</f>
        <v/>
      </c>
      <c r="E126" s="574">
        <f>IF(' Impaired Loans ASC 310-10'!E126="","",' Impaired Loans ASC 310-10'!E126)</f>
        <v/>
      </c>
      <c r="F126" s="575">
        <f>IF(' Impaired Loans ASC 310-10'!F126="","",' Impaired Loans ASC 310-10'!F126)</f>
        <v/>
      </c>
      <c r="G126" s="574">
        <f>IF(' Impaired Loans ASC 310-10'!G126="","",' Impaired Loans ASC 310-10'!G126)</f>
        <v/>
      </c>
      <c r="H126" s="574">
        <f>IF(' Impaired Loans ASC 310-10'!H126="","",' Impaired Loans ASC 310-10'!H126)</f>
        <v/>
      </c>
      <c r="I126" s="574">
        <f>IF(' Impaired Loans ASC 310-10'!I126="","",' Impaired Loans ASC 310-10'!I126)</f>
        <v/>
      </c>
      <c r="J126" s="574">
        <f>IF(' Impaired Loans ASC 310-10'!J126="","",' Impaired Loans ASC 310-10'!J126)</f>
        <v/>
      </c>
      <c r="K126" s="584" t="n"/>
      <c r="L126" s="578">
        <f>IFERROR(A126,"")</f>
        <v/>
      </c>
      <c r="M126" s="849">
        <f>IF(' Impaired Loans ASC 310-10'!A126="","",' Impaired Loans ASC 310-10'!K126)</f>
        <v/>
      </c>
      <c r="N126" s="580">
        <f>IF(' Impaired Loans ASC 310-10'!A126="","",' Impaired Loans ASC 310-10'!L126)</f>
        <v/>
      </c>
      <c r="O126" s="581">
        <f>IF(' Impaired Loans ASC 310-10'!A126="","",' Impaired Loans ASC 310-10'!M126)</f>
        <v/>
      </c>
      <c r="P126" s="582">
        <f>IF(' Impaired Loans ASC 310-10'!A126="","",' Impaired Loans ASC 310-10'!O126)</f>
        <v/>
      </c>
      <c r="Q126" s="583">
        <f>IF(' Impaired Loans ASC 310-10'!A126="","",' Impaired Loans ASC 310-10'!N126)</f>
        <v/>
      </c>
      <c r="R126" s="583">
        <f>IF(' Impaired Loans ASC 310-10'!A126="","",' Impaired Loans ASC 310-10'!P126)</f>
        <v/>
      </c>
      <c r="S126" s="583">
        <f>IF(' Impaired Loans ASC 310-10'!A126="","",' Impaired Loans ASC 310-10'!Q126)</f>
        <v/>
      </c>
    </row>
    <row r="127">
      <c r="A127" s="573">
        <f>IF(' Impaired Loans ASC 310-10'!A127="","",' Impaired Loans ASC 310-10'!A127)</f>
        <v/>
      </c>
      <c r="B127" s="573">
        <f>IF(' Impaired Loans ASC 310-10'!B127="","",' Impaired Loans ASC 310-10'!B127)</f>
        <v/>
      </c>
      <c r="C127" s="573">
        <f>IF(' Impaired Loans ASC 310-10'!C127="","",' Impaired Loans ASC 310-10'!C127)</f>
        <v/>
      </c>
      <c r="D127" s="573">
        <f>IF(' Impaired Loans ASC 310-10'!D127="","",' Impaired Loans ASC 310-10'!D127)</f>
        <v/>
      </c>
      <c r="E127" s="574">
        <f>IF(' Impaired Loans ASC 310-10'!E127="","",' Impaired Loans ASC 310-10'!E127)</f>
        <v/>
      </c>
      <c r="F127" s="575">
        <f>IF(' Impaired Loans ASC 310-10'!F127="","",' Impaired Loans ASC 310-10'!F127)</f>
        <v/>
      </c>
      <c r="G127" s="574">
        <f>IF(' Impaired Loans ASC 310-10'!G127="","",' Impaired Loans ASC 310-10'!G127)</f>
        <v/>
      </c>
      <c r="H127" s="574">
        <f>IF(' Impaired Loans ASC 310-10'!H127="","",' Impaired Loans ASC 310-10'!H127)</f>
        <v/>
      </c>
      <c r="I127" s="574">
        <f>IF(' Impaired Loans ASC 310-10'!I127="","",' Impaired Loans ASC 310-10'!I127)</f>
        <v/>
      </c>
      <c r="J127" s="574">
        <f>IF(' Impaired Loans ASC 310-10'!J127="","",' Impaired Loans ASC 310-10'!J127)</f>
        <v/>
      </c>
      <c r="K127" s="584" t="n"/>
      <c r="L127" s="578">
        <f>IFERROR(A127,"")</f>
        <v/>
      </c>
      <c r="M127" s="849">
        <f>IF(' Impaired Loans ASC 310-10'!A127="","",' Impaired Loans ASC 310-10'!K127)</f>
        <v/>
      </c>
      <c r="N127" s="580">
        <f>IF(' Impaired Loans ASC 310-10'!A127="","",' Impaired Loans ASC 310-10'!L127)</f>
        <v/>
      </c>
      <c r="O127" s="581">
        <f>IF(' Impaired Loans ASC 310-10'!A127="","",' Impaired Loans ASC 310-10'!M127)</f>
        <v/>
      </c>
      <c r="P127" s="582">
        <f>IF(' Impaired Loans ASC 310-10'!A127="","",' Impaired Loans ASC 310-10'!O127)</f>
        <v/>
      </c>
      <c r="Q127" s="583">
        <f>IF(' Impaired Loans ASC 310-10'!A127="","",' Impaired Loans ASC 310-10'!N127)</f>
        <v/>
      </c>
      <c r="R127" s="583">
        <f>IF(' Impaired Loans ASC 310-10'!A127="","",' Impaired Loans ASC 310-10'!P127)</f>
        <v/>
      </c>
      <c r="S127" s="583">
        <f>IF(' Impaired Loans ASC 310-10'!A127="","",' Impaired Loans ASC 310-10'!Q127)</f>
        <v/>
      </c>
    </row>
    <row r="128">
      <c r="A128" s="573">
        <f>IF(' Impaired Loans ASC 310-10'!A128="","",' Impaired Loans ASC 310-10'!A128)</f>
        <v/>
      </c>
      <c r="B128" s="573">
        <f>IF(' Impaired Loans ASC 310-10'!B128="","",' Impaired Loans ASC 310-10'!B128)</f>
        <v/>
      </c>
      <c r="C128" s="573">
        <f>IF(' Impaired Loans ASC 310-10'!C128="","",' Impaired Loans ASC 310-10'!C128)</f>
        <v/>
      </c>
      <c r="D128" s="573">
        <f>IF(' Impaired Loans ASC 310-10'!D128="","",' Impaired Loans ASC 310-10'!D128)</f>
        <v/>
      </c>
      <c r="E128" s="574">
        <f>IF(' Impaired Loans ASC 310-10'!E128="","",' Impaired Loans ASC 310-10'!E128)</f>
        <v/>
      </c>
      <c r="F128" s="575">
        <f>IF(' Impaired Loans ASC 310-10'!F128="","",' Impaired Loans ASC 310-10'!F128)</f>
        <v/>
      </c>
      <c r="G128" s="574">
        <f>IF(' Impaired Loans ASC 310-10'!G128="","",' Impaired Loans ASC 310-10'!G128)</f>
        <v/>
      </c>
      <c r="H128" s="574">
        <f>IF(' Impaired Loans ASC 310-10'!H128="","",' Impaired Loans ASC 310-10'!H128)</f>
        <v/>
      </c>
      <c r="I128" s="574">
        <f>IF(' Impaired Loans ASC 310-10'!I128="","",' Impaired Loans ASC 310-10'!I128)</f>
        <v/>
      </c>
      <c r="J128" s="574">
        <f>IF(' Impaired Loans ASC 310-10'!J128="","",' Impaired Loans ASC 310-10'!J128)</f>
        <v/>
      </c>
      <c r="K128" s="584" t="n"/>
      <c r="L128" s="578">
        <f>IFERROR(A128,"")</f>
        <v/>
      </c>
      <c r="M128" s="849">
        <f>IF(' Impaired Loans ASC 310-10'!A128="","",' Impaired Loans ASC 310-10'!K128)</f>
        <v/>
      </c>
      <c r="N128" s="580">
        <f>IF(' Impaired Loans ASC 310-10'!A128="","",' Impaired Loans ASC 310-10'!L128)</f>
        <v/>
      </c>
      <c r="O128" s="581">
        <f>IF(' Impaired Loans ASC 310-10'!A128="","",' Impaired Loans ASC 310-10'!M128)</f>
        <v/>
      </c>
      <c r="P128" s="582">
        <f>IF(' Impaired Loans ASC 310-10'!A128="","",' Impaired Loans ASC 310-10'!O128)</f>
        <v/>
      </c>
      <c r="Q128" s="583">
        <f>IF(' Impaired Loans ASC 310-10'!A128="","",' Impaired Loans ASC 310-10'!N128)</f>
        <v/>
      </c>
      <c r="R128" s="583">
        <f>IF(' Impaired Loans ASC 310-10'!A128="","",' Impaired Loans ASC 310-10'!P128)</f>
        <v/>
      </c>
      <c r="S128" s="583">
        <f>IF(' Impaired Loans ASC 310-10'!A128="","",' Impaired Loans ASC 310-10'!Q128)</f>
        <v/>
      </c>
    </row>
    <row r="129">
      <c r="A129" s="573">
        <f>IF(' Impaired Loans ASC 310-10'!A129="","",' Impaired Loans ASC 310-10'!A129)</f>
        <v/>
      </c>
      <c r="B129" s="573">
        <f>IF(' Impaired Loans ASC 310-10'!B129="","",' Impaired Loans ASC 310-10'!B129)</f>
        <v/>
      </c>
      <c r="C129" s="573">
        <f>IF(' Impaired Loans ASC 310-10'!C129="","",' Impaired Loans ASC 310-10'!C129)</f>
        <v/>
      </c>
      <c r="D129" s="573">
        <f>IF(' Impaired Loans ASC 310-10'!D129="","",' Impaired Loans ASC 310-10'!D129)</f>
        <v/>
      </c>
      <c r="E129" s="574">
        <f>IF(' Impaired Loans ASC 310-10'!E129="","",' Impaired Loans ASC 310-10'!E129)</f>
        <v/>
      </c>
      <c r="F129" s="575">
        <f>IF(' Impaired Loans ASC 310-10'!F129="","",' Impaired Loans ASC 310-10'!F129)</f>
        <v/>
      </c>
      <c r="G129" s="574">
        <f>IF(' Impaired Loans ASC 310-10'!G129="","",' Impaired Loans ASC 310-10'!G129)</f>
        <v/>
      </c>
      <c r="H129" s="574">
        <f>IF(' Impaired Loans ASC 310-10'!H129="","",' Impaired Loans ASC 310-10'!H129)</f>
        <v/>
      </c>
      <c r="I129" s="574">
        <f>IF(' Impaired Loans ASC 310-10'!I129="","",' Impaired Loans ASC 310-10'!I129)</f>
        <v/>
      </c>
      <c r="J129" s="574">
        <f>IF(' Impaired Loans ASC 310-10'!J129="","",' Impaired Loans ASC 310-10'!J129)</f>
        <v/>
      </c>
      <c r="K129" s="584" t="n"/>
      <c r="L129" s="578">
        <f>IFERROR(A129,"")</f>
        <v/>
      </c>
      <c r="M129" s="849">
        <f>IF(' Impaired Loans ASC 310-10'!A129="","",' Impaired Loans ASC 310-10'!K129)</f>
        <v/>
      </c>
      <c r="N129" s="580">
        <f>IF(' Impaired Loans ASC 310-10'!A129="","",' Impaired Loans ASC 310-10'!L129)</f>
        <v/>
      </c>
      <c r="O129" s="581">
        <f>IF(' Impaired Loans ASC 310-10'!A129="","",' Impaired Loans ASC 310-10'!M129)</f>
        <v/>
      </c>
      <c r="P129" s="582">
        <f>IF(' Impaired Loans ASC 310-10'!A129="","",' Impaired Loans ASC 310-10'!O129)</f>
        <v/>
      </c>
      <c r="Q129" s="583">
        <f>IF(' Impaired Loans ASC 310-10'!A129="","",' Impaired Loans ASC 310-10'!N129)</f>
        <v/>
      </c>
      <c r="R129" s="583">
        <f>IF(' Impaired Loans ASC 310-10'!A129="","",' Impaired Loans ASC 310-10'!P129)</f>
        <v/>
      </c>
      <c r="S129" s="583">
        <f>IF(' Impaired Loans ASC 310-10'!A129="","",' Impaired Loans ASC 310-10'!Q129)</f>
        <v/>
      </c>
    </row>
    <row r="130">
      <c r="A130" s="573">
        <f>IF(' Impaired Loans ASC 310-10'!A130="","",' Impaired Loans ASC 310-10'!A130)</f>
        <v/>
      </c>
      <c r="B130" s="573">
        <f>IF(' Impaired Loans ASC 310-10'!B130="","",' Impaired Loans ASC 310-10'!B130)</f>
        <v/>
      </c>
      <c r="C130" s="573">
        <f>IF(' Impaired Loans ASC 310-10'!C130="","",' Impaired Loans ASC 310-10'!C130)</f>
        <v/>
      </c>
      <c r="D130" s="573">
        <f>IF(' Impaired Loans ASC 310-10'!D130="","",' Impaired Loans ASC 310-10'!D130)</f>
        <v/>
      </c>
      <c r="E130" s="574">
        <f>IF(' Impaired Loans ASC 310-10'!E130="","",' Impaired Loans ASC 310-10'!E130)</f>
        <v/>
      </c>
      <c r="F130" s="575">
        <f>IF(' Impaired Loans ASC 310-10'!F130="","",' Impaired Loans ASC 310-10'!F130)</f>
        <v/>
      </c>
      <c r="G130" s="574">
        <f>IF(' Impaired Loans ASC 310-10'!G130="","",' Impaired Loans ASC 310-10'!G130)</f>
        <v/>
      </c>
      <c r="H130" s="574">
        <f>IF(' Impaired Loans ASC 310-10'!H130="","",' Impaired Loans ASC 310-10'!H130)</f>
        <v/>
      </c>
      <c r="I130" s="574">
        <f>IF(' Impaired Loans ASC 310-10'!I130="","",' Impaired Loans ASC 310-10'!I130)</f>
        <v/>
      </c>
      <c r="J130" s="574">
        <f>IF(' Impaired Loans ASC 310-10'!J130="","",' Impaired Loans ASC 310-10'!J130)</f>
        <v/>
      </c>
      <c r="K130" s="584" t="n"/>
      <c r="L130" s="578">
        <f>IFERROR(A130,"")</f>
        <v/>
      </c>
      <c r="M130" s="849">
        <f>IF(' Impaired Loans ASC 310-10'!A130="","",' Impaired Loans ASC 310-10'!K130)</f>
        <v/>
      </c>
      <c r="N130" s="580">
        <f>IF(' Impaired Loans ASC 310-10'!A130="","",' Impaired Loans ASC 310-10'!L130)</f>
        <v/>
      </c>
      <c r="O130" s="581">
        <f>IF(' Impaired Loans ASC 310-10'!A130="","",' Impaired Loans ASC 310-10'!M130)</f>
        <v/>
      </c>
      <c r="P130" s="582">
        <f>IF(' Impaired Loans ASC 310-10'!A130="","",' Impaired Loans ASC 310-10'!O130)</f>
        <v/>
      </c>
      <c r="Q130" s="583">
        <f>IF(' Impaired Loans ASC 310-10'!A130="","",' Impaired Loans ASC 310-10'!N130)</f>
        <v/>
      </c>
      <c r="R130" s="583">
        <f>IF(' Impaired Loans ASC 310-10'!A130="","",' Impaired Loans ASC 310-10'!P130)</f>
        <v/>
      </c>
      <c r="S130" s="583">
        <f>IF(' Impaired Loans ASC 310-10'!A130="","",' Impaired Loans ASC 310-10'!Q130)</f>
        <v/>
      </c>
    </row>
    <row r="131">
      <c r="A131" s="573">
        <f>IF(' Impaired Loans ASC 310-10'!A131="","",' Impaired Loans ASC 310-10'!A131)</f>
        <v/>
      </c>
      <c r="B131" s="573">
        <f>IF(' Impaired Loans ASC 310-10'!B131="","",' Impaired Loans ASC 310-10'!B131)</f>
        <v/>
      </c>
      <c r="C131" s="573">
        <f>IF(' Impaired Loans ASC 310-10'!C131="","",' Impaired Loans ASC 310-10'!C131)</f>
        <v/>
      </c>
      <c r="D131" s="573">
        <f>IF(' Impaired Loans ASC 310-10'!D131="","",' Impaired Loans ASC 310-10'!D131)</f>
        <v/>
      </c>
      <c r="E131" s="574">
        <f>IF(' Impaired Loans ASC 310-10'!E131="","",' Impaired Loans ASC 310-10'!E131)</f>
        <v/>
      </c>
      <c r="F131" s="575">
        <f>IF(' Impaired Loans ASC 310-10'!F131="","",' Impaired Loans ASC 310-10'!F131)</f>
        <v/>
      </c>
      <c r="G131" s="574">
        <f>IF(' Impaired Loans ASC 310-10'!G131="","",' Impaired Loans ASC 310-10'!G131)</f>
        <v/>
      </c>
      <c r="H131" s="574">
        <f>IF(' Impaired Loans ASC 310-10'!H131="","",' Impaired Loans ASC 310-10'!H131)</f>
        <v/>
      </c>
      <c r="I131" s="574">
        <f>IF(' Impaired Loans ASC 310-10'!I131="","",' Impaired Loans ASC 310-10'!I131)</f>
        <v/>
      </c>
      <c r="J131" s="574">
        <f>IF(' Impaired Loans ASC 310-10'!J131="","",' Impaired Loans ASC 310-10'!J131)</f>
        <v/>
      </c>
      <c r="K131" s="584" t="n"/>
      <c r="L131" s="578">
        <f>IFERROR(A131,"")</f>
        <v/>
      </c>
      <c r="M131" s="849">
        <f>IF(' Impaired Loans ASC 310-10'!A131="","",' Impaired Loans ASC 310-10'!K131)</f>
        <v/>
      </c>
      <c r="N131" s="580">
        <f>IF(' Impaired Loans ASC 310-10'!A131="","",' Impaired Loans ASC 310-10'!L131)</f>
        <v/>
      </c>
      <c r="O131" s="581">
        <f>IF(' Impaired Loans ASC 310-10'!A131="","",' Impaired Loans ASC 310-10'!M131)</f>
        <v/>
      </c>
      <c r="P131" s="582">
        <f>IF(' Impaired Loans ASC 310-10'!A131="","",' Impaired Loans ASC 310-10'!O131)</f>
        <v/>
      </c>
      <c r="Q131" s="583">
        <f>IF(' Impaired Loans ASC 310-10'!A131="","",' Impaired Loans ASC 310-10'!N131)</f>
        <v/>
      </c>
      <c r="R131" s="583">
        <f>IF(' Impaired Loans ASC 310-10'!A131="","",' Impaired Loans ASC 310-10'!P131)</f>
        <v/>
      </c>
      <c r="S131" s="583">
        <f>IF(' Impaired Loans ASC 310-10'!A131="","",' Impaired Loans ASC 310-10'!Q131)</f>
        <v/>
      </c>
    </row>
    <row r="132">
      <c r="A132" s="573">
        <f>IF(' Impaired Loans ASC 310-10'!A132="","",' Impaired Loans ASC 310-10'!A132)</f>
        <v/>
      </c>
      <c r="B132" s="573">
        <f>IF(' Impaired Loans ASC 310-10'!B132="","",' Impaired Loans ASC 310-10'!B132)</f>
        <v/>
      </c>
      <c r="C132" s="573">
        <f>IF(' Impaired Loans ASC 310-10'!C132="","",' Impaired Loans ASC 310-10'!C132)</f>
        <v/>
      </c>
      <c r="D132" s="573">
        <f>IF(' Impaired Loans ASC 310-10'!D132="","",' Impaired Loans ASC 310-10'!D132)</f>
        <v/>
      </c>
      <c r="E132" s="574">
        <f>IF(' Impaired Loans ASC 310-10'!E132="","",' Impaired Loans ASC 310-10'!E132)</f>
        <v/>
      </c>
      <c r="F132" s="575">
        <f>IF(' Impaired Loans ASC 310-10'!F132="","",' Impaired Loans ASC 310-10'!F132)</f>
        <v/>
      </c>
      <c r="G132" s="574">
        <f>IF(' Impaired Loans ASC 310-10'!G132="","",' Impaired Loans ASC 310-10'!G132)</f>
        <v/>
      </c>
      <c r="H132" s="574">
        <f>IF(' Impaired Loans ASC 310-10'!H132="","",' Impaired Loans ASC 310-10'!H132)</f>
        <v/>
      </c>
      <c r="I132" s="574">
        <f>IF(' Impaired Loans ASC 310-10'!I132="","",' Impaired Loans ASC 310-10'!I132)</f>
        <v/>
      </c>
      <c r="J132" s="574">
        <f>IF(' Impaired Loans ASC 310-10'!J132="","",' Impaired Loans ASC 310-10'!J132)</f>
        <v/>
      </c>
      <c r="K132" s="584" t="n"/>
      <c r="L132" s="578">
        <f>IFERROR(A132,"")</f>
        <v/>
      </c>
      <c r="M132" s="849">
        <f>IF(' Impaired Loans ASC 310-10'!A132="","",' Impaired Loans ASC 310-10'!K132)</f>
        <v/>
      </c>
      <c r="N132" s="580">
        <f>IF(' Impaired Loans ASC 310-10'!A132="","",' Impaired Loans ASC 310-10'!L132)</f>
        <v/>
      </c>
      <c r="O132" s="581">
        <f>IF(' Impaired Loans ASC 310-10'!A132="","",' Impaired Loans ASC 310-10'!M132)</f>
        <v/>
      </c>
      <c r="P132" s="582">
        <f>IF(' Impaired Loans ASC 310-10'!A132="","",' Impaired Loans ASC 310-10'!O132)</f>
        <v/>
      </c>
      <c r="Q132" s="583">
        <f>IF(' Impaired Loans ASC 310-10'!A132="","",' Impaired Loans ASC 310-10'!N132)</f>
        <v/>
      </c>
      <c r="R132" s="583">
        <f>IF(' Impaired Loans ASC 310-10'!A132="","",' Impaired Loans ASC 310-10'!P132)</f>
        <v/>
      </c>
      <c r="S132" s="583">
        <f>IF(' Impaired Loans ASC 310-10'!A132="","",' Impaired Loans ASC 310-10'!Q132)</f>
        <v/>
      </c>
    </row>
    <row r="133">
      <c r="A133" s="573">
        <f>IF(' Impaired Loans ASC 310-10'!A133="","",' Impaired Loans ASC 310-10'!A133)</f>
        <v/>
      </c>
      <c r="B133" s="573">
        <f>IF(' Impaired Loans ASC 310-10'!B133="","",' Impaired Loans ASC 310-10'!B133)</f>
        <v/>
      </c>
      <c r="C133" s="573">
        <f>IF(' Impaired Loans ASC 310-10'!C133="","",' Impaired Loans ASC 310-10'!C133)</f>
        <v/>
      </c>
      <c r="D133" s="573">
        <f>IF(' Impaired Loans ASC 310-10'!D133="","",' Impaired Loans ASC 310-10'!D133)</f>
        <v/>
      </c>
      <c r="E133" s="574">
        <f>IF(' Impaired Loans ASC 310-10'!E133="","",' Impaired Loans ASC 310-10'!E133)</f>
        <v/>
      </c>
      <c r="F133" s="575">
        <f>IF(' Impaired Loans ASC 310-10'!F133="","",' Impaired Loans ASC 310-10'!F133)</f>
        <v/>
      </c>
      <c r="G133" s="574">
        <f>IF(' Impaired Loans ASC 310-10'!G133="","",' Impaired Loans ASC 310-10'!G133)</f>
        <v/>
      </c>
      <c r="H133" s="574">
        <f>IF(' Impaired Loans ASC 310-10'!H133="","",' Impaired Loans ASC 310-10'!H133)</f>
        <v/>
      </c>
      <c r="I133" s="574">
        <f>IF(' Impaired Loans ASC 310-10'!I133="","",' Impaired Loans ASC 310-10'!I133)</f>
        <v/>
      </c>
      <c r="J133" s="574">
        <f>IF(' Impaired Loans ASC 310-10'!J133="","",' Impaired Loans ASC 310-10'!J133)</f>
        <v/>
      </c>
      <c r="K133" s="584" t="n"/>
      <c r="L133" s="578">
        <f>IFERROR(A133,"")</f>
        <v/>
      </c>
      <c r="M133" s="849">
        <f>IF(' Impaired Loans ASC 310-10'!A133="","",' Impaired Loans ASC 310-10'!K133)</f>
        <v/>
      </c>
      <c r="N133" s="580">
        <f>IF(' Impaired Loans ASC 310-10'!A133="","",' Impaired Loans ASC 310-10'!L133)</f>
        <v/>
      </c>
      <c r="O133" s="581">
        <f>IF(' Impaired Loans ASC 310-10'!A133="","",' Impaired Loans ASC 310-10'!M133)</f>
        <v/>
      </c>
      <c r="P133" s="582">
        <f>IF(' Impaired Loans ASC 310-10'!A133="","",' Impaired Loans ASC 310-10'!O133)</f>
        <v/>
      </c>
      <c r="Q133" s="583">
        <f>IF(' Impaired Loans ASC 310-10'!A133="","",' Impaired Loans ASC 310-10'!N133)</f>
        <v/>
      </c>
      <c r="R133" s="583">
        <f>IF(' Impaired Loans ASC 310-10'!A133="","",' Impaired Loans ASC 310-10'!P133)</f>
        <v/>
      </c>
      <c r="S133" s="583">
        <f>IF(' Impaired Loans ASC 310-10'!A133="","",' Impaired Loans ASC 310-10'!Q133)</f>
        <v/>
      </c>
    </row>
    <row r="134">
      <c r="A134" s="573">
        <f>IF(' Impaired Loans ASC 310-10'!A134="","",' Impaired Loans ASC 310-10'!A134)</f>
        <v/>
      </c>
      <c r="B134" s="573">
        <f>IF(' Impaired Loans ASC 310-10'!B134="","",' Impaired Loans ASC 310-10'!B134)</f>
        <v/>
      </c>
      <c r="C134" s="573">
        <f>IF(' Impaired Loans ASC 310-10'!C134="","",' Impaired Loans ASC 310-10'!C134)</f>
        <v/>
      </c>
      <c r="D134" s="573">
        <f>IF(' Impaired Loans ASC 310-10'!D134="","",' Impaired Loans ASC 310-10'!D134)</f>
        <v/>
      </c>
      <c r="E134" s="574">
        <f>IF(' Impaired Loans ASC 310-10'!E134="","",' Impaired Loans ASC 310-10'!E134)</f>
        <v/>
      </c>
      <c r="F134" s="575">
        <f>IF(' Impaired Loans ASC 310-10'!F134="","",' Impaired Loans ASC 310-10'!F134)</f>
        <v/>
      </c>
      <c r="G134" s="574">
        <f>IF(' Impaired Loans ASC 310-10'!G134="","",' Impaired Loans ASC 310-10'!G134)</f>
        <v/>
      </c>
      <c r="H134" s="574">
        <f>IF(' Impaired Loans ASC 310-10'!H134="","",' Impaired Loans ASC 310-10'!H134)</f>
        <v/>
      </c>
      <c r="I134" s="574">
        <f>IF(' Impaired Loans ASC 310-10'!I134="","",' Impaired Loans ASC 310-10'!I134)</f>
        <v/>
      </c>
      <c r="J134" s="574">
        <f>IF(' Impaired Loans ASC 310-10'!J134="","",' Impaired Loans ASC 310-10'!J134)</f>
        <v/>
      </c>
      <c r="K134" s="584" t="n"/>
      <c r="L134" s="578">
        <f>IFERROR(A134,"")</f>
        <v/>
      </c>
      <c r="M134" s="849">
        <f>IF(' Impaired Loans ASC 310-10'!A134="","",' Impaired Loans ASC 310-10'!K134)</f>
        <v/>
      </c>
      <c r="N134" s="580">
        <f>IF(' Impaired Loans ASC 310-10'!A134="","",' Impaired Loans ASC 310-10'!L134)</f>
        <v/>
      </c>
      <c r="O134" s="581">
        <f>IF(' Impaired Loans ASC 310-10'!A134="","",' Impaired Loans ASC 310-10'!M134)</f>
        <v/>
      </c>
      <c r="P134" s="582">
        <f>IF(' Impaired Loans ASC 310-10'!A134="","",' Impaired Loans ASC 310-10'!O134)</f>
        <v/>
      </c>
      <c r="Q134" s="583">
        <f>IF(' Impaired Loans ASC 310-10'!A134="","",' Impaired Loans ASC 310-10'!N134)</f>
        <v/>
      </c>
      <c r="R134" s="583">
        <f>IF(' Impaired Loans ASC 310-10'!A134="","",' Impaired Loans ASC 310-10'!P134)</f>
        <v/>
      </c>
      <c r="S134" s="583">
        <f>IF(' Impaired Loans ASC 310-10'!A134="","",' Impaired Loans ASC 310-10'!Q134)</f>
        <v/>
      </c>
    </row>
    <row r="135">
      <c r="A135" s="573">
        <f>IF(' Impaired Loans ASC 310-10'!A135="","",' Impaired Loans ASC 310-10'!A135)</f>
        <v/>
      </c>
      <c r="B135" s="573">
        <f>IF(' Impaired Loans ASC 310-10'!B135="","",' Impaired Loans ASC 310-10'!B135)</f>
        <v/>
      </c>
      <c r="C135" s="573">
        <f>IF(' Impaired Loans ASC 310-10'!C135="","",' Impaired Loans ASC 310-10'!C135)</f>
        <v/>
      </c>
      <c r="D135" s="573">
        <f>IF(' Impaired Loans ASC 310-10'!D135="","",' Impaired Loans ASC 310-10'!D135)</f>
        <v/>
      </c>
      <c r="E135" s="574">
        <f>IF(' Impaired Loans ASC 310-10'!E135="","",' Impaired Loans ASC 310-10'!E135)</f>
        <v/>
      </c>
      <c r="F135" s="575">
        <f>IF(' Impaired Loans ASC 310-10'!F135="","",' Impaired Loans ASC 310-10'!F135)</f>
        <v/>
      </c>
      <c r="G135" s="574">
        <f>IF(' Impaired Loans ASC 310-10'!G135="","",' Impaired Loans ASC 310-10'!G135)</f>
        <v/>
      </c>
      <c r="H135" s="574">
        <f>IF(' Impaired Loans ASC 310-10'!H135="","",' Impaired Loans ASC 310-10'!H135)</f>
        <v/>
      </c>
      <c r="I135" s="574">
        <f>IF(' Impaired Loans ASC 310-10'!I135="","",' Impaired Loans ASC 310-10'!I135)</f>
        <v/>
      </c>
      <c r="J135" s="574">
        <f>IF(' Impaired Loans ASC 310-10'!J135="","",' Impaired Loans ASC 310-10'!J135)</f>
        <v/>
      </c>
      <c r="K135" s="584" t="n"/>
      <c r="L135" s="578">
        <f>IFERROR(A135,"")</f>
        <v/>
      </c>
      <c r="M135" s="849">
        <f>IF(' Impaired Loans ASC 310-10'!A135="","",' Impaired Loans ASC 310-10'!K135)</f>
        <v/>
      </c>
      <c r="N135" s="580">
        <f>IF(' Impaired Loans ASC 310-10'!A135="","",' Impaired Loans ASC 310-10'!L135)</f>
        <v/>
      </c>
      <c r="O135" s="581">
        <f>IF(' Impaired Loans ASC 310-10'!A135="","",' Impaired Loans ASC 310-10'!M135)</f>
        <v/>
      </c>
      <c r="P135" s="582">
        <f>IF(' Impaired Loans ASC 310-10'!A135="","",' Impaired Loans ASC 310-10'!O135)</f>
        <v/>
      </c>
      <c r="Q135" s="583">
        <f>IF(' Impaired Loans ASC 310-10'!A135="","",' Impaired Loans ASC 310-10'!N135)</f>
        <v/>
      </c>
      <c r="R135" s="583">
        <f>IF(' Impaired Loans ASC 310-10'!A135="","",' Impaired Loans ASC 310-10'!P135)</f>
        <v/>
      </c>
      <c r="S135" s="583">
        <f>IF(' Impaired Loans ASC 310-10'!A135="","",' Impaired Loans ASC 310-10'!Q135)</f>
        <v/>
      </c>
    </row>
    <row r="136">
      <c r="A136" s="573">
        <f>IF(' Impaired Loans ASC 310-10'!A136="","",' Impaired Loans ASC 310-10'!A136)</f>
        <v/>
      </c>
      <c r="B136" s="573">
        <f>IF(' Impaired Loans ASC 310-10'!B136="","",' Impaired Loans ASC 310-10'!B136)</f>
        <v/>
      </c>
      <c r="C136" s="573">
        <f>IF(' Impaired Loans ASC 310-10'!C136="","",' Impaired Loans ASC 310-10'!C136)</f>
        <v/>
      </c>
      <c r="D136" s="573">
        <f>IF(' Impaired Loans ASC 310-10'!D136="","",' Impaired Loans ASC 310-10'!D136)</f>
        <v/>
      </c>
      <c r="E136" s="574">
        <f>IF(' Impaired Loans ASC 310-10'!E136="","",' Impaired Loans ASC 310-10'!E136)</f>
        <v/>
      </c>
      <c r="F136" s="575">
        <f>IF(' Impaired Loans ASC 310-10'!F136="","",' Impaired Loans ASC 310-10'!F136)</f>
        <v/>
      </c>
      <c r="G136" s="574">
        <f>IF(' Impaired Loans ASC 310-10'!G136="","",' Impaired Loans ASC 310-10'!G136)</f>
        <v/>
      </c>
      <c r="H136" s="574">
        <f>IF(' Impaired Loans ASC 310-10'!H136="","",' Impaired Loans ASC 310-10'!H136)</f>
        <v/>
      </c>
      <c r="I136" s="574">
        <f>IF(' Impaired Loans ASC 310-10'!I136="","",' Impaired Loans ASC 310-10'!I136)</f>
        <v/>
      </c>
      <c r="J136" s="574">
        <f>IF(' Impaired Loans ASC 310-10'!J136="","",' Impaired Loans ASC 310-10'!J136)</f>
        <v/>
      </c>
      <c r="K136" s="584" t="n"/>
      <c r="L136" s="578">
        <f>IFERROR(A136,"")</f>
        <v/>
      </c>
      <c r="M136" s="849">
        <f>IF(' Impaired Loans ASC 310-10'!A136="","",' Impaired Loans ASC 310-10'!K136)</f>
        <v/>
      </c>
      <c r="N136" s="580">
        <f>IF(' Impaired Loans ASC 310-10'!A136="","",' Impaired Loans ASC 310-10'!L136)</f>
        <v/>
      </c>
      <c r="O136" s="581">
        <f>IF(' Impaired Loans ASC 310-10'!A136="","",' Impaired Loans ASC 310-10'!M136)</f>
        <v/>
      </c>
      <c r="P136" s="582">
        <f>IF(' Impaired Loans ASC 310-10'!A136="","",' Impaired Loans ASC 310-10'!O136)</f>
        <v/>
      </c>
      <c r="Q136" s="583">
        <f>IF(' Impaired Loans ASC 310-10'!A136="","",' Impaired Loans ASC 310-10'!N136)</f>
        <v/>
      </c>
      <c r="R136" s="583">
        <f>IF(' Impaired Loans ASC 310-10'!A136="","",' Impaired Loans ASC 310-10'!P136)</f>
        <v/>
      </c>
      <c r="S136" s="583">
        <f>IF(' Impaired Loans ASC 310-10'!A136="","",' Impaired Loans ASC 310-10'!Q136)</f>
        <v/>
      </c>
    </row>
    <row r="137">
      <c r="A137" s="573">
        <f>IF(' Impaired Loans ASC 310-10'!A137="","",' Impaired Loans ASC 310-10'!A137)</f>
        <v/>
      </c>
      <c r="B137" s="573">
        <f>IF(' Impaired Loans ASC 310-10'!B137="","",' Impaired Loans ASC 310-10'!B137)</f>
        <v/>
      </c>
      <c r="C137" s="573">
        <f>IF(' Impaired Loans ASC 310-10'!C137="","",' Impaired Loans ASC 310-10'!C137)</f>
        <v/>
      </c>
      <c r="D137" s="573">
        <f>IF(' Impaired Loans ASC 310-10'!D137="","",' Impaired Loans ASC 310-10'!D137)</f>
        <v/>
      </c>
      <c r="E137" s="574">
        <f>IF(' Impaired Loans ASC 310-10'!E137="","",' Impaired Loans ASC 310-10'!E137)</f>
        <v/>
      </c>
      <c r="F137" s="575">
        <f>IF(' Impaired Loans ASC 310-10'!F137="","",' Impaired Loans ASC 310-10'!F137)</f>
        <v/>
      </c>
      <c r="G137" s="574">
        <f>IF(' Impaired Loans ASC 310-10'!G137="","",' Impaired Loans ASC 310-10'!G137)</f>
        <v/>
      </c>
      <c r="H137" s="574">
        <f>IF(' Impaired Loans ASC 310-10'!H137="","",' Impaired Loans ASC 310-10'!H137)</f>
        <v/>
      </c>
      <c r="I137" s="574">
        <f>IF(' Impaired Loans ASC 310-10'!I137="","",' Impaired Loans ASC 310-10'!I137)</f>
        <v/>
      </c>
      <c r="J137" s="574">
        <f>IF(' Impaired Loans ASC 310-10'!J137="","",' Impaired Loans ASC 310-10'!J137)</f>
        <v/>
      </c>
      <c r="K137" s="584" t="n"/>
      <c r="L137" s="578">
        <f>IFERROR(A137,"")</f>
        <v/>
      </c>
      <c r="M137" s="849">
        <f>IF(' Impaired Loans ASC 310-10'!A137="","",' Impaired Loans ASC 310-10'!K137)</f>
        <v/>
      </c>
      <c r="N137" s="580">
        <f>IF(' Impaired Loans ASC 310-10'!A137="","",' Impaired Loans ASC 310-10'!L137)</f>
        <v/>
      </c>
      <c r="O137" s="581">
        <f>IF(' Impaired Loans ASC 310-10'!A137="","",' Impaired Loans ASC 310-10'!M137)</f>
        <v/>
      </c>
      <c r="P137" s="582">
        <f>IF(' Impaired Loans ASC 310-10'!A137="","",' Impaired Loans ASC 310-10'!O137)</f>
        <v/>
      </c>
      <c r="Q137" s="583">
        <f>IF(' Impaired Loans ASC 310-10'!A137="","",' Impaired Loans ASC 310-10'!N137)</f>
        <v/>
      </c>
      <c r="R137" s="583">
        <f>IF(' Impaired Loans ASC 310-10'!A137="","",' Impaired Loans ASC 310-10'!P137)</f>
        <v/>
      </c>
      <c r="S137" s="583">
        <f>IF(' Impaired Loans ASC 310-10'!A137="","",' Impaired Loans ASC 310-10'!Q137)</f>
        <v/>
      </c>
    </row>
    <row r="138">
      <c r="A138" s="573">
        <f>IF(' Impaired Loans ASC 310-10'!A138="","",' Impaired Loans ASC 310-10'!A138)</f>
        <v/>
      </c>
      <c r="B138" s="573">
        <f>IF(' Impaired Loans ASC 310-10'!B138="","",' Impaired Loans ASC 310-10'!B138)</f>
        <v/>
      </c>
      <c r="C138" s="573">
        <f>IF(' Impaired Loans ASC 310-10'!C138="","",' Impaired Loans ASC 310-10'!C138)</f>
        <v/>
      </c>
      <c r="D138" s="573">
        <f>IF(' Impaired Loans ASC 310-10'!D138="","",' Impaired Loans ASC 310-10'!D138)</f>
        <v/>
      </c>
      <c r="E138" s="574">
        <f>IF(' Impaired Loans ASC 310-10'!E138="","",' Impaired Loans ASC 310-10'!E138)</f>
        <v/>
      </c>
      <c r="F138" s="575">
        <f>IF(' Impaired Loans ASC 310-10'!F138="","",' Impaired Loans ASC 310-10'!F138)</f>
        <v/>
      </c>
      <c r="G138" s="574">
        <f>IF(' Impaired Loans ASC 310-10'!G138="","",' Impaired Loans ASC 310-10'!G138)</f>
        <v/>
      </c>
      <c r="H138" s="574">
        <f>IF(' Impaired Loans ASC 310-10'!H138="","",' Impaired Loans ASC 310-10'!H138)</f>
        <v/>
      </c>
      <c r="I138" s="574">
        <f>IF(' Impaired Loans ASC 310-10'!I138="","",' Impaired Loans ASC 310-10'!I138)</f>
        <v/>
      </c>
      <c r="J138" s="574">
        <f>IF(' Impaired Loans ASC 310-10'!J138="","",' Impaired Loans ASC 310-10'!J138)</f>
        <v/>
      </c>
      <c r="K138" s="584" t="n"/>
      <c r="L138" s="578">
        <f>IFERROR(A138,"")</f>
        <v/>
      </c>
      <c r="M138" s="849">
        <f>IF(' Impaired Loans ASC 310-10'!A138="","",' Impaired Loans ASC 310-10'!K138)</f>
        <v/>
      </c>
      <c r="N138" s="580">
        <f>IF(' Impaired Loans ASC 310-10'!A138="","",' Impaired Loans ASC 310-10'!L138)</f>
        <v/>
      </c>
      <c r="O138" s="581">
        <f>IF(' Impaired Loans ASC 310-10'!A138="","",' Impaired Loans ASC 310-10'!M138)</f>
        <v/>
      </c>
      <c r="P138" s="582">
        <f>IF(' Impaired Loans ASC 310-10'!A138="","",' Impaired Loans ASC 310-10'!O138)</f>
        <v/>
      </c>
      <c r="Q138" s="583">
        <f>IF(' Impaired Loans ASC 310-10'!A138="","",' Impaired Loans ASC 310-10'!N138)</f>
        <v/>
      </c>
      <c r="R138" s="583">
        <f>IF(' Impaired Loans ASC 310-10'!A138="","",' Impaired Loans ASC 310-10'!P138)</f>
        <v/>
      </c>
      <c r="S138" s="583">
        <f>IF(' Impaired Loans ASC 310-10'!A138="","",' Impaired Loans ASC 310-10'!Q138)</f>
        <v/>
      </c>
    </row>
    <row r="139">
      <c r="A139" s="573">
        <f>IF(' Impaired Loans ASC 310-10'!A139="","",' Impaired Loans ASC 310-10'!A139)</f>
        <v/>
      </c>
      <c r="B139" s="573">
        <f>IF(' Impaired Loans ASC 310-10'!B139="","",' Impaired Loans ASC 310-10'!B139)</f>
        <v/>
      </c>
      <c r="C139" s="573">
        <f>IF(' Impaired Loans ASC 310-10'!C139="","",' Impaired Loans ASC 310-10'!C139)</f>
        <v/>
      </c>
      <c r="D139" s="573">
        <f>IF(' Impaired Loans ASC 310-10'!D139="","",' Impaired Loans ASC 310-10'!D139)</f>
        <v/>
      </c>
      <c r="E139" s="574">
        <f>IF(' Impaired Loans ASC 310-10'!E139="","",' Impaired Loans ASC 310-10'!E139)</f>
        <v/>
      </c>
      <c r="F139" s="575">
        <f>IF(' Impaired Loans ASC 310-10'!F139="","",' Impaired Loans ASC 310-10'!F139)</f>
        <v/>
      </c>
      <c r="G139" s="574">
        <f>IF(' Impaired Loans ASC 310-10'!G139="","",' Impaired Loans ASC 310-10'!G139)</f>
        <v/>
      </c>
      <c r="H139" s="574">
        <f>IF(' Impaired Loans ASC 310-10'!H139="","",' Impaired Loans ASC 310-10'!H139)</f>
        <v/>
      </c>
      <c r="I139" s="574">
        <f>IF(' Impaired Loans ASC 310-10'!I139="","",' Impaired Loans ASC 310-10'!I139)</f>
        <v/>
      </c>
      <c r="J139" s="574">
        <f>IF(' Impaired Loans ASC 310-10'!J139="","",' Impaired Loans ASC 310-10'!J139)</f>
        <v/>
      </c>
      <c r="K139" s="584" t="n"/>
      <c r="L139" s="578">
        <f>IFERROR(A139,"")</f>
        <v/>
      </c>
      <c r="M139" s="849">
        <f>IF(' Impaired Loans ASC 310-10'!A139="","",' Impaired Loans ASC 310-10'!K139)</f>
        <v/>
      </c>
      <c r="N139" s="580">
        <f>IF(' Impaired Loans ASC 310-10'!A139="","",' Impaired Loans ASC 310-10'!L139)</f>
        <v/>
      </c>
      <c r="O139" s="581">
        <f>IF(' Impaired Loans ASC 310-10'!A139="","",' Impaired Loans ASC 310-10'!M139)</f>
        <v/>
      </c>
      <c r="P139" s="582">
        <f>IF(' Impaired Loans ASC 310-10'!A139="","",' Impaired Loans ASC 310-10'!O139)</f>
        <v/>
      </c>
      <c r="Q139" s="583">
        <f>IF(' Impaired Loans ASC 310-10'!A139="","",' Impaired Loans ASC 310-10'!N139)</f>
        <v/>
      </c>
      <c r="R139" s="583">
        <f>IF(' Impaired Loans ASC 310-10'!A139="","",' Impaired Loans ASC 310-10'!P139)</f>
        <v/>
      </c>
      <c r="S139" s="583">
        <f>IF(' Impaired Loans ASC 310-10'!A139="","",' Impaired Loans ASC 310-10'!Q139)</f>
        <v/>
      </c>
    </row>
    <row r="140">
      <c r="A140" s="573">
        <f>IF(' Impaired Loans ASC 310-10'!A140="","",' Impaired Loans ASC 310-10'!A140)</f>
        <v/>
      </c>
      <c r="B140" s="573">
        <f>IF(' Impaired Loans ASC 310-10'!B140="","",' Impaired Loans ASC 310-10'!B140)</f>
        <v/>
      </c>
      <c r="C140" s="573">
        <f>IF(' Impaired Loans ASC 310-10'!C140="","",' Impaired Loans ASC 310-10'!C140)</f>
        <v/>
      </c>
      <c r="D140" s="573">
        <f>IF(' Impaired Loans ASC 310-10'!D140="","",' Impaired Loans ASC 310-10'!D140)</f>
        <v/>
      </c>
      <c r="E140" s="574">
        <f>IF(' Impaired Loans ASC 310-10'!E140="","",' Impaired Loans ASC 310-10'!E140)</f>
        <v/>
      </c>
      <c r="F140" s="575">
        <f>IF(' Impaired Loans ASC 310-10'!F140="","",' Impaired Loans ASC 310-10'!F140)</f>
        <v/>
      </c>
      <c r="G140" s="574">
        <f>IF(' Impaired Loans ASC 310-10'!G140="","",' Impaired Loans ASC 310-10'!G140)</f>
        <v/>
      </c>
      <c r="H140" s="574">
        <f>IF(' Impaired Loans ASC 310-10'!H140="","",' Impaired Loans ASC 310-10'!H140)</f>
        <v/>
      </c>
      <c r="I140" s="574">
        <f>IF(' Impaired Loans ASC 310-10'!I140="","",' Impaired Loans ASC 310-10'!I140)</f>
        <v/>
      </c>
      <c r="J140" s="574">
        <f>IF(' Impaired Loans ASC 310-10'!J140="","",' Impaired Loans ASC 310-10'!J140)</f>
        <v/>
      </c>
      <c r="K140" s="584" t="n"/>
      <c r="L140" s="578">
        <f>IFERROR(A140,"")</f>
        <v/>
      </c>
      <c r="M140" s="849">
        <f>IF(' Impaired Loans ASC 310-10'!A140="","",' Impaired Loans ASC 310-10'!K140)</f>
        <v/>
      </c>
      <c r="N140" s="580">
        <f>IF(' Impaired Loans ASC 310-10'!A140="","",' Impaired Loans ASC 310-10'!L140)</f>
        <v/>
      </c>
      <c r="O140" s="581">
        <f>IF(' Impaired Loans ASC 310-10'!A140="","",' Impaired Loans ASC 310-10'!M140)</f>
        <v/>
      </c>
      <c r="P140" s="582">
        <f>IF(' Impaired Loans ASC 310-10'!A140="","",' Impaired Loans ASC 310-10'!O140)</f>
        <v/>
      </c>
      <c r="Q140" s="583">
        <f>IF(' Impaired Loans ASC 310-10'!A140="","",' Impaired Loans ASC 310-10'!N140)</f>
        <v/>
      </c>
      <c r="R140" s="583">
        <f>IF(' Impaired Loans ASC 310-10'!A140="","",' Impaired Loans ASC 310-10'!P140)</f>
        <v/>
      </c>
      <c r="S140" s="583">
        <f>IF(' Impaired Loans ASC 310-10'!A140="","",' Impaired Loans ASC 310-10'!Q140)</f>
        <v/>
      </c>
    </row>
    <row r="141">
      <c r="A141" s="573">
        <f>IF(' Impaired Loans ASC 310-10'!A141="","",' Impaired Loans ASC 310-10'!A141)</f>
        <v/>
      </c>
      <c r="B141" s="573">
        <f>IF(' Impaired Loans ASC 310-10'!B141="","",' Impaired Loans ASC 310-10'!B141)</f>
        <v/>
      </c>
      <c r="C141" s="573">
        <f>IF(' Impaired Loans ASC 310-10'!C141="","",' Impaired Loans ASC 310-10'!C141)</f>
        <v/>
      </c>
      <c r="D141" s="573">
        <f>IF(' Impaired Loans ASC 310-10'!D141="","",' Impaired Loans ASC 310-10'!D141)</f>
        <v/>
      </c>
      <c r="E141" s="574">
        <f>IF(' Impaired Loans ASC 310-10'!E141="","",' Impaired Loans ASC 310-10'!E141)</f>
        <v/>
      </c>
      <c r="F141" s="575">
        <f>IF(' Impaired Loans ASC 310-10'!F141="","",' Impaired Loans ASC 310-10'!F141)</f>
        <v/>
      </c>
      <c r="G141" s="574">
        <f>IF(' Impaired Loans ASC 310-10'!G141="","",' Impaired Loans ASC 310-10'!G141)</f>
        <v/>
      </c>
      <c r="H141" s="574">
        <f>IF(' Impaired Loans ASC 310-10'!H141="","",' Impaired Loans ASC 310-10'!H141)</f>
        <v/>
      </c>
      <c r="I141" s="574">
        <f>IF(' Impaired Loans ASC 310-10'!I141="","",' Impaired Loans ASC 310-10'!I141)</f>
        <v/>
      </c>
      <c r="J141" s="574">
        <f>IF(' Impaired Loans ASC 310-10'!J141="","",' Impaired Loans ASC 310-10'!J141)</f>
        <v/>
      </c>
      <c r="K141" s="584" t="n"/>
      <c r="L141" s="578">
        <f>IFERROR(A141,"")</f>
        <v/>
      </c>
      <c r="M141" s="849">
        <f>IF(' Impaired Loans ASC 310-10'!A141="","",' Impaired Loans ASC 310-10'!K141)</f>
        <v/>
      </c>
      <c r="N141" s="580">
        <f>IF(' Impaired Loans ASC 310-10'!A141="","",' Impaired Loans ASC 310-10'!L141)</f>
        <v/>
      </c>
      <c r="O141" s="581">
        <f>IF(' Impaired Loans ASC 310-10'!A141="","",' Impaired Loans ASC 310-10'!M141)</f>
        <v/>
      </c>
      <c r="P141" s="582">
        <f>IF(' Impaired Loans ASC 310-10'!A141="","",' Impaired Loans ASC 310-10'!O141)</f>
        <v/>
      </c>
      <c r="Q141" s="583">
        <f>IF(' Impaired Loans ASC 310-10'!A141="","",' Impaired Loans ASC 310-10'!N141)</f>
        <v/>
      </c>
      <c r="R141" s="583">
        <f>IF(' Impaired Loans ASC 310-10'!A141="","",' Impaired Loans ASC 310-10'!P141)</f>
        <v/>
      </c>
      <c r="S141" s="583">
        <f>IF(' Impaired Loans ASC 310-10'!A141="","",' Impaired Loans ASC 310-10'!Q141)</f>
        <v/>
      </c>
    </row>
    <row r="142">
      <c r="A142" s="573">
        <f>IF(' Impaired Loans ASC 310-10'!A142="","",' Impaired Loans ASC 310-10'!A142)</f>
        <v/>
      </c>
      <c r="B142" s="573">
        <f>IF(' Impaired Loans ASC 310-10'!B142="","",' Impaired Loans ASC 310-10'!B142)</f>
        <v/>
      </c>
      <c r="C142" s="573">
        <f>IF(' Impaired Loans ASC 310-10'!C142="","",' Impaired Loans ASC 310-10'!C142)</f>
        <v/>
      </c>
      <c r="D142" s="573">
        <f>IF(' Impaired Loans ASC 310-10'!D142="","",' Impaired Loans ASC 310-10'!D142)</f>
        <v/>
      </c>
      <c r="E142" s="574">
        <f>IF(' Impaired Loans ASC 310-10'!E142="","",' Impaired Loans ASC 310-10'!E142)</f>
        <v/>
      </c>
      <c r="F142" s="575">
        <f>IF(' Impaired Loans ASC 310-10'!F142="","",' Impaired Loans ASC 310-10'!F142)</f>
        <v/>
      </c>
      <c r="G142" s="574">
        <f>IF(' Impaired Loans ASC 310-10'!G142="","",' Impaired Loans ASC 310-10'!G142)</f>
        <v/>
      </c>
      <c r="H142" s="574">
        <f>IF(' Impaired Loans ASC 310-10'!H142="","",' Impaired Loans ASC 310-10'!H142)</f>
        <v/>
      </c>
      <c r="I142" s="574">
        <f>IF(' Impaired Loans ASC 310-10'!I142="","",' Impaired Loans ASC 310-10'!I142)</f>
        <v/>
      </c>
      <c r="J142" s="574">
        <f>IF(' Impaired Loans ASC 310-10'!J142="","",' Impaired Loans ASC 310-10'!J142)</f>
        <v/>
      </c>
      <c r="K142" s="584" t="n"/>
      <c r="L142" s="578">
        <f>IFERROR(A142,"")</f>
        <v/>
      </c>
      <c r="M142" s="849">
        <f>IF(' Impaired Loans ASC 310-10'!A142="","",' Impaired Loans ASC 310-10'!K142)</f>
        <v/>
      </c>
      <c r="N142" s="580">
        <f>IF(' Impaired Loans ASC 310-10'!A142="","",' Impaired Loans ASC 310-10'!L142)</f>
        <v/>
      </c>
      <c r="O142" s="581">
        <f>IF(' Impaired Loans ASC 310-10'!A142="","",' Impaired Loans ASC 310-10'!M142)</f>
        <v/>
      </c>
      <c r="P142" s="582">
        <f>IF(' Impaired Loans ASC 310-10'!A142="","",' Impaired Loans ASC 310-10'!O142)</f>
        <v/>
      </c>
      <c r="Q142" s="583">
        <f>IF(' Impaired Loans ASC 310-10'!A142="","",' Impaired Loans ASC 310-10'!N142)</f>
        <v/>
      </c>
      <c r="R142" s="583">
        <f>IF(' Impaired Loans ASC 310-10'!A142="","",' Impaired Loans ASC 310-10'!P142)</f>
        <v/>
      </c>
      <c r="S142" s="583">
        <f>IF(' Impaired Loans ASC 310-10'!A142="","",' Impaired Loans ASC 310-10'!Q142)</f>
        <v/>
      </c>
    </row>
    <row r="143">
      <c r="A143" s="573">
        <f>IF(' Impaired Loans ASC 310-10'!A143="","",' Impaired Loans ASC 310-10'!A143)</f>
        <v/>
      </c>
      <c r="B143" s="573">
        <f>IF(' Impaired Loans ASC 310-10'!B143="","",' Impaired Loans ASC 310-10'!B143)</f>
        <v/>
      </c>
      <c r="C143" s="573">
        <f>IF(' Impaired Loans ASC 310-10'!C143="","",' Impaired Loans ASC 310-10'!C143)</f>
        <v/>
      </c>
      <c r="D143" s="573">
        <f>IF(' Impaired Loans ASC 310-10'!D143="","",' Impaired Loans ASC 310-10'!D143)</f>
        <v/>
      </c>
      <c r="E143" s="574">
        <f>IF(' Impaired Loans ASC 310-10'!E143="","",' Impaired Loans ASC 310-10'!E143)</f>
        <v/>
      </c>
      <c r="F143" s="575">
        <f>IF(' Impaired Loans ASC 310-10'!F143="","",' Impaired Loans ASC 310-10'!F143)</f>
        <v/>
      </c>
      <c r="G143" s="574">
        <f>IF(' Impaired Loans ASC 310-10'!G143="","",' Impaired Loans ASC 310-10'!G143)</f>
        <v/>
      </c>
      <c r="H143" s="574">
        <f>IF(' Impaired Loans ASC 310-10'!H143="","",' Impaired Loans ASC 310-10'!H143)</f>
        <v/>
      </c>
      <c r="I143" s="574">
        <f>IF(' Impaired Loans ASC 310-10'!I143="","",' Impaired Loans ASC 310-10'!I143)</f>
        <v/>
      </c>
      <c r="J143" s="574">
        <f>IF(' Impaired Loans ASC 310-10'!J143="","",' Impaired Loans ASC 310-10'!J143)</f>
        <v/>
      </c>
      <c r="K143" s="584" t="n"/>
      <c r="L143" s="578">
        <f>IFERROR(A143,"")</f>
        <v/>
      </c>
      <c r="M143" s="849">
        <f>IF(' Impaired Loans ASC 310-10'!A143="","",' Impaired Loans ASC 310-10'!K143)</f>
        <v/>
      </c>
      <c r="N143" s="580">
        <f>IF(' Impaired Loans ASC 310-10'!A143="","",' Impaired Loans ASC 310-10'!L143)</f>
        <v/>
      </c>
      <c r="O143" s="581">
        <f>IF(' Impaired Loans ASC 310-10'!A143="","",' Impaired Loans ASC 310-10'!M143)</f>
        <v/>
      </c>
      <c r="P143" s="582">
        <f>IF(' Impaired Loans ASC 310-10'!A143="","",' Impaired Loans ASC 310-10'!O143)</f>
        <v/>
      </c>
      <c r="Q143" s="583">
        <f>IF(' Impaired Loans ASC 310-10'!A143="","",' Impaired Loans ASC 310-10'!N143)</f>
        <v/>
      </c>
      <c r="R143" s="583">
        <f>IF(' Impaired Loans ASC 310-10'!A143="","",' Impaired Loans ASC 310-10'!P143)</f>
        <v/>
      </c>
      <c r="S143" s="583">
        <f>IF(' Impaired Loans ASC 310-10'!A143="","",' Impaired Loans ASC 310-10'!Q143)</f>
        <v/>
      </c>
    </row>
    <row r="144">
      <c r="A144" s="573">
        <f>IF(' Impaired Loans ASC 310-10'!A144="","",' Impaired Loans ASC 310-10'!A144)</f>
        <v/>
      </c>
      <c r="B144" s="573">
        <f>IF(' Impaired Loans ASC 310-10'!B144="","",' Impaired Loans ASC 310-10'!B144)</f>
        <v/>
      </c>
      <c r="C144" s="573">
        <f>IF(' Impaired Loans ASC 310-10'!C144="","",' Impaired Loans ASC 310-10'!C144)</f>
        <v/>
      </c>
      <c r="D144" s="573">
        <f>IF(' Impaired Loans ASC 310-10'!D144="","",' Impaired Loans ASC 310-10'!D144)</f>
        <v/>
      </c>
      <c r="E144" s="574">
        <f>IF(' Impaired Loans ASC 310-10'!E144="","",' Impaired Loans ASC 310-10'!E144)</f>
        <v/>
      </c>
      <c r="F144" s="575">
        <f>IF(' Impaired Loans ASC 310-10'!F144="","",' Impaired Loans ASC 310-10'!F144)</f>
        <v/>
      </c>
      <c r="G144" s="574">
        <f>IF(' Impaired Loans ASC 310-10'!G144="","",' Impaired Loans ASC 310-10'!G144)</f>
        <v/>
      </c>
      <c r="H144" s="574">
        <f>IF(' Impaired Loans ASC 310-10'!H144="","",' Impaired Loans ASC 310-10'!H144)</f>
        <v/>
      </c>
      <c r="I144" s="574">
        <f>IF(' Impaired Loans ASC 310-10'!I144="","",' Impaired Loans ASC 310-10'!I144)</f>
        <v/>
      </c>
      <c r="J144" s="574">
        <f>IF(' Impaired Loans ASC 310-10'!J144="","",' Impaired Loans ASC 310-10'!J144)</f>
        <v/>
      </c>
      <c r="K144" s="584" t="n"/>
      <c r="L144" s="578">
        <f>IFERROR(A144,"")</f>
        <v/>
      </c>
      <c r="M144" s="849">
        <f>IF(' Impaired Loans ASC 310-10'!A144="","",' Impaired Loans ASC 310-10'!K144)</f>
        <v/>
      </c>
      <c r="N144" s="580">
        <f>IF(' Impaired Loans ASC 310-10'!A144="","",' Impaired Loans ASC 310-10'!L144)</f>
        <v/>
      </c>
      <c r="O144" s="581">
        <f>IF(' Impaired Loans ASC 310-10'!A144="","",' Impaired Loans ASC 310-10'!M144)</f>
        <v/>
      </c>
      <c r="P144" s="582">
        <f>IF(' Impaired Loans ASC 310-10'!A144="","",' Impaired Loans ASC 310-10'!O144)</f>
        <v/>
      </c>
      <c r="Q144" s="583">
        <f>IF(' Impaired Loans ASC 310-10'!A144="","",' Impaired Loans ASC 310-10'!N144)</f>
        <v/>
      </c>
      <c r="R144" s="583">
        <f>IF(' Impaired Loans ASC 310-10'!A144="","",' Impaired Loans ASC 310-10'!P144)</f>
        <v/>
      </c>
      <c r="S144" s="583">
        <f>IF(' Impaired Loans ASC 310-10'!A144="","",' Impaired Loans ASC 310-10'!Q144)</f>
        <v/>
      </c>
    </row>
    <row r="145">
      <c r="A145" s="573">
        <f>IF(' Impaired Loans ASC 310-10'!A145="","",' Impaired Loans ASC 310-10'!A145)</f>
        <v/>
      </c>
      <c r="B145" s="573">
        <f>IF(' Impaired Loans ASC 310-10'!B145="","",' Impaired Loans ASC 310-10'!B145)</f>
        <v/>
      </c>
      <c r="C145" s="573">
        <f>IF(' Impaired Loans ASC 310-10'!C145="","",' Impaired Loans ASC 310-10'!C145)</f>
        <v/>
      </c>
      <c r="D145" s="573">
        <f>IF(' Impaired Loans ASC 310-10'!D145="","",' Impaired Loans ASC 310-10'!D145)</f>
        <v/>
      </c>
      <c r="E145" s="574">
        <f>IF(' Impaired Loans ASC 310-10'!E145="","",' Impaired Loans ASC 310-10'!E145)</f>
        <v/>
      </c>
      <c r="F145" s="575">
        <f>IF(' Impaired Loans ASC 310-10'!F145="","",' Impaired Loans ASC 310-10'!F145)</f>
        <v/>
      </c>
      <c r="G145" s="574">
        <f>IF(' Impaired Loans ASC 310-10'!G145="","",' Impaired Loans ASC 310-10'!G145)</f>
        <v/>
      </c>
      <c r="H145" s="574">
        <f>IF(' Impaired Loans ASC 310-10'!H145="","",' Impaired Loans ASC 310-10'!H145)</f>
        <v/>
      </c>
      <c r="I145" s="574">
        <f>IF(' Impaired Loans ASC 310-10'!I145="","",' Impaired Loans ASC 310-10'!I145)</f>
        <v/>
      </c>
      <c r="J145" s="574">
        <f>IF(' Impaired Loans ASC 310-10'!J145="","",' Impaired Loans ASC 310-10'!J145)</f>
        <v/>
      </c>
      <c r="K145" s="584" t="n"/>
      <c r="L145" s="578">
        <f>IFERROR(A145,"")</f>
        <v/>
      </c>
      <c r="M145" s="849">
        <f>IF(' Impaired Loans ASC 310-10'!A145="","",' Impaired Loans ASC 310-10'!K145)</f>
        <v/>
      </c>
      <c r="N145" s="580">
        <f>IF(' Impaired Loans ASC 310-10'!A145="","",' Impaired Loans ASC 310-10'!L145)</f>
        <v/>
      </c>
      <c r="O145" s="581">
        <f>IF(' Impaired Loans ASC 310-10'!A145="","",' Impaired Loans ASC 310-10'!M145)</f>
        <v/>
      </c>
      <c r="P145" s="582">
        <f>IF(' Impaired Loans ASC 310-10'!A145="","",' Impaired Loans ASC 310-10'!O145)</f>
        <v/>
      </c>
      <c r="Q145" s="583">
        <f>IF(' Impaired Loans ASC 310-10'!A145="","",' Impaired Loans ASC 310-10'!N145)</f>
        <v/>
      </c>
      <c r="R145" s="583">
        <f>IF(' Impaired Loans ASC 310-10'!A145="","",' Impaired Loans ASC 310-10'!P145)</f>
        <v/>
      </c>
      <c r="S145" s="583">
        <f>IF(' Impaired Loans ASC 310-10'!A145="","",' Impaired Loans ASC 310-10'!Q145)</f>
        <v/>
      </c>
    </row>
    <row r="146">
      <c r="A146" s="573">
        <f>IF(' Impaired Loans ASC 310-10'!A146="","",' Impaired Loans ASC 310-10'!A146)</f>
        <v/>
      </c>
      <c r="B146" s="573">
        <f>IF(' Impaired Loans ASC 310-10'!B146="","",' Impaired Loans ASC 310-10'!B146)</f>
        <v/>
      </c>
      <c r="C146" s="573">
        <f>IF(' Impaired Loans ASC 310-10'!C146="","",' Impaired Loans ASC 310-10'!C146)</f>
        <v/>
      </c>
      <c r="D146" s="573">
        <f>IF(' Impaired Loans ASC 310-10'!D146="","",' Impaired Loans ASC 310-10'!D146)</f>
        <v/>
      </c>
      <c r="E146" s="574">
        <f>IF(' Impaired Loans ASC 310-10'!E146="","",' Impaired Loans ASC 310-10'!E146)</f>
        <v/>
      </c>
      <c r="F146" s="575">
        <f>IF(' Impaired Loans ASC 310-10'!F146="","",' Impaired Loans ASC 310-10'!F146)</f>
        <v/>
      </c>
      <c r="G146" s="574">
        <f>IF(' Impaired Loans ASC 310-10'!G146="","",' Impaired Loans ASC 310-10'!G146)</f>
        <v/>
      </c>
      <c r="H146" s="574">
        <f>IF(' Impaired Loans ASC 310-10'!H146="","",' Impaired Loans ASC 310-10'!H146)</f>
        <v/>
      </c>
      <c r="I146" s="574">
        <f>IF(' Impaired Loans ASC 310-10'!I146="","",' Impaired Loans ASC 310-10'!I146)</f>
        <v/>
      </c>
      <c r="J146" s="574">
        <f>IF(' Impaired Loans ASC 310-10'!J146="","",' Impaired Loans ASC 310-10'!J146)</f>
        <v/>
      </c>
      <c r="K146" s="584" t="n"/>
      <c r="L146" s="578">
        <f>IFERROR(A146,"")</f>
        <v/>
      </c>
      <c r="M146" s="849">
        <f>IF(' Impaired Loans ASC 310-10'!A146="","",' Impaired Loans ASC 310-10'!K146)</f>
        <v/>
      </c>
      <c r="N146" s="580">
        <f>IF(' Impaired Loans ASC 310-10'!A146="","",' Impaired Loans ASC 310-10'!L146)</f>
        <v/>
      </c>
      <c r="O146" s="581">
        <f>IF(' Impaired Loans ASC 310-10'!A146="","",' Impaired Loans ASC 310-10'!M146)</f>
        <v/>
      </c>
      <c r="P146" s="582">
        <f>IF(' Impaired Loans ASC 310-10'!A146="","",' Impaired Loans ASC 310-10'!O146)</f>
        <v/>
      </c>
      <c r="Q146" s="583">
        <f>IF(' Impaired Loans ASC 310-10'!A146="","",' Impaired Loans ASC 310-10'!N146)</f>
        <v/>
      </c>
      <c r="R146" s="583">
        <f>IF(' Impaired Loans ASC 310-10'!A146="","",' Impaired Loans ASC 310-10'!P146)</f>
        <v/>
      </c>
      <c r="S146" s="583">
        <f>IF(' Impaired Loans ASC 310-10'!A146="","",' Impaired Loans ASC 310-10'!Q146)</f>
        <v/>
      </c>
    </row>
    <row r="147">
      <c r="A147" s="573">
        <f>IF(' Impaired Loans ASC 310-10'!A147="","",' Impaired Loans ASC 310-10'!A147)</f>
        <v/>
      </c>
      <c r="B147" s="573">
        <f>IF(' Impaired Loans ASC 310-10'!B147="","",' Impaired Loans ASC 310-10'!B147)</f>
        <v/>
      </c>
      <c r="C147" s="573">
        <f>IF(' Impaired Loans ASC 310-10'!C147="","",' Impaired Loans ASC 310-10'!C147)</f>
        <v/>
      </c>
      <c r="D147" s="573">
        <f>IF(' Impaired Loans ASC 310-10'!D147="","",' Impaired Loans ASC 310-10'!D147)</f>
        <v/>
      </c>
      <c r="E147" s="574">
        <f>IF(' Impaired Loans ASC 310-10'!E147="","",' Impaired Loans ASC 310-10'!E147)</f>
        <v/>
      </c>
      <c r="F147" s="575">
        <f>IF(' Impaired Loans ASC 310-10'!F147="","",' Impaired Loans ASC 310-10'!F147)</f>
        <v/>
      </c>
      <c r="G147" s="574">
        <f>IF(' Impaired Loans ASC 310-10'!G147="","",' Impaired Loans ASC 310-10'!G147)</f>
        <v/>
      </c>
      <c r="H147" s="574">
        <f>IF(' Impaired Loans ASC 310-10'!H147="","",' Impaired Loans ASC 310-10'!H147)</f>
        <v/>
      </c>
      <c r="I147" s="574">
        <f>IF(' Impaired Loans ASC 310-10'!I147="","",' Impaired Loans ASC 310-10'!I147)</f>
        <v/>
      </c>
      <c r="J147" s="574">
        <f>IF(' Impaired Loans ASC 310-10'!J147="","",' Impaired Loans ASC 310-10'!J147)</f>
        <v/>
      </c>
      <c r="K147" s="584" t="n"/>
      <c r="L147" s="578">
        <f>IFERROR(A147,"")</f>
        <v/>
      </c>
      <c r="M147" s="849">
        <f>IF(' Impaired Loans ASC 310-10'!A147="","",' Impaired Loans ASC 310-10'!K147)</f>
        <v/>
      </c>
      <c r="N147" s="580">
        <f>IF(' Impaired Loans ASC 310-10'!A147="","",' Impaired Loans ASC 310-10'!L147)</f>
        <v/>
      </c>
      <c r="O147" s="581">
        <f>IF(' Impaired Loans ASC 310-10'!A147="","",' Impaired Loans ASC 310-10'!M147)</f>
        <v/>
      </c>
      <c r="P147" s="582">
        <f>IF(' Impaired Loans ASC 310-10'!A147="","",' Impaired Loans ASC 310-10'!O147)</f>
        <v/>
      </c>
      <c r="Q147" s="583">
        <f>IF(' Impaired Loans ASC 310-10'!A147="","",' Impaired Loans ASC 310-10'!N147)</f>
        <v/>
      </c>
      <c r="R147" s="583">
        <f>IF(' Impaired Loans ASC 310-10'!A147="","",' Impaired Loans ASC 310-10'!P147)</f>
        <v/>
      </c>
      <c r="S147" s="583">
        <f>IF(' Impaired Loans ASC 310-10'!A147="","",' Impaired Loans ASC 310-10'!Q147)</f>
        <v/>
      </c>
    </row>
    <row r="148">
      <c r="A148" s="573">
        <f>IF(' Impaired Loans ASC 310-10'!A148="","",' Impaired Loans ASC 310-10'!A148)</f>
        <v/>
      </c>
      <c r="B148" s="573">
        <f>IF(' Impaired Loans ASC 310-10'!B148="","",' Impaired Loans ASC 310-10'!B148)</f>
        <v/>
      </c>
      <c r="C148" s="573">
        <f>IF(' Impaired Loans ASC 310-10'!C148="","",' Impaired Loans ASC 310-10'!C148)</f>
        <v/>
      </c>
      <c r="D148" s="573">
        <f>IF(' Impaired Loans ASC 310-10'!D148="","",' Impaired Loans ASC 310-10'!D148)</f>
        <v/>
      </c>
      <c r="E148" s="574">
        <f>IF(' Impaired Loans ASC 310-10'!E148="","",' Impaired Loans ASC 310-10'!E148)</f>
        <v/>
      </c>
      <c r="F148" s="575">
        <f>IF(' Impaired Loans ASC 310-10'!F148="","",' Impaired Loans ASC 310-10'!F148)</f>
        <v/>
      </c>
      <c r="G148" s="574">
        <f>IF(' Impaired Loans ASC 310-10'!G148="","",' Impaired Loans ASC 310-10'!G148)</f>
        <v/>
      </c>
      <c r="H148" s="574">
        <f>IF(' Impaired Loans ASC 310-10'!H148="","",' Impaired Loans ASC 310-10'!H148)</f>
        <v/>
      </c>
      <c r="I148" s="574">
        <f>IF(' Impaired Loans ASC 310-10'!I148="","",' Impaired Loans ASC 310-10'!I148)</f>
        <v/>
      </c>
      <c r="J148" s="574">
        <f>IF(' Impaired Loans ASC 310-10'!J148="","",' Impaired Loans ASC 310-10'!J148)</f>
        <v/>
      </c>
      <c r="K148" s="584" t="n"/>
      <c r="L148" s="578">
        <f>IFERROR(A148,"")</f>
        <v/>
      </c>
      <c r="M148" s="849">
        <f>IF(' Impaired Loans ASC 310-10'!A148="","",' Impaired Loans ASC 310-10'!K148)</f>
        <v/>
      </c>
      <c r="N148" s="580">
        <f>IF(' Impaired Loans ASC 310-10'!A148="","",' Impaired Loans ASC 310-10'!L148)</f>
        <v/>
      </c>
      <c r="O148" s="581">
        <f>IF(' Impaired Loans ASC 310-10'!A148="","",' Impaired Loans ASC 310-10'!M148)</f>
        <v/>
      </c>
      <c r="P148" s="582">
        <f>IF(' Impaired Loans ASC 310-10'!A148="","",' Impaired Loans ASC 310-10'!O148)</f>
        <v/>
      </c>
      <c r="Q148" s="583">
        <f>IF(' Impaired Loans ASC 310-10'!A148="","",' Impaired Loans ASC 310-10'!N148)</f>
        <v/>
      </c>
      <c r="R148" s="583">
        <f>IF(' Impaired Loans ASC 310-10'!A148="","",' Impaired Loans ASC 310-10'!P148)</f>
        <v/>
      </c>
      <c r="S148" s="583">
        <f>IF(' Impaired Loans ASC 310-10'!A148="","",' Impaired Loans ASC 310-10'!Q148)</f>
        <v/>
      </c>
    </row>
    <row r="149">
      <c r="A149" s="573">
        <f>IF(' Impaired Loans ASC 310-10'!A149="","",' Impaired Loans ASC 310-10'!A149)</f>
        <v/>
      </c>
      <c r="B149" s="573">
        <f>IF(' Impaired Loans ASC 310-10'!B149="","",' Impaired Loans ASC 310-10'!B149)</f>
        <v/>
      </c>
      <c r="C149" s="573">
        <f>IF(' Impaired Loans ASC 310-10'!C149="","",' Impaired Loans ASC 310-10'!C149)</f>
        <v/>
      </c>
      <c r="D149" s="573">
        <f>IF(' Impaired Loans ASC 310-10'!D149="","",' Impaired Loans ASC 310-10'!D149)</f>
        <v/>
      </c>
      <c r="E149" s="574">
        <f>IF(' Impaired Loans ASC 310-10'!E149="","",' Impaired Loans ASC 310-10'!E149)</f>
        <v/>
      </c>
      <c r="F149" s="575">
        <f>IF(' Impaired Loans ASC 310-10'!F149="","",' Impaired Loans ASC 310-10'!F149)</f>
        <v/>
      </c>
      <c r="G149" s="574">
        <f>IF(' Impaired Loans ASC 310-10'!G149="","",' Impaired Loans ASC 310-10'!G149)</f>
        <v/>
      </c>
      <c r="H149" s="574">
        <f>IF(' Impaired Loans ASC 310-10'!H149="","",' Impaired Loans ASC 310-10'!H149)</f>
        <v/>
      </c>
      <c r="I149" s="574">
        <f>IF(' Impaired Loans ASC 310-10'!I149="","",' Impaired Loans ASC 310-10'!I149)</f>
        <v/>
      </c>
      <c r="J149" s="574">
        <f>IF(' Impaired Loans ASC 310-10'!J149="","",' Impaired Loans ASC 310-10'!J149)</f>
        <v/>
      </c>
      <c r="K149" s="584" t="n"/>
      <c r="L149" s="578">
        <f>IFERROR(A149,"")</f>
        <v/>
      </c>
      <c r="M149" s="849">
        <f>IF(' Impaired Loans ASC 310-10'!A149="","",' Impaired Loans ASC 310-10'!K149)</f>
        <v/>
      </c>
      <c r="N149" s="580">
        <f>IF(' Impaired Loans ASC 310-10'!A149="","",' Impaired Loans ASC 310-10'!L149)</f>
        <v/>
      </c>
      <c r="O149" s="581">
        <f>IF(' Impaired Loans ASC 310-10'!A149="","",' Impaired Loans ASC 310-10'!M149)</f>
        <v/>
      </c>
      <c r="P149" s="582">
        <f>IF(' Impaired Loans ASC 310-10'!A149="","",' Impaired Loans ASC 310-10'!O149)</f>
        <v/>
      </c>
      <c r="Q149" s="583">
        <f>IF(' Impaired Loans ASC 310-10'!A149="","",' Impaired Loans ASC 310-10'!N149)</f>
        <v/>
      </c>
      <c r="R149" s="583">
        <f>IF(' Impaired Loans ASC 310-10'!A149="","",' Impaired Loans ASC 310-10'!P149)</f>
        <v/>
      </c>
      <c r="S149" s="583">
        <f>IF(' Impaired Loans ASC 310-10'!A149="","",' Impaired Loans ASC 310-10'!Q149)</f>
        <v/>
      </c>
    </row>
    <row r="150">
      <c r="A150" s="573">
        <f>IF(' Impaired Loans ASC 310-10'!A150="","",' Impaired Loans ASC 310-10'!A150)</f>
        <v/>
      </c>
      <c r="B150" s="573">
        <f>IF(' Impaired Loans ASC 310-10'!B150="","",' Impaired Loans ASC 310-10'!B150)</f>
        <v/>
      </c>
      <c r="C150" s="573">
        <f>IF(' Impaired Loans ASC 310-10'!C150="","",' Impaired Loans ASC 310-10'!C150)</f>
        <v/>
      </c>
      <c r="D150" s="573">
        <f>IF(' Impaired Loans ASC 310-10'!D150="","",' Impaired Loans ASC 310-10'!D150)</f>
        <v/>
      </c>
      <c r="E150" s="574">
        <f>IF(' Impaired Loans ASC 310-10'!E150="","",' Impaired Loans ASC 310-10'!E150)</f>
        <v/>
      </c>
      <c r="F150" s="575">
        <f>IF(' Impaired Loans ASC 310-10'!F150="","",' Impaired Loans ASC 310-10'!F150)</f>
        <v/>
      </c>
      <c r="G150" s="574">
        <f>IF(' Impaired Loans ASC 310-10'!G150="","",' Impaired Loans ASC 310-10'!G150)</f>
        <v/>
      </c>
      <c r="H150" s="574">
        <f>IF(' Impaired Loans ASC 310-10'!H150="","",' Impaired Loans ASC 310-10'!H150)</f>
        <v/>
      </c>
      <c r="I150" s="574">
        <f>IF(' Impaired Loans ASC 310-10'!I150="","",' Impaired Loans ASC 310-10'!I150)</f>
        <v/>
      </c>
      <c r="J150" s="574">
        <f>IF(' Impaired Loans ASC 310-10'!J150="","",' Impaired Loans ASC 310-10'!J150)</f>
        <v/>
      </c>
      <c r="K150" s="584" t="n"/>
      <c r="L150" s="578">
        <f>IFERROR(A150,"")</f>
        <v/>
      </c>
      <c r="M150" s="849">
        <f>IF(' Impaired Loans ASC 310-10'!A150="","",' Impaired Loans ASC 310-10'!K150)</f>
        <v/>
      </c>
      <c r="N150" s="580">
        <f>IF(' Impaired Loans ASC 310-10'!A150="","",' Impaired Loans ASC 310-10'!L150)</f>
        <v/>
      </c>
      <c r="O150" s="581">
        <f>IF(' Impaired Loans ASC 310-10'!A150="","",' Impaired Loans ASC 310-10'!M150)</f>
        <v/>
      </c>
      <c r="P150" s="582">
        <f>IF(' Impaired Loans ASC 310-10'!A150="","",' Impaired Loans ASC 310-10'!O150)</f>
        <v/>
      </c>
      <c r="Q150" s="583">
        <f>IF(' Impaired Loans ASC 310-10'!A150="","",' Impaired Loans ASC 310-10'!N150)</f>
        <v/>
      </c>
      <c r="R150" s="583">
        <f>IF(' Impaired Loans ASC 310-10'!A150="","",' Impaired Loans ASC 310-10'!P150)</f>
        <v/>
      </c>
      <c r="S150" s="583">
        <f>IF(' Impaired Loans ASC 310-10'!A150="","",' Impaired Loans ASC 310-10'!Q150)</f>
        <v/>
      </c>
    </row>
    <row r="151">
      <c r="A151" s="573">
        <f>IF(' Impaired Loans ASC 310-10'!A151="","",' Impaired Loans ASC 310-10'!A151)</f>
        <v/>
      </c>
      <c r="B151" s="573">
        <f>IF(' Impaired Loans ASC 310-10'!B151="","",' Impaired Loans ASC 310-10'!B151)</f>
        <v/>
      </c>
      <c r="C151" s="573">
        <f>IF(' Impaired Loans ASC 310-10'!C151="","",' Impaired Loans ASC 310-10'!C151)</f>
        <v/>
      </c>
      <c r="D151" s="573">
        <f>IF(' Impaired Loans ASC 310-10'!D151="","",' Impaired Loans ASC 310-10'!D151)</f>
        <v/>
      </c>
      <c r="E151" s="574">
        <f>IF(' Impaired Loans ASC 310-10'!E151="","",' Impaired Loans ASC 310-10'!E151)</f>
        <v/>
      </c>
      <c r="F151" s="575">
        <f>IF(' Impaired Loans ASC 310-10'!F151="","",' Impaired Loans ASC 310-10'!F151)</f>
        <v/>
      </c>
      <c r="G151" s="574">
        <f>IF(' Impaired Loans ASC 310-10'!G151="","",' Impaired Loans ASC 310-10'!G151)</f>
        <v/>
      </c>
      <c r="H151" s="574">
        <f>IF(' Impaired Loans ASC 310-10'!H151="","",' Impaired Loans ASC 310-10'!H151)</f>
        <v/>
      </c>
      <c r="I151" s="574">
        <f>IF(' Impaired Loans ASC 310-10'!I151="","",' Impaired Loans ASC 310-10'!I151)</f>
        <v/>
      </c>
      <c r="J151" s="574">
        <f>IF(' Impaired Loans ASC 310-10'!J151="","",' Impaired Loans ASC 310-10'!J151)</f>
        <v/>
      </c>
      <c r="K151" s="584" t="n"/>
      <c r="L151" s="578">
        <f>IFERROR(A151,"")</f>
        <v/>
      </c>
      <c r="M151" s="849">
        <f>IF(' Impaired Loans ASC 310-10'!A151="","",' Impaired Loans ASC 310-10'!K151)</f>
        <v/>
      </c>
      <c r="N151" s="580">
        <f>IF(' Impaired Loans ASC 310-10'!A151="","",' Impaired Loans ASC 310-10'!L151)</f>
        <v/>
      </c>
      <c r="O151" s="581">
        <f>IF(' Impaired Loans ASC 310-10'!A151="","",' Impaired Loans ASC 310-10'!M151)</f>
        <v/>
      </c>
      <c r="P151" s="582">
        <f>IF(' Impaired Loans ASC 310-10'!A151="","",' Impaired Loans ASC 310-10'!O151)</f>
        <v/>
      </c>
      <c r="Q151" s="583">
        <f>IF(' Impaired Loans ASC 310-10'!A151="","",' Impaired Loans ASC 310-10'!N151)</f>
        <v/>
      </c>
      <c r="R151" s="583">
        <f>IF(' Impaired Loans ASC 310-10'!A151="","",' Impaired Loans ASC 310-10'!P151)</f>
        <v/>
      </c>
      <c r="S151" s="583">
        <f>IF(' Impaired Loans ASC 310-10'!A151="","",' Impaired Loans ASC 310-10'!Q151)</f>
        <v/>
      </c>
    </row>
    <row r="152">
      <c r="A152" s="573">
        <f>IF(' Impaired Loans ASC 310-10'!A152="","",' Impaired Loans ASC 310-10'!A152)</f>
        <v/>
      </c>
      <c r="B152" s="573">
        <f>IF(' Impaired Loans ASC 310-10'!B152="","",' Impaired Loans ASC 310-10'!B152)</f>
        <v/>
      </c>
      <c r="C152" s="573">
        <f>IF(' Impaired Loans ASC 310-10'!C152="","",' Impaired Loans ASC 310-10'!C152)</f>
        <v/>
      </c>
      <c r="D152" s="573">
        <f>IF(' Impaired Loans ASC 310-10'!D152="","",' Impaired Loans ASC 310-10'!D152)</f>
        <v/>
      </c>
      <c r="E152" s="574">
        <f>IF(' Impaired Loans ASC 310-10'!E152="","",' Impaired Loans ASC 310-10'!E152)</f>
        <v/>
      </c>
      <c r="F152" s="575">
        <f>IF(' Impaired Loans ASC 310-10'!F152="","",' Impaired Loans ASC 310-10'!F152)</f>
        <v/>
      </c>
      <c r="G152" s="574">
        <f>IF(' Impaired Loans ASC 310-10'!G152="","",' Impaired Loans ASC 310-10'!G152)</f>
        <v/>
      </c>
      <c r="H152" s="574">
        <f>IF(' Impaired Loans ASC 310-10'!H152="","",' Impaired Loans ASC 310-10'!H152)</f>
        <v/>
      </c>
      <c r="I152" s="574">
        <f>IF(' Impaired Loans ASC 310-10'!I152="","",' Impaired Loans ASC 310-10'!I152)</f>
        <v/>
      </c>
      <c r="J152" s="574">
        <f>IF(' Impaired Loans ASC 310-10'!J152="","",' Impaired Loans ASC 310-10'!J152)</f>
        <v/>
      </c>
      <c r="K152" s="584" t="n"/>
      <c r="L152" s="578">
        <f>IFERROR(A152,"")</f>
        <v/>
      </c>
      <c r="M152" s="849">
        <f>IF(' Impaired Loans ASC 310-10'!A152="","",' Impaired Loans ASC 310-10'!K152)</f>
        <v/>
      </c>
      <c r="N152" s="580">
        <f>IF(' Impaired Loans ASC 310-10'!A152="","",' Impaired Loans ASC 310-10'!L152)</f>
        <v/>
      </c>
      <c r="O152" s="581">
        <f>IF(' Impaired Loans ASC 310-10'!A152="","",' Impaired Loans ASC 310-10'!M152)</f>
        <v/>
      </c>
      <c r="P152" s="582">
        <f>IF(' Impaired Loans ASC 310-10'!A152="","",' Impaired Loans ASC 310-10'!O152)</f>
        <v/>
      </c>
      <c r="Q152" s="583">
        <f>IF(' Impaired Loans ASC 310-10'!A152="","",' Impaired Loans ASC 310-10'!N152)</f>
        <v/>
      </c>
      <c r="R152" s="583">
        <f>IF(' Impaired Loans ASC 310-10'!A152="","",' Impaired Loans ASC 310-10'!P152)</f>
        <v/>
      </c>
      <c r="S152" s="583">
        <f>IF(' Impaired Loans ASC 310-10'!A152="","",' Impaired Loans ASC 310-10'!Q152)</f>
        <v/>
      </c>
    </row>
    <row r="153">
      <c r="A153" s="573">
        <f>IF(' Impaired Loans ASC 310-10'!A153="","",' Impaired Loans ASC 310-10'!A153)</f>
        <v/>
      </c>
      <c r="B153" s="573">
        <f>IF(' Impaired Loans ASC 310-10'!B153="","",' Impaired Loans ASC 310-10'!B153)</f>
        <v/>
      </c>
      <c r="C153" s="573">
        <f>IF(' Impaired Loans ASC 310-10'!C153="","",' Impaired Loans ASC 310-10'!C153)</f>
        <v/>
      </c>
      <c r="D153" s="573">
        <f>IF(' Impaired Loans ASC 310-10'!D153="","",' Impaired Loans ASC 310-10'!D153)</f>
        <v/>
      </c>
      <c r="E153" s="574">
        <f>IF(' Impaired Loans ASC 310-10'!E153="","",' Impaired Loans ASC 310-10'!E153)</f>
        <v/>
      </c>
      <c r="F153" s="575">
        <f>IF(' Impaired Loans ASC 310-10'!F153="","",' Impaired Loans ASC 310-10'!F153)</f>
        <v/>
      </c>
      <c r="G153" s="574">
        <f>IF(' Impaired Loans ASC 310-10'!G153="","",' Impaired Loans ASC 310-10'!G153)</f>
        <v/>
      </c>
      <c r="H153" s="574">
        <f>IF(' Impaired Loans ASC 310-10'!H153="","",' Impaired Loans ASC 310-10'!H153)</f>
        <v/>
      </c>
      <c r="I153" s="574">
        <f>IF(' Impaired Loans ASC 310-10'!I153="","",' Impaired Loans ASC 310-10'!I153)</f>
        <v/>
      </c>
      <c r="J153" s="574">
        <f>IF(' Impaired Loans ASC 310-10'!J153="","",' Impaired Loans ASC 310-10'!J153)</f>
        <v/>
      </c>
      <c r="K153" s="584" t="n"/>
      <c r="L153" s="578">
        <f>IFERROR(A153,"")</f>
        <v/>
      </c>
      <c r="M153" s="849">
        <f>IF(' Impaired Loans ASC 310-10'!A153="","",' Impaired Loans ASC 310-10'!K153)</f>
        <v/>
      </c>
      <c r="N153" s="580">
        <f>IF(' Impaired Loans ASC 310-10'!A153="","",' Impaired Loans ASC 310-10'!L153)</f>
        <v/>
      </c>
      <c r="O153" s="581">
        <f>IF(' Impaired Loans ASC 310-10'!A153="","",' Impaired Loans ASC 310-10'!M153)</f>
        <v/>
      </c>
      <c r="P153" s="582">
        <f>IF(' Impaired Loans ASC 310-10'!A153="","",' Impaired Loans ASC 310-10'!O153)</f>
        <v/>
      </c>
      <c r="Q153" s="583">
        <f>IF(' Impaired Loans ASC 310-10'!A153="","",' Impaired Loans ASC 310-10'!N153)</f>
        <v/>
      </c>
      <c r="R153" s="583">
        <f>IF(' Impaired Loans ASC 310-10'!A153="","",' Impaired Loans ASC 310-10'!P153)</f>
        <v/>
      </c>
      <c r="S153" s="583">
        <f>IF(' Impaired Loans ASC 310-10'!A153="","",' Impaired Loans ASC 310-10'!Q153)</f>
        <v/>
      </c>
    </row>
    <row r="154">
      <c r="A154" s="573">
        <f>IF(' Impaired Loans ASC 310-10'!A154="","",' Impaired Loans ASC 310-10'!A154)</f>
        <v/>
      </c>
      <c r="B154" s="573">
        <f>IF(' Impaired Loans ASC 310-10'!B154="","",' Impaired Loans ASC 310-10'!B154)</f>
        <v/>
      </c>
      <c r="C154" s="573">
        <f>IF(' Impaired Loans ASC 310-10'!C154="","",' Impaired Loans ASC 310-10'!C154)</f>
        <v/>
      </c>
      <c r="D154" s="573">
        <f>IF(' Impaired Loans ASC 310-10'!D154="","",' Impaired Loans ASC 310-10'!D154)</f>
        <v/>
      </c>
      <c r="E154" s="574">
        <f>IF(' Impaired Loans ASC 310-10'!E154="","",' Impaired Loans ASC 310-10'!E154)</f>
        <v/>
      </c>
      <c r="F154" s="575">
        <f>IF(' Impaired Loans ASC 310-10'!F154="","",' Impaired Loans ASC 310-10'!F154)</f>
        <v/>
      </c>
      <c r="G154" s="574">
        <f>IF(' Impaired Loans ASC 310-10'!G154="","",' Impaired Loans ASC 310-10'!G154)</f>
        <v/>
      </c>
      <c r="H154" s="574">
        <f>IF(' Impaired Loans ASC 310-10'!H154="","",' Impaired Loans ASC 310-10'!H154)</f>
        <v/>
      </c>
      <c r="I154" s="574">
        <f>IF(' Impaired Loans ASC 310-10'!I154="","",' Impaired Loans ASC 310-10'!I154)</f>
        <v/>
      </c>
      <c r="J154" s="574">
        <f>IF(' Impaired Loans ASC 310-10'!J154="","",' Impaired Loans ASC 310-10'!J154)</f>
        <v/>
      </c>
      <c r="K154" s="584" t="n"/>
      <c r="L154" s="578">
        <f>IFERROR(A154,"")</f>
        <v/>
      </c>
      <c r="M154" s="849">
        <f>IF(' Impaired Loans ASC 310-10'!A154="","",' Impaired Loans ASC 310-10'!K154)</f>
        <v/>
      </c>
      <c r="N154" s="580">
        <f>IF(' Impaired Loans ASC 310-10'!A154="","",' Impaired Loans ASC 310-10'!L154)</f>
        <v/>
      </c>
      <c r="O154" s="581">
        <f>IF(' Impaired Loans ASC 310-10'!A154="","",' Impaired Loans ASC 310-10'!M154)</f>
        <v/>
      </c>
      <c r="P154" s="582">
        <f>IF(' Impaired Loans ASC 310-10'!A154="","",' Impaired Loans ASC 310-10'!O154)</f>
        <v/>
      </c>
      <c r="Q154" s="583">
        <f>IF(' Impaired Loans ASC 310-10'!A154="","",' Impaired Loans ASC 310-10'!N154)</f>
        <v/>
      </c>
      <c r="R154" s="583">
        <f>IF(' Impaired Loans ASC 310-10'!A154="","",' Impaired Loans ASC 310-10'!P154)</f>
        <v/>
      </c>
      <c r="S154" s="583">
        <f>IF(' Impaired Loans ASC 310-10'!A154="","",' Impaired Loans ASC 310-10'!Q154)</f>
        <v/>
      </c>
    </row>
    <row r="155">
      <c r="A155" s="573">
        <f>IF(' Impaired Loans ASC 310-10'!A155="","",' Impaired Loans ASC 310-10'!A155)</f>
        <v/>
      </c>
      <c r="B155" s="573">
        <f>IF(' Impaired Loans ASC 310-10'!B155="","",' Impaired Loans ASC 310-10'!B155)</f>
        <v/>
      </c>
      <c r="C155" s="573">
        <f>IF(' Impaired Loans ASC 310-10'!C155="","",' Impaired Loans ASC 310-10'!C155)</f>
        <v/>
      </c>
      <c r="D155" s="573">
        <f>IF(' Impaired Loans ASC 310-10'!D155="","",' Impaired Loans ASC 310-10'!D155)</f>
        <v/>
      </c>
      <c r="E155" s="574">
        <f>IF(' Impaired Loans ASC 310-10'!E155="","",' Impaired Loans ASC 310-10'!E155)</f>
        <v/>
      </c>
      <c r="F155" s="575">
        <f>IF(' Impaired Loans ASC 310-10'!F155="","",' Impaired Loans ASC 310-10'!F155)</f>
        <v/>
      </c>
      <c r="G155" s="574">
        <f>IF(' Impaired Loans ASC 310-10'!G155="","",' Impaired Loans ASC 310-10'!G155)</f>
        <v/>
      </c>
      <c r="H155" s="574">
        <f>IF(' Impaired Loans ASC 310-10'!H155="","",' Impaired Loans ASC 310-10'!H155)</f>
        <v/>
      </c>
      <c r="I155" s="574">
        <f>IF(' Impaired Loans ASC 310-10'!I155="","",' Impaired Loans ASC 310-10'!I155)</f>
        <v/>
      </c>
      <c r="J155" s="574">
        <f>IF(' Impaired Loans ASC 310-10'!J155="","",' Impaired Loans ASC 310-10'!J155)</f>
        <v/>
      </c>
      <c r="K155" s="584" t="n"/>
      <c r="L155" s="578">
        <f>IFERROR(A155,"")</f>
        <v/>
      </c>
      <c r="M155" s="849">
        <f>IF(' Impaired Loans ASC 310-10'!A155="","",' Impaired Loans ASC 310-10'!K155)</f>
        <v/>
      </c>
      <c r="N155" s="580">
        <f>IF(' Impaired Loans ASC 310-10'!A155="","",' Impaired Loans ASC 310-10'!L155)</f>
        <v/>
      </c>
      <c r="O155" s="581">
        <f>IF(' Impaired Loans ASC 310-10'!A155="","",' Impaired Loans ASC 310-10'!M155)</f>
        <v/>
      </c>
      <c r="P155" s="582">
        <f>IF(' Impaired Loans ASC 310-10'!A155="","",' Impaired Loans ASC 310-10'!O155)</f>
        <v/>
      </c>
      <c r="Q155" s="583">
        <f>IF(' Impaired Loans ASC 310-10'!A155="","",' Impaired Loans ASC 310-10'!N155)</f>
        <v/>
      </c>
      <c r="R155" s="583">
        <f>IF(' Impaired Loans ASC 310-10'!A155="","",' Impaired Loans ASC 310-10'!P155)</f>
        <v/>
      </c>
      <c r="S155" s="583">
        <f>IF(' Impaired Loans ASC 310-10'!A155="","",' Impaired Loans ASC 310-10'!Q155)</f>
        <v/>
      </c>
    </row>
    <row r="156">
      <c r="A156" s="573">
        <f>IF(' Impaired Loans ASC 310-10'!A156="","",' Impaired Loans ASC 310-10'!A156)</f>
        <v/>
      </c>
      <c r="B156" s="573">
        <f>IF(' Impaired Loans ASC 310-10'!B156="","",' Impaired Loans ASC 310-10'!B156)</f>
        <v/>
      </c>
      <c r="C156" s="573">
        <f>IF(' Impaired Loans ASC 310-10'!C156="","",' Impaired Loans ASC 310-10'!C156)</f>
        <v/>
      </c>
      <c r="D156" s="573">
        <f>IF(' Impaired Loans ASC 310-10'!D156="","",' Impaired Loans ASC 310-10'!D156)</f>
        <v/>
      </c>
      <c r="E156" s="574">
        <f>IF(' Impaired Loans ASC 310-10'!E156="","",' Impaired Loans ASC 310-10'!E156)</f>
        <v/>
      </c>
      <c r="F156" s="575">
        <f>IF(' Impaired Loans ASC 310-10'!F156="","",' Impaired Loans ASC 310-10'!F156)</f>
        <v/>
      </c>
      <c r="G156" s="574">
        <f>IF(' Impaired Loans ASC 310-10'!G156="","",' Impaired Loans ASC 310-10'!G156)</f>
        <v/>
      </c>
      <c r="H156" s="574">
        <f>IF(' Impaired Loans ASC 310-10'!H156="","",' Impaired Loans ASC 310-10'!H156)</f>
        <v/>
      </c>
      <c r="I156" s="574">
        <f>IF(' Impaired Loans ASC 310-10'!I156="","",' Impaired Loans ASC 310-10'!I156)</f>
        <v/>
      </c>
      <c r="J156" s="574">
        <f>IF(' Impaired Loans ASC 310-10'!J156="","",' Impaired Loans ASC 310-10'!J156)</f>
        <v/>
      </c>
      <c r="K156" s="584" t="n"/>
      <c r="L156" s="578">
        <f>IFERROR(A156,"")</f>
        <v/>
      </c>
      <c r="M156" s="849">
        <f>IF(' Impaired Loans ASC 310-10'!A156="","",' Impaired Loans ASC 310-10'!K156)</f>
        <v/>
      </c>
      <c r="N156" s="580">
        <f>IF(' Impaired Loans ASC 310-10'!A156="","",' Impaired Loans ASC 310-10'!L156)</f>
        <v/>
      </c>
      <c r="O156" s="581">
        <f>IF(' Impaired Loans ASC 310-10'!A156="","",' Impaired Loans ASC 310-10'!M156)</f>
        <v/>
      </c>
      <c r="P156" s="582">
        <f>IF(' Impaired Loans ASC 310-10'!A156="","",' Impaired Loans ASC 310-10'!O156)</f>
        <v/>
      </c>
      <c r="Q156" s="583">
        <f>IF(' Impaired Loans ASC 310-10'!A156="","",' Impaired Loans ASC 310-10'!N156)</f>
        <v/>
      </c>
      <c r="R156" s="583">
        <f>IF(' Impaired Loans ASC 310-10'!A156="","",' Impaired Loans ASC 310-10'!P156)</f>
        <v/>
      </c>
      <c r="S156" s="583">
        <f>IF(' Impaired Loans ASC 310-10'!A156="","",' Impaired Loans ASC 310-10'!Q156)</f>
        <v/>
      </c>
    </row>
    <row r="157">
      <c r="A157" s="573">
        <f>IF(' Impaired Loans ASC 310-10'!A157="","",' Impaired Loans ASC 310-10'!A157)</f>
        <v/>
      </c>
      <c r="B157" s="573">
        <f>IF(' Impaired Loans ASC 310-10'!B157="","",' Impaired Loans ASC 310-10'!B157)</f>
        <v/>
      </c>
      <c r="C157" s="573">
        <f>IF(' Impaired Loans ASC 310-10'!C157="","",' Impaired Loans ASC 310-10'!C157)</f>
        <v/>
      </c>
      <c r="D157" s="573">
        <f>IF(' Impaired Loans ASC 310-10'!D157="","",' Impaired Loans ASC 310-10'!D157)</f>
        <v/>
      </c>
      <c r="E157" s="574">
        <f>IF(' Impaired Loans ASC 310-10'!E157="","",' Impaired Loans ASC 310-10'!E157)</f>
        <v/>
      </c>
      <c r="F157" s="575">
        <f>IF(' Impaired Loans ASC 310-10'!F157="","",' Impaired Loans ASC 310-10'!F157)</f>
        <v/>
      </c>
      <c r="G157" s="574">
        <f>IF(' Impaired Loans ASC 310-10'!G157="","",' Impaired Loans ASC 310-10'!G157)</f>
        <v/>
      </c>
      <c r="H157" s="574">
        <f>IF(' Impaired Loans ASC 310-10'!H157="","",' Impaired Loans ASC 310-10'!H157)</f>
        <v/>
      </c>
      <c r="I157" s="574">
        <f>IF(' Impaired Loans ASC 310-10'!I157="","",' Impaired Loans ASC 310-10'!I157)</f>
        <v/>
      </c>
      <c r="J157" s="574">
        <f>IF(' Impaired Loans ASC 310-10'!J157="","",' Impaired Loans ASC 310-10'!J157)</f>
        <v/>
      </c>
      <c r="K157" s="584" t="n"/>
      <c r="L157" s="578">
        <f>IFERROR(A157,"")</f>
        <v/>
      </c>
      <c r="M157" s="849">
        <f>IF(' Impaired Loans ASC 310-10'!A157="","",' Impaired Loans ASC 310-10'!K157)</f>
        <v/>
      </c>
      <c r="N157" s="580">
        <f>IF(' Impaired Loans ASC 310-10'!A157="","",' Impaired Loans ASC 310-10'!L157)</f>
        <v/>
      </c>
      <c r="O157" s="581">
        <f>IF(' Impaired Loans ASC 310-10'!A157="","",' Impaired Loans ASC 310-10'!M157)</f>
        <v/>
      </c>
      <c r="P157" s="582">
        <f>IF(' Impaired Loans ASC 310-10'!A157="","",' Impaired Loans ASC 310-10'!O157)</f>
        <v/>
      </c>
      <c r="Q157" s="583">
        <f>IF(' Impaired Loans ASC 310-10'!A157="","",' Impaired Loans ASC 310-10'!N157)</f>
        <v/>
      </c>
      <c r="R157" s="583">
        <f>IF(' Impaired Loans ASC 310-10'!A157="","",' Impaired Loans ASC 310-10'!P157)</f>
        <v/>
      </c>
      <c r="S157" s="583">
        <f>IF(' Impaired Loans ASC 310-10'!A157="","",' Impaired Loans ASC 310-10'!Q157)</f>
        <v/>
      </c>
    </row>
    <row r="158">
      <c r="A158" s="573">
        <f>IF(' Impaired Loans ASC 310-10'!A158="","",' Impaired Loans ASC 310-10'!A158)</f>
        <v/>
      </c>
      <c r="B158" s="573">
        <f>IF(' Impaired Loans ASC 310-10'!B158="","",' Impaired Loans ASC 310-10'!B158)</f>
        <v/>
      </c>
      <c r="C158" s="573">
        <f>IF(' Impaired Loans ASC 310-10'!C158="","",' Impaired Loans ASC 310-10'!C158)</f>
        <v/>
      </c>
      <c r="D158" s="573">
        <f>IF(' Impaired Loans ASC 310-10'!D158="","",' Impaired Loans ASC 310-10'!D158)</f>
        <v/>
      </c>
      <c r="E158" s="574">
        <f>IF(' Impaired Loans ASC 310-10'!E158="","",' Impaired Loans ASC 310-10'!E158)</f>
        <v/>
      </c>
      <c r="F158" s="575">
        <f>IF(' Impaired Loans ASC 310-10'!F158="","",' Impaired Loans ASC 310-10'!F158)</f>
        <v/>
      </c>
      <c r="G158" s="574">
        <f>IF(' Impaired Loans ASC 310-10'!G158="","",' Impaired Loans ASC 310-10'!G158)</f>
        <v/>
      </c>
      <c r="H158" s="574">
        <f>IF(' Impaired Loans ASC 310-10'!H158="","",' Impaired Loans ASC 310-10'!H158)</f>
        <v/>
      </c>
      <c r="I158" s="574">
        <f>IF(' Impaired Loans ASC 310-10'!I158="","",' Impaired Loans ASC 310-10'!I158)</f>
        <v/>
      </c>
      <c r="J158" s="574">
        <f>IF(' Impaired Loans ASC 310-10'!J158="","",' Impaired Loans ASC 310-10'!J158)</f>
        <v/>
      </c>
      <c r="K158" s="584" t="n"/>
      <c r="L158" s="578">
        <f>IFERROR(A158,"")</f>
        <v/>
      </c>
      <c r="M158" s="849">
        <f>IF(' Impaired Loans ASC 310-10'!A158="","",' Impaired Loans ASC 310-10'!K158)</f>
        <v/>
      </c>
      <c r="N158" s="580">
        <f>IF(' Impaired Loans ASC 310-10'!A158="","",' Impaired Loans ASC 310-10'!L158)</f>
        <v/>
      </c>
      <c r="O158" s="581">
        <f>IF(' Impaired Loans ASC 310-10'!A158="","",' Impaired Loans ASC 310-10'!M158)</f>
        <v/>
      </c>
      <c r="P158" s="582">
        <f>IF(' Impaired Loans ASC 310-10'!A158="","",' Impaired Loans ASC 310-10'!O158)</f>
        <v/>
      </c>
      <c r="Q158" s="583">
        <f>IF(' Impaired Loans ASC 310-10'!A158="","",' Impaired Loans ASC 310-10'!N158)</f>
        <v/>
      </c>
      <c r="R158" s="583">
        <f>IF(' Impaired Loans ASC 310-10'!A158="","",' Impaired Loans ASC 310-10'!P158)</f>
        <v/>
      </c>
      <c r="S158" s="583">
        <f>IF(' Impaired Loans ASC 310-10'!A158="","",' Impaired Loans ASC 310-10'!Q158)</f>
        <v/>
      </c>
    </row>
    <row r="159">
      <c r="A159" s="573">
        <f>IF(' Impaired Loans ASC 310-10'!A159="","",' Impaired Loans ASC 310-10'!A159)</f>
        <v/>
      </c>
      <c r="B159" s="573">
        <f>IF(' Impaired Loans ASC 310-10'!B159="","",' Impaired Loans ASC 310-10'!B159)</f>
        <v/>
      </c>
      <c r="C159" s="573">
        <f>IF(' Impaired Loans ASC 310-10'!C159="","",' Impaired Loans ASC 310-10'!C159)</f>
        <v/>
      </c>
      <c r="D159" s="573">
        <f>IF(' Impaired Loans ASC 310-10'!D159="","",' Impaired Loans ASC 310-10'!D159)</f>
        <v/>
      </c>
      <c r="E159" s="574">
        <f>IF(' Impaired Loans ASC 310-10'!E159="","",' Impaired Loans ASC 310-10'!E159)</f>
        <v/>
      </c>
      <c r="F159" s="575">
        <f>IF(' Impaired Loans ASC 310-10'!F159="","",' Impaired Loans ASC 310-10'!F159)</f>
        <v/>
      </c>
      <c r="G159" s="574">
        <f>IF(' Impaired Loans ASC 310-10'!G159="","",' Impaired Loans ASC 310-10'!G159)</f>
        <v/>
      </c>
      <c r="H159" s="574">
        <f>IF(' Impaired Loans ASC 310-10'!H159="","",' Impaired Loans ASC 310-10'!H159)</f>
        <v/>
      </c>
      <c r="I159" s="574">
        <f>IF(' Impaired Loans ASC 310-10'!I159="","",' Impaired Loans ASC 310-10'!I159)</f>
        <v/>
      </c>
      <c r="J159" s="574">
        <f>IF(' Impaired Loans ASC 310-10'!J159="","",' Impaired Loans ASC 310-10'!J159)</f>
        <v/>
      </c>
      <c r="K159" s="584" t="n"/>
      <c r="L159" s="578">
        <f>IFERROR(A159,"")</f>
        <v/>
      </c>
      <c r="M159" s="849">
        <f>IF(' Impaired Loans ASC 310-10'!A159="","",' Impaired Loans ASC 310-10'!K159)</f>
        <v/>
      </c>
      <c r="N159" s="580">
        <f>IF(' Impaired Loans ASC 310-10'!A159="","",' Impaired Loans ASC 310-10'!L159)</f>
        <v/>
      </c>
      <c r="O159" s="581">
        <f>IF(' Impaired Loans ASC 310-10'!A159="","",' Impaired Loans ASC 310-10'!M159)</f>
        <v/>
      </c>
      <c r="P159" s="582">
        <f>IF(' Impaired Loans ASC 310-10'!A159="","",' Impaired Loans ASC 310-10'!O159)</f>
        <v/>
      </c>
      <c r="Q159" s="583">
        <f>IF(' Impaired Loans ASC 310-10'!A159="","",' Impaired Loans ASC 310-10'!N159)</f>
        <v/>
      </c>
      <c r="R159" s="583">
        <f>IF(' Impaired Loans ASC 310-10'!A159="","",' Impaired Loans ASC 310-10'!P159)</f>
        <v/>
      </c>
      <c r="S159" s="583">
        <f>IF(' Impaired Loans ASC 310-10'!A159="","",' Impaired Loans ASC 310-10'!Q159)</f>
        <v/>
      </c>
    </row>
    <row r="160">
      <c r="A160" s="573">
        <f>IF(' Impaired Loans ASC 310-10'!A160="","",' Impaired Loans ASC 310-10'!A160)</f>
        <v/>
      </c>
      <c r="B160" s="573">
        <f>IF(' Impaired Loans ASC 310-10'!B160="","",' Impaired Loans ASC 310-10'!B160)</f>
        <v/>
      </c>
      <c r="C160" s="573">
        <f>IF(' Impaired Loans ASC 310-10'!C160="","",' Impaired Loans ASC 310-10'!C160)</f>
        <v/>
      </c>
      <c r="D160" s="573">
        <f>IF(' Impaired Loans ASC 310-10'!D160="","",' Impaired Loans ASC 310-10'!D160)</f>
        <v/>
      </c>
      <c r="E160" s="574">
        <f>IF(' Impaired Loans ASC 310-10'!E160="","",' Impaired Loans ASC 310-10'!E160)</f>
        <v/>
      </c>
      <c r="F160" s="575">
        <f>IF(' Impaired Loans ASC 310-10'!F160="","",' Impaired Loans ASC 310-10'!F160)</f>
        <v/>
      </c>
      <c r="G160" s="574">
        <f>IF(' Impaired Loans ASC 310-10'!G160="","",' Impaired Loans ASC 310-10'!G160)</f>
        <v/>
      </c>
      <c r="H160" s="574">
        <f>IF(' Impaired Loans ASC 310-10'!H160="","",' Impaired Loans ASC 310-10'!H160)</f>
        <v/>
      </c>
      <c r="I160" s="574">
        <f>IF(' Impaired Loans ASC 310-10'!I160="","",' Impaired Loans ASC 310-10'!I160)</f>
        <v/>
      </c>
      <c r="J160" s="574">
        <f>IF(' Impaired Loans ASC 310-10'!J160="","",' Impaired Loans ASC 310-10'!J160)</f>
        <v/>
      </c>
      <c r="K160" s="584" t="n"/>
      <c r="L160" s="578">
        <f>IFERROR(A160,"")</f>
        <v/>
      </c>
      <c r="M160" s="849">
        <f>IF(' Impaired Loans ASC 310-10'!A160="","",' Impaired Loans ASC 310-10'!K160)</f>
        <v/>
      </c>
      <c r="N160" s="580">
        <f>IF(' Impaired Loans ASC 310-10'!A160="","",' Impaired Loans ASC 310-10'!L160)</f>
        <v/>
      </c>
      <c r="O160" s="581">
        <f>IF(' Impaired Loans ASC 310-10'!A160="","",' Impaired Loans ASC 310-10'!M160)</f>
        <v/>
      </c>
      <c r="P160" s="582">
        <f>IF(' Impaired Loans ASC 310-10'!A160="","",' Impaired Loans ASC 310-10'!O160)</f>
        <v/>
      </c>
      <c r="Q160" s="583">
        <f>IF(' Impaired Loans ASC 310-10'!A160="","",' Impaired Loans ASC 310-10'!N160)</f>
        <v/>
      </c>
      <c r="R160" s="583">
        <f>IF(' Impaired Loans ASC 310-10'!A160="","",' Impaired Loans ASC 310-10'!P160)</f>
        <v/>
      </c>
      <c r="S160" s="583">
        <f>IF(' Impaired Loans ASC 310-10'!A160="","",' Impaired Loans ASC 310-10'!Q160)</f>
        <v/>
      </c>
    </row>
    <row r="161">
      <c r="A161" s="573">
        <f>IF(' Impaired Loans ASC 310-10'!A161="","",' Impaired Loans ASC 310-10'!A161)</f>
        <v/>
      </c>
      <c r="B161" s="573">
        <f>IF(' Impaired Loans ASC 310-10'!B161="","",' Impaired Loans ASC 310-10'!B161)</f>
        <v/>
      </c>
      <c r="C161" s="573">
        <f>IF(' Impaired Loans ASC 310-10'!C161="","",' Impaired Loans ASC 310-10'!C161)</f>
        <v/>
      </c>
      <c r="D161" s="573">
        <f>IF(' Impaired Loans ASC 310-10'!D161="","",' Impaired Loans ASC 310-10'!D161)</f>
        <v/>
      </c>
      <c r="E161" s="574">
        <f>IF(' Impaired Loans ASC 310-10'!E161="","",' Impaired Loans ASC 310-10'!E161)</f>
        <v/>
      </c>
      <c r="F161" s="575">
        <f>IF(' Impaired Loans ASC 310-10'!F161="","",' Impaired Loans ASC 310-10'!F161)</f>
        <v/>
      </c>
      <c r="G161" s="574">
        <f>IF(' Impaired Loans ASC 310-10'!G161="","",' Impaired Loans ASC 310-10'!G161)</f>
        <v/>
      </c>
      <c r="H161" s="574">
        <f>IF(' Impaired Loans ASC 310-10'!H161="","",' Impaired Loans ASC 310-10'!H161)</f>
        <v/>
      </c>
      <c r="I161" s="574">
        <f>IF(' Impaired Loans ASC 310-10'!I161="","",' Impaired Loans ASC 310-10'!I161)</f>
        <v/>
      </c>
      <c r="J161" s="574">
        <f>IF(' Impaired Loans ASC 310-10'!J161="","",' Impaired Loans ASC 310-10'!J161)</f>
        <v/>
      </c>
      <c r="K161" s="584" t="n"/>
      <c r="L161" s="578">
        <f>IFERROR(A161,"")</f>
        <v/>
      </c>
      <c r="M161" s="849">
        <f>IF(' Impaired Loans ASC 310-10'!A161="","",' Impaired Loans ASC 310-10'!K161)</f>
        <v/>
      </c>
      <c r="N161" s="580">
        <f>IF(' Impaired Loans ASC 310-10'!A161="","",' Impaired Loans ASC 310-10'!L161)</f>
        <v/>
      </c>
      <c r="O161" s="581">
        <f>IF(' Impaired Loans ASC 310-10'!A161="","",' Impaired Loans ASC 310-10'!M161)</f>
        <v/>
      </c>
      <c r="P161" s="582">
        <f>IF(' Impaired Loans ASC 310-10'!A161="","",' Impaired Loans ASC 310-10'!O161)</f>
        <v/>
      </c>
      <c r="Q161" s="583">
        <f>IF(' Impaired Loans ASC 310-10'!A161="","",' Impaired Loans ASC 310-10'!N161)</f>
        <v/>
      </c>
      <c r="R161" s="583">
        <f>IF(' Impaired Loans ASC 310-10'!A161="","",' Impaired Loans ASC 310-10'!P161)</f>
        <v/>
      </c>
      <c r="S161" s="583">
        <f>IF(' Impaired Loans ASC 310-10'!A161="","",' Impaired Loans ASC 310-10'!Q161)</f>
        <v/>
      </c>
    </row>
    <row r="162">
      <c r="A162" s="573">
        <f>IF(' Impaired Loans ASC 310-10'!A162="","",' Impaired Loans ASC 310-10'!A162)</f>
        <v/>
      </c>
      <c r="B162" s="573">
        <f>IF(' Impaired Loans ASC 310-10'!B162="","",' Impaired Loans ASC 310-10'!B162)</f>
        <v/>
      </c>
      <c r="C162" s="573">
        <f>IF(' Impaired Loans ASC 310-10'!C162="","",' Impaired Loans ASC 310-10'!C162)</f>
        <v/>
      </c>
      <c r="D162" s="573">
        <f>IF(' Impaired Loans ASC 310-10'!D162="","",' Impaired Loans ASC 310-10'!D162)</f>
        <v/>
      </c>
      <c r="E162" s="574">
        <f>IF(' Impaired Loans ASC 310-10'!E162="","",' Impaired Loans ASC 310-10'!E162)</f>
        <v/>
      </c>
      <c r="F162" s="575">
        <f>IF(' Impaired Loans ASC 310-10'!F162="","",' Impaired Loans ASC 310-10'!F162)</f>
        <v/>
      </c>
      <c r="G162" s="574">
        <f>IF(' Impaired Loans ASC 310-10'!G162="","",' Impaired Loans ASC 310-10'!G162)</f>
        <v/>
      </c>
      <c r="H162" s="574">
        <f>IF(' Impaired Loans ASC 310-10'!H162="","",' Impaired Loans ASC 310-10'!H162)</f>
        <v/>
      </c>
      <c r="I162" s="574">
        <f>IF(' Impaired Loans ASC 310-10'!I162="","",' Impaired Loans ASC 310-10'!I162)</f>
        <v/>
      </c>
      <c r="J162" s="574">
        <f>IF(' Impaired Loans ASC 310-10'!J162="","",' Impaired Loans ASC 310-10'!J162)</f>
        <v/>
      </c>
      <c r="K162" s="584" t="n"/>
      <c r="L162" s="578">
        <f>IFERROR(A162,"")</f>
        <v/>
      </c>
      <c r="M162" s="849">
        <f>IF(' Impaired Loans ASC 310-10'!A162="","",' Impaired Loans ASC 310-10'!K162)</f>
        <v/>
      </c>
      <c r="N162" s="580">
        <f>IF(' Impaired Loans ASC 310-10'!A162="","",' Impaired Loans ASC 310-10'!L162)</f>
        <v/>
      </c>
      <c r="O162" s="581">
        <f>IF(' Impaired Loans ASC 310-10'!A162="","",' Impaired Loans ASC 310-10'!M162)</f>
        <v/>
      </c>
      <c r="P162" s="582">
        <f>IF(' Impaired Loans ASC 310-10'!A162="","",' Impaired Loans ASC 310-10'!O162)</f>
        <v/>
      </c>
      <c r="Q162" s="583">
        <f>IF(' Impaired Loans ASC 310-10'!A162="","",' Impaired Loans ASC 310-10'!N162)</f>
        <v/>
      </c>
      <c r="R162" s="583">
        <f>IF(' Impaired Loans ASC 310-10'!A162="","",' Impaired Loans ASC 310-10'!P162)</f>
        <v/>
      </c>
      <c r="S162" s="583">
        <f>IF(' Impaired Loans ASC 310-10'!A162="","",' Impaired Loans ASC 310-10'!Q162)</f>
        <v/>
      </c>
    </row>
    <row r="163">
      <c r="A163" s="573">
        <f>IF(' Impaired Loans ASC 310-10'!A163="","",' Impaired Loans ASC 310-10'!A163)</f>
        <v/>
      </c>
      <c r="B163" s="573">
        <f>IF(' Impaired Loans ASC 310-10'!B163="","",' Impaired Loans ASC 310-10'!B163)</f>
        <v/>
      </c>
      <c r="C163" s="573">
        <f>IF(' Impaired Loans ASC 310-10'!C163="","",' Impaired Loans ASC 310-10'!C163)</f>
        <v/>
      </c>
      <c r="D163" s="573">
        <f>IF(' Impaired Loans ASC 310-10'!D163="","",' Impaired Loans ASC 310-10'!D163)</f>
        <v/>
      </c>
      <c r="E163" s="574">
        <f>IF(' Impaired Loans ASC 310-10'!E163="","",' Impaired Loans ASC 310-10'!E163)</f>
        <v/>
      </c>
      <c r="F163" s="575">
        <f>IF(' Impaired Loans ASC 310-10'!F163="","",' Impaired Loans ASC 310-10'!F163)</f>
        <v/>
      </c>
      <c r="G163" s="574">
        <f>IF(' Impaired Loans ASC 310-10'!G163="","",' Impaired Loans ASC 310-10'!G163)</f>
        <v/>
      </c>
      <c r="H163" s="574">
        <f>IF(' Impaired Loans ASC 310-10'!H163="","",' Impaired Loans ASC 310-10'!H163)</f>
        <v/>
      </c>
      <c r="I163" s="574">
        <f>IF(' Impaired Loans ASC 310-10'!I163="","",' Impaired Loans ASC 310-10'!I163)</f>
        <v/>
      </c>
      <c r="J163" s="574">
        <f>IF(' Impaired Loans ASC 310-10'!J163="","",' Impaired Loans ASC 310-10'!J163)</f>
        <v/>
      </c>
      <c r="K163" s="584" t="n"/>
      <c r="L163" s="578">
        <f>IFERROR(A163,"")</f>
        <v/>
      </c>
      <c r="M163" s="849">
        <f>IF(' Impaired Loans ASC 310-10'!A163="","",' Impaired Loans ASC 310-10'!K163)</f>
        <v/>
      </c>
      <c r="N163" s="580">
        <f>IF(' Impaired Loans ASC 310-10'!A163="","",' Impaired Loans ASC 310-10'!L163)</f>
        <v/>
      </c>
      <c r="O163" s="581">
        <f>IF(' Impaired Loans ASC 310-10'!A163="","",' Impaired Loans ASC 310-10'!M163)</f>
        <v/>
      </c>
      <c r="P163" s="582">
        <f>IF(' Impaired Loans ASC 310-10'!A163="","",' Impaired Loans ASC 310-10'!O163)</f>
        <v/>
      </c>
      <c r="Q163" s="583">
        <f>IF(' Impaired Loans ASC 310-10'!A163="","",' Impaired Loans ASC 310-10'!N163)</f>
        <v/>
      </c>
      <c r="R163" s="583">
        <f>IF(' Impaired Loans ASC 310-10'!A163="","",' Impaired Loans ASC 310-10'!P163)</f>
        <v/>
      </c>
      <c r="S163" s="583">
        <f>IF(' Impaired Loans ASC 310-10'!A163="","",' Impaired Loans ASC 310-10'!Q163)</f>
        <v/>
      </c>
    </row>
    <row r="164">
      <c r="A164" s="573">
        <f>IF(' Impaired Loans ASC 310-10'!A164="","",' Impaired Loans ASC 310-10'!A164)</f>
        <v/>
      </c>
      <c r="B164" s="573">
        <f>IF(' Impaired Loans ASC 310-10'!B164="","",' Impaired Loans ASC 310-10'!B164)</f>
        <v/>
      </c>
      <c r="C164" s="573">
        <f>IF(' Impaired Loans ASC 310-10'!C164="","",' Impaired Loans ASC 310-10'!C164)</f>
        <v/>
      </c>
      <c r="D164" s="573">
        <f>IF(' Impaired Loans ASC 310-10'!D164="","",' Impaired Loans ASC 310-10'!D164)</f>
        <v/>
      </c>
      <c r="E164" s="574">
        <f>IF(' Impaired Loans ASC 310-10'!E164="","",' Impaired Loans ASC 310-10'!E164)</f>
        <v/>
      </c>
      <c r="F164" s="575">
        <f>IF(' Impaired Loans ASC 310-10'!F164="","",' Impaired Loans ASC 310-10'!F164)</f>
        <v/>
      </c>
      <c r="G164" s="574">
        <f>IF(' Impaired Loans ASC 310-10'!G164="","",' Impaired Loans ASC 310-10'!G164)</f>
        <v/>
      </c>
      <c r="H164" s="574">
        <f>IF(' Impaired Loans ASC 310-10'!H164="","",' Impaired Loans ASC 310-10'!H164)</f>
        <v/>
      </c>
      <c r="I164" s="574">
        <f>IF(' Impaired Loans ASC 310-10'!I164="","",' Impaired Loans ASC 310-10'!I164)</f>
        <v/>
      </c>
      <c r="J164" s="574">
        <f>IF(' Impaired Loans ASC 310-10'!J164="","",' Impaired Loans ASC 310-10'!J164)</f>
        <v/>
      </c>
      <c r="K164" s="584" t="n"/>
      <c r="L164" s="578">
        <f>IFERROR(A164,"")</f>
        <v/>
      </c>
      <c r="M164" s="849">
        <f>IF(' Impaired Loans ASC 310-10'!A164="","",' Impaired Loans ASC 310-10'!K164)</f>
        <v/>
      </c>
      <c r="N164" s="580">
        <f>IF(' Impaired Loans ASC 310-10'!A164="","",' Impaired Loans ASC 310-10'!L164)</f>
        <v/>
      </c>
      <c r="O164" s="581">
        <f>IF(' Impaired Loans ASC 310-10'!A164="","",' Impaired Loans ASC 310-10'!M164)</f>
        <v/>
      </c>
      <c r="P164" s="582">
        <f>IF(' Impaired Loans ASC 310-10'!A164="","",' Impaired Loans ASC 310-10'!O164)</f>
        <v/>
      </c>
      <c r="Q164" s="583">
        <f>IF(' Impaired Loans ASC 310-10'!A164="","",' Impaired Loans ASC 310-10'!N164)</f>
        <v/>
      </c>
      <c r="R164" s="583">
        <f>IF(' Impaired Loans ASC 310-10'!A164="","",' Impaired Loans ASC 310-10'!P164)</f>
        <v/>
      </c>
      <c r="S164" s="583">
        <f>IF(' Impaired Loans ASC 310-10'!A164="","",' Impaired Loans ASC 310-10'!Q164)</f>
        <v/>
      </c>
    </row>
    <row r="165">
      <c r="A165" s="573">
        <f>IF(' Impaired Loans ASC 310-10'!A165="","",' Impaired Loans ASC 310-10'!A165)</f>
        <v/>
      </c>
      <c r="B165" s="573">
        <f>IF(' Impaired Loans ASC 310-10'!B165="","",' Impaired Loans ASC 310-10'!B165)</f>
        <v/>
      </c>
      <c r="C165" s="573">
        <f>IF(' Impaired Loans ASC 310-10'!C165="","",' Impaired Loans ASC 310-10'!C165)</f>
        <v/>
      </c>
      <c r="D165" s="573">
        <f>IF(' Impaired Loans ASC 310-10'!D165="","",' Impaired Loans ASC 310-10'!D165)</f>
        <v/>
      </c>
      <c r="E165" s="574">
        <f>IF(' Impaired Loans ASC 310-10'!E165="","",' Impaired Loans ASC 310-10'!E165)</f>
        <v/>
      </c>
      <c r="F165" s="575">
        <f>IF(' Impaired Loans ASC 310-10'!F165="","",' Impaired Loans ASC 310-10'!F165)</f>
        <v/>
      </c>
      <c r="G165" s="574">
        <f>IF(' Impaired Loans ASC 310-10'!G165="","",' Impaired Loans ASC 310-10'!G165)</f>
        <v/>
      </c>
      <c r="H165" s="574">
        <f>IF(' Impaired Loans ASC 310-10'!H165="","",' Impaired Loans ASC 310-10'!H165)</f>
        <v/>
      </c>
      <c r="I165" s="574">
        <f>IF(' Impaired Loans ASC 310-10'!I165="","",' Impaired Loans ASC 310-10'!I165)</f>
        <v/>
      </c>
      <c r="J165" s="574">
        <f>IF(' Impaired Loans ASC 310-10'!J165="","",' Impaired Loans ASC 310-10'!J165)</f>
        <v/>
      </c>
      <c r="K165" s="584" t="n"/>
      <c r="L165" s="578">
        <f>IFERROR(A165,"")</f>
        <v/>
      </c>
      <c r="M165" s="849">
        <f>IF(' Impaired Loans ASC 310-10'!A165="","",' Impaired Loans ASC 310-10'!K165)</f>
        <v/>
      </c>
      <c r="N165" s="580">
        <f>IF(' Impaired Loans ASC 310-10'!A165="","",' Impaired Loans ASC 310-10'!L165)</f>
        <v/>
      </c>
      <c r="O165" s="581">
        <f>IF(' Impaired Loans ASC 310-10'!A165="","",' Impaired Loans ASC 310-10'!M165)</f>
        <v/>
      </c>
      <c r="P165" s="582">
        <f>IF(' Impaired Loans ASC 310-10'!A165="","",' Impaired Loans ASC 310-10'!O165)</f>
        <v/>
      </c>
      <c r="Q165" s="583">
        <f>IF(' Impaired Loans ASC 310-10'!A165="","",' Impaired Loans ASC 310-10'!N165)</f>
        <v/>
      </c>
      <c r="R165" s="583">
        <f>IF(' Impaired Loans ASC 310-10'!A165="","",' Impaired Loans ASC 310-10'!P165)</f>
        <v/>
      </c>
      <c r="S165" s="583">
        <f>IF(' Impaired Loans ASC 310-10'!A165="","",' Impaired Loans ASC 310-10'!Q165)</f>
        <v/>
      </c>
    </row>
    <row r="166">
      <c r="A166" s="573">
        <f>IF(' Impaired Loans ASC 310-10'!A166="","",' Impaired Loans ASC 310-10'!A166)</f>
        <v/>
      </c>
      <c r="B166" s="573">
        <f>IF(' Impaired Loans ASC 310-10'!B166="","",' Impaired Loans ASC 310-10'!B166)</f>
        <v/>
      </c>
      <c r="C166" s="573">
        <f>IF(' Impaired Loans ASC 310-10'!C166="","",' Impaired Loans ASC 310-10'!C166)</f>
        <v/>
      </c>
      <c r="D166" s="573">
        <f>IF(' Impaired Loans ASC 310-10'!D166="","",' Impaired Loans ASC 310-10'!D166)</f>
        <v/>
      </c>
      <c r="E166" s="574">
        <f>IF(' Impaired Loans ASC 310-10'!E166="","",' Impaired Loans ASC 310-10'!E166)</f>
        <v/>
      </c>
      <c r="F166" s="575">
        <f>IF(' Impaired Loans ASC 310-10'!F166="","",' Impaired Loans ASC 310-10'!F166)</f>
        <v/>
      </c>
      <c r="G166" s="574">
        <f>IF(' Impaired Loans ASC 310-10'!G166="","",' Impaired Loans ASC 310-10'!G166)</f>
        <v/>
      </c>
      <c r="H166" s="574">
        <f>IF(' Impaired Loans ASC 310-10'!H166="","",' Impaired Loans ASC 310-10'!H166)</f>
        <v/>
      </c>
      <c r="I166" s="574">
        <f>IF(' Impaired Loans ASC 310-10'!I166="","",' Impaired Loans ASC 310-10'!I166)</f>
        <v/>
      </c>
      <c r="J166" s="574">
        <f>IF(' Impaired Loans ASC 310-10'!J166="","",' Impaired Loans ASC 310-10'!J166)</f>
        <v/>
      </c>
      <c r="K166" s="584" t="n"/>
      <c r="L166" s="578">
        <f>IFERROR(A166,"")</f>
        <v/>
      </c>
      <c r="M166" s="849">
        <f>IF(' Impaired Loans ASC 310-10'!A166="","",' Impaired Loans ASC 310-10'!K166)</f>
        <v/>
      </c>
      <c r="N166" s="580">
        <f>IF(' Impaired Loans ASC 310-10'!A166="","",' Impaired Loans ASC 310-10'!L166)</f>
        <v/>
      </c>
      <c r="O166" s="581">
        <f>IF(' Impaired Loans ASC 310-10'!A166="","",' Impaired Loans ASC 310-10'!M166)</f>
        <v/>
      </c>
      <c r="P166" s="582">
        <f>IF(' Impaired Loans ASC 310-10'!A166="","",' Impaired Loans ASC 310-10'!O166)</f>
        <v/>
      </c>
      <c r="Q166" s="583">
        <f>IF(' Impaired Loans ASC 310-10'!A166="","",' Impaired Loans ASC 310-10'!N166)</f>
        <v/>
      </c>
      <c r="R166" s="583">
        <f>IF(' Impaired Loans ASC 310-10'!A166="","",' Impaired Loans ASC 310-10'!P166)</f>
        <v/>
      </c>
      <c r="S166" s="583">
        <f>IF(' Impaired Loans ASC 310-10'!A166="","",' Impaired Loans ASC 310-10'!Q166)</f>
        <v/>
      </c>
    </row>
    <row r="167">
      <c r="A167" s="573">
        <f>IF(' Impaired Loans ASC 310-10'!A167="","",' Impaired Loans ASC 310-10'!A167)</f>
        <v/>
      </c>
      <c r="B167" s="573">
        <f>IF(' Impaired Loans ASC 310-10'!B167="","",' Impaired Loans ASC 310-10'!B167)</f>
        <v/>
      </c>
      <c r="C167" s="573">
        <f>IF(' Impaired Loans ASC 310-10'!C167="","",' Impaired Loans ASC 310-10'!C167)</f>
        <v/>
      </c>
      <c r="D167" s="573">
        <f>IF(' Impaired Loans ASC 310-10'!D167="","",' Impaired Loans ASC 310-10'!D167)</f>
        <v/>
      </c>
      <c r="E167" s="574">
        <f>IF(' Impaired Loans ASC 310-10'!E167="","",' Impaired Loans ASC 310-10'!E167)</f>
        <v/>
      </c>
      <c r="F167" s="575">
        <f>IF(' Impaired Loans ASC 310-10'!F167="","",' Impaired Loans ASC 310-10'!F167)</f>
        <v/>
      </c>
      <c r="G167" s="574">
        <f>IF(' Impaired Loans ASC 310-10'!G167="","",' Impaired Loans ASC 310-10'!G167)</f>
        <v/>
      </c>
      <c r="H167" s="574">
        <f>IF(' Impaired Loans ASC 310-10'!H167="","",' Impaired Loans ASC 310-10'!H167)</f>
        <v/>
      </c>
      <c r="I167" s="574">
        <f>IF(' Impaired Loans ASC 310-10'!I167="","",' Impaired Loans ASC 310-10'!I167)</f>
        <v/>
      </c>
      <c r="J167" s="574">
        <f>IF(' Impaired Loans ASC 310-10'!J167="","",' Impaired Loans ASC 310-10'!J167)</f>
        <v/>
      </c>
      <c r="K167" s="584" t="n"/>
      <c r="L167" s="578">
        <f>IFERROR(A167,"")</f>
        <v/>
      </c>
      <c r="M167" s="849">
        <f>IF(' Impaired Loans ASC 310-10'!A167="","",' Impaired Loans ASC 310-10'!K167)</f>
        <v/>
      </c>
      <c r="N167" s="580">
        <f>IF(' Impaired Loans ASC 310-10'!A167="","",' Impaired Loans ASC 310-10'!L167)</f>
        <v/>
      </c>
      <c r="O167" s="581">
        <f>IF(' Impaired Loans ASC 310-10'!A167="","",' Impaired Loans ASC 310-10'!M167)</f>
        <v/>
      </c>
      <c r="P167" s="582">
        <f>IF(' Impaired Loans ASC 310-10'!A167="","",' Impaired Loans ASC 310-10'!O167)</f>
        <v/>
      </c>
      <c r="Q167" s="583">
        <f>IF(' Impaired Loans ASC 310-10'!A167="","",' Impaired Loans ASC 310-10'!N167)</f>
        <v/>
      </c>
      <c r="R167" s="583">
        <f>IF(' Impaired Loans ASC 310-10'!A167="","",' Impaired Loans ASC 310-10'!P167)</f>
        <v/>
      </c>
      <c r="S167" s="583">
        <f>IF(' Impaired Loans ASC 310-10'!A167="","",' Impaired Loans ASC 310-10'!Q167)</f>
        <v/>
      </c>
    </row>
    <row r="168">
      <c r="A168" s="573">
        <f>IF(' Impaired Loans ASC 310-10'!A168="","",' Impaired Loans ASC 310-10'!A168)</f>
        <v/>
      </c>
      <c r="B168" s="573">
        <f>IF(' Impaired Loans ASC 310-10'!B168="","",' Impaired Loans ASC 310-10'!B168)</f>
        <v/>
      </c>
      <c r="C168" s="573">
        <f>IF(' Impaired Loans ASC 310-10'!C168="","",' Impaired Loans ASC 310-10'!C168)</f>
        <v/>
      </c>
      <c r="D168" s="573">
        <f>IF(' Impaired Loans ASC 310-10'!D168="","",' Impaired Loans ASC 310-10'!D168)</f>
        <v/>
      </c>
      <c r="E168" s="574">
        <f>IF(' Impaired Loans ASC 310-10'!E168="","",' Impaired Loans ASC 310-10'!E168)</f>
        <v/>
      </c>
      <c r="F168" s="575">
        <f>IF(' Impaired Loans ASC 310-10'!F168="","",' Impaired Loans ASC 310-10'!F168)</f>
        <v/>
      </c>
      <c r="G168" s="574">
        <f>IF(' Impaired Loans ASC 310-10'!G168="","",' Impaired Loans ASC 310-10'!G168)</f>
        <v/>
      </c>
      <c r="H168" s="574">
        <f>IF(' Impaired Loans ASC 310-10'!H168="","",' Impaired Loans ASC 310-10'!H168)</f>
        <v/>
      </c>
      <c r="I168" s="574">
        <f>IF(' Impaired Loans ASC 310-10'!I168="","",' Impaired Loans ASC 310-10'!I168)</f>
        <v/>
      </c>
      <c r="J168" s="574">
        <f>IF(' Impaired Loans ASC 310-10'!J168="","",' Impaired Loans ASC 310-10'!J168)</f>
        <v/>
      </c>
      <c r="K168" s="584" t="n"/>
      <c r="L168" s="578">
        <f>IFERROR(A168,"")</f>
        <v/>
      </c>
      <c r="M168" s="849">
        <f>IF(' Impaired Loans ASC 310-10'!A168="","",' Impaired Loans ASC 310-10'!K168)</f>
        <v/>
      </c>
      <c r="N168" s="580">
        <f>IF(' Impaired Loans ASC 310-10'!A168="","",' Impaired Loans ASC 310-10'!L168)</f>
        <v/>
      </c>
      <c r="O168" s="581">
        <f>IF(' Impaired Loans ASC 310-10'!A168="","",' Impaired Loans ASC 310-10'!M168)</f>
        <v/>
      </c>
      <c r="P168" s="582">
        <f>IF(' Impaired Loans ASC 310-10'!A168="","",' Impaired Loans ASC 310-10'!O168)</f>
        <v/>
      </c>
      <c r="Q168" s="583">
        <f>IF(' Impaired Loans ASC 310-10'!A168="","",' Impaired Loans ASC 310-10'!N168)</f>
        <v/>
      </c>
      <c r="R168" s="583">
        <f>IF(' Impaired Loans ASC 310-10'!A168="","",' Impaired Loans ASC 310-10'!P168)</f>
        <v/>
      </c>
      <c r="S168" s="583">
        <f>IF(' Impaired Loans ASC 310-10'!A168="","",' Impaired Loans ASC 310-10'!Q168)</f>
        <v/>
      </c>
    </row>
    <row r="169">
      <c r="A169" s="573">
        <f>IF(' Impaired Loans ASC 310-10'!A169="","",' Impaired Loans ASC 310-10'!A169)</f>
        <v/>
      </c>
      <c r="B169" s="573">
        <f>IF(' Impaired Loans ASC 310-10'!B169="","",' Impaired Loans ASC 310-10'!B169)</f>
        <v/>
      </c>
      <c r="C169" s="573">
        <f>IF(' Impaired Loans ASC 310-10'!C169="","",' Impaired Loans ASC 310-10'!C169)</f>
        <v/>
      </c>
      <c r="D169" s="573">
        <f>IF(' Impaired Loans ASC 310-10'!D169="","",' Impaired Loans ASC 310-10'!D169)</f>
        <v/>
      </c>
      <c r="E169" s="574">
        <f>IF(' Impaired Loans ASC 310-10'!E169="","",' Impaired Loans ASC 310-10'!E169)</f>
        <v/>
      </c>
      <c r="F169" s="575">
        <f>IF(' Impaired Loans ASC 310-10'!F169="","",' Impaired Loans ASC 310-10'!F169)</f>
        <v/>
      </c>
      <c r="G169" s="574">
        <f>IF(' Impaired Loans ASC 310-10'!G169="","",' Impaired Loans ASC 310-10'!G169)</f>
        <v/>
      </c>
      <c r="H169" s="574">
        <f>IF(' Impaired Loans ASC 310-10'!H169="","",' Impaired Loans ASC 310-10'!H169)</f>
        <v/>
      </c>
      <c r="I169" s="574">
        <f>IF(' Impaired Loans ASC 310-10'!I169="","",' Impaired Loans ASC 310-10'!I169)</f>
        <v/>
      </c>
      <c r="J169" s="574">
        <f>IF(' Impaired Loans ASC 310-10'!J169="","",' Impaired Loans ASC 310-10'!J169)</f>
        <v/>
      </c>
      <c r="K169" s="584" t="n"/>
      <c r="L169" s="578">
        <f>IFERROR(A169,"")</f>
        <v/>
      </c>
      <c r="M169" s="849">
        <f>IF(' Impaired Loans ASC 310-10'!A169="","",' Impaired Loans ASC 310-10'!K169)</f>
        <v/>
      </c>
      <c r="N169" s="580">
        <f>IF(' Impaired Loans ASC 310-10'!A169="","",' Impaired Loans ASC 310-10'!L169)</f>
        <v/>
      </c>
      <c r="O169" s="581">
        <f>IF(' Impaired Loans ASC 310-10'!A169="","",' Impaired Loans ASC 310-10'!M169)</f>
        <v/>
      </c>
      <c r="P169" s="582">
        <f>IF(' Impaired Loans ASC 310-10'!A169="","",' Impaired Loans ASC 310-10'!O169)</f>
        <v/>
      </c>
      <c r="Q169" s="583">
        <f>IF(' Impaired Loans ASC 310-10'!A169="","",' Impaired Loans ASC 310-10'!N169)</f>
        <v/>
      </c>
      <c r="R169" s="583">
        <f>IF(' Impaired Loans ASC 310-10'!A169="","",' Impaired Loans ASC 310-10'!P169)</f>
        <v/>
      </c>
      <c r="S169" s="583">
        <f>IF(' Impaired Loans ASC 310-10'!A169="","",' Impaired Loans ASC 310-10'!Q169)</f>
        <v/>
      </c>
    </row>
    <row r="170">
      <c r="A170" s="573">
        <f>IF(' Impaired Loans ASC 310-10'!A170="","",' Impaired Loans ASC 310-10'!A170)</f>
        <v/>
      </c>
      <c r="B170" s="573">
        <f>IF(' Impaired Loans ASC 310-10'!B170="","",' Impaired Loans ASC 310-10'!B170)</f>
        <v/>
      </c>
      <c r="C170" s="573">
        <f>IF(' Impaired Loans ASC 310-10'!C170="","",' Impaired Loans ASC 310-10'!C170)</f>
        <v/>
      </c>
      <c r="D170" s="573">
        <f>IF(' Impaired Loans ASC 310-10'!D170="","",' Impaired Loans ASC 310-10'!D170)</f>
        <v/>
      </c>
      <c r="E170" s="574">
        <f>IF(' Impaired Loans ASC 310-10'!E170="","",' Impaired Loans ASC 310-10'!E170)</f>
        <v/>
      </c>
      <c r="F170" s="575">
        <f>IF(' Impaired Loans ASC 310-10'!F170="","",' Impaired Loans ASC 310-10'!F170)</f>
        <v/>
      </c>
      <c r="G170" s="574">
        <f>IF(' Impaired Loans ASC 310-10'!G170="","",' Impaired Loans ASC 310-10'!G170)</f>
        <v/>
      </c>
      <c r="H170" s="574">
        <f>IF(' Impaired Loans ASC 310-10'!H170="","",' Impaired Loans ASC 310-10'!H170)</f>
        <v/>
      </c>
      <c r="I170" s="574">
        <f>IF(' Impaired Loans ASC 310-10'!I170="","",' Impaired Loans ASC 310-10'!I170)</f>
        <v/>
      </c>
      <c r="J170" s="574">
        <f>IF(' Impaired Loans ASC 310-10'!J170="","",' Impaired Loans ASC 310-10'!J170)</f>
        <v/>
      </c>
      <c r="K170" s="584" t="n"/>
      <c r="L170" s="578">
        <f>IFERROR(A170,"")</f>
        <v/>
      </c>
      <c r="M170" s="849">
        <f>IF(' Impaired Loans ASC 310-10'!A170="","",' Impaired Loans ASC 310-10'!K170)</f>
        <v/>
      </c>
      <c r="N170" s="580">
        <f>IF(' Impaired Loans ASC 310-10'!A170="","",' Impaired Loans ASC 310-10'!L170)</f>
        <v/>
      </c>
      <c r="O170" s="581">
        <f>IF(' Impaired Loans ASC 310-10'!A170="","",' Impaired Loans ASC 310-10'!M170)</f>
        <v/>
      </c>
      <c r="P170" s="582">
        <f>IF(' Impaired Loans ASC 310-10'!A170="","",' Impaired Loans ASC 310-10'!O170)</f>
        <v/>
      </c>
      <c r="Q170" s="583">
        <f>IF(' Impaired Loans ASC 310-10'!A170="","",' Impaired Loans ASC 310-10'!N170)</f>
        <v/>
      </c>
      <c r="R170" s="583">
        <f>IF(' Impaired Loans ASC 310-10'!A170="","",' Impaired Loans ASC 310-10'!P170)</f>
        <v/>
      </c>
      <c r="S170" s="583">
        <f>IF(' Impaired Loans ASC 310-10'!A170="","",' Impaired Loans ASC 310-10'!Q170)</f>
        <v/>
      </c>
    </row>
    <row r="171">
      <c r="A171" s="573">
        <f>IF(' Impaired Loans ASC 310-10'!A171="","",' Impaired Loans ASC 310-10'!A171)</f>
        <v/>
      </c>
      <c r="B171" s="573">
        <f>IF(' Impaired Loans ASC 310-10'!B171="","",' Impaired Loans ASC 310-10'!B171)</f>
        <v/>
      </c>
      <c r="C171" s="573">
        <f>IF(' Impaired Loans ASC 310-10'!C171="","",' Impaired Loans ASC 310-10'!C171)</f>
        <v/>
      </c>
      <c r="D171" s="573">
        <f>IF(' Impaired Loans ASC 310-10'!D171="","",' Impaired Loans ASC 310-10'!D171)</f>
        <v/>
      </c>
      <c r="E171" s="574">
        <f>IF(' Impaired Loans ASC 310-10'!E171="","",' Impaired Loans ASC 310-10'!E171)</f>
        <v/>
      </c>
      <c r="F171" s="575">
        <f>IF(' Impaired Loans ASC 310-10'!F171="","",' Impaired Loans ASC 310-10'!F171)</f>
        <v/>
      </c>
      <c r="G171" s="574">
        <f>IF(' Impaired Loans ASC 310-10'!G171="","",' Impaired Loans ASC 310-10'!G171)</f>
        <v/>
      </c>
      <c r="H171" s="574">
        <f>IF(' Impaired Loans ASC 310-10'!H171="","",' Impaired Loans ASC 310-10'!H171)</f>
        <v/>
      </c>
      <c r="I171" s="574">
        <f>IF(' Impaired Loans ASC 310-10'!I171="","",' Impaired Loans ASC 310-10'!I171)</f>
        <v/>
      </c>
      <c r="J171" s="574">
        <f>IF(' Impaired Loans ASC 310-10'!J171="","",' Impaired Loans ASC 310-10'!J171)</f>
        <v/>
      </c>
      <c r="K171" s="584" t="n"/>
      <c r="L171" s="578">
        <f>IFERROR(A171,"")</f>
        <v/>
      </c>
      <c r="M171" s="849">
        <f>IF(' Impaired Loans ASC 310-10'!A171="","",' Impaired Loans ASC 310-10'!K171)</f>
        <v/>
      </c>
      <c r="N171" s="580">
        <f>IF(' Impaired Loans ASC 310-10'!A171="","",' Impaired Loans ASC 310-10'!L171)</f>
        <v/>
      </c>
      <c r="O171" s="581">
        <f>IF(' Impaired Loans ASC 310-10'!A171="","",' Impaired Loans ASC 310-10'!M171)</f>
        <v/>
      </c>
      <c r="P171" s="582">
        <f>IF(' Impaired Loans ASC 310-10'!A171="","",' Impaired Loans ASC 310-10'!O171)</f>
        <v/>
      </c>
      <c r="Q171" s="583">
        <f>IF(' Impaired Loans ASC 310-10'!A171="","",' Impaired Loans ASC 310-10'!N171)</f>
        <v/>
      </c>
      <c r="R171" s="583">
        <f>IF(' Impaired Loans ASC 310-10'!A171="","",' Impaired Loans ASC 310-10'!P171)</f>
        <v/>
      </c>
      <c r="S171" s="583">
        <f>IF(' Impaired Loans ASC 310-10'!A171="","",' Impaired Loans ASC 310-10'!Q171)</f>
        <v/>
      </c>
    </row>
    <row r="172">
      <c r="A172" s="573">
        <f>IF(' Impaired Loans ASC 310-10'!A172="","",' Impaired Loans ASC 310-10'!A172)</f>
        <v/>
      </c>
      <c r="B172" s="573">
        <f>IF(' Impaired Loans ASC 310-10'!B172="","",' Impaired Loans ASC 310-10'!B172)</f>
        <v/>
      </c>
      <c r="C172" s="573">
        <f>IF(' Impaired Loans ASC 310-10'!C172="","",' Impaired Loans ASC 310-10'!C172)</f>
        <v/>
      </c>
      <c r="D172" s="573">
        <f>IF(' Impaired Loans ASC 310-10'!D172="","",' Impaired Loans ASC 310-10'!D172)</f>
        <v/>
      </c>
      <c r="E172" s="574">
        <f>IF(' Impaired Loans ASC 310-10'!E172="","",' Impaired Loans ASC 310-10'!E172)</f>
        <v/>
      </c>
      <c r="F172" s="575">
        <f>IF(' Impaired Loans ASC 310-10'!F172="","",' Impaired Loans ASC 310-10'!F172)</f>
        <v/>
      </c>
      <c r="G172" s="574">
        <f>IF(' Impaired Loans ASC 310-10'!G172="","",' Impaired Loans ASC 310-10'!G172)</f>
        <v/>
      </c>
      <c r="H172" s="574">
        <f>IF(' Impaired Loans ASC 310-10'!H172="","",' Impaired Loans ASC 310-10'!H172)</f>
        <v/>
      </c>
      <c r="I172" s="574">
        <f>IF(' Impaired Loans ASC 310-10'!I172="","",' Impaired Loans ASC 310-10'!I172)</f>
        <v/>
      </c>
      <c r="J172" s="574">
        <f>IF(' Impaired Loans ASC 310-10'!J172="","",' Impaired Loans ASC 310-10'!J172)</f>
        <v/>
      </c>
      <c r="K172" s="584" t="n"/>
      <c r="L172" s="578">
        <f>IFERROR(A172,"")</f>
        <v/>
      </c>
      <c r="M172" s="849">
        <f>IF(' Impaired Loans ASC 310-10'!A172="","",' Impaired Loans ASC 310-10'!K172)</f>
        <v/>
      </c>
      <c r="N172" s="580">
        <f>IF(' Impaired Loans ASC 310-10'!A172="","",' Impaired Loans ASC 310-10'!L172)</f>
        <v/>
      </c>
      <c r="O172" s="581">
        <f>IF(' Impaired Loans ASC 310-10'!A172="","",' Impaired Loans ASC 310-10'!M172)</f>
        <v/>
      </c>
      <c r="P172" s="582">
        <f>IF(' Impaired Loans ASC 310-10'!A172="","",' Impaired Loans ASC 310-10'!O172)</f>
        <v/>
      </c>
      <c r="Q172" s="583">
        <f>IF(' Impaired Loans ASC 310-10'!A172="","",' Impaired Loans ASC 310-10'!N172)</f>
        <v/>
      </c>
      <c r="R172" s="583">
        <f>IF(' Impaired Loans ASC 310-10'!A172="","",' Impaired Loans ASC 310-10'!P172)</f>
        <v/>
      </c>
      <c r="S172" s="583">
        <f>IF(' Impaired Loans ASC 310-10'!A172="","",' Impaired Loans ASC 310-10'!Q172)</f>
        <v/>
      </c>
    </row>
    <row r="173">
      <c r="A173" s="573">
        <f>IF(' Impaired Loans ASC 310-10'!A173="","",' Impaired Loans ASC 310-10'!A173)</f>
        <v/>
      </c>
      <c r="B173" s="573">
        <f>IF(' Impaired Loans ASC 310-10'!B173="","",' Impaired Loans ASC 310-10'!B173)</f>
        <v/>
      </c>
      <c r="C173" s="573">
        <f>IF(' Impaired Loans ASC 310-10'!C173="","",' Impaired Loans ASC 310-10'!C173)</f>
        <v/>
      </c>
      <c r="D173" s="573">
        <f>IF(' Impaired Loans ASC 310-10'!D173="","",' Impaired Loans ASC 310-10'!D173)</f>
        <v/>
      </c>
      <c r="E173" s="574">
        <f>IF(' Impaired Loans ASC 310-10'!E173="","",' Impaired Loans ASC 310-10'!E173)</f>
        <v/>
      </c>
      <c r="F173" s="575">
        <f>IF(' Impaired Loans ASC 310-10'!F173="","",' Impaired Loans ASC 310-10'!F173)</f>
        <v/>
      </c>
      <c r="G173" s="574">
        <f>IF(' Impaired Loans ASC 310-10'!G173="","",' Impaired Loans ASC 310-10'!G173)</f>
        <v/>
      </c>
      <c r="H173" s="574">
        <f>IF(' Impaired Loans ASC 310-10'!H173="","",' Impaired Loans ASC 310-10'!H173)</f>
        <v/>
      </c>
      <c r="I173" s="574">
        <f>IF(' Impaired Loans ASC 310-10'!I173="","",' Impaired Loans ASC 310-10'!I173)</f>
        <v/>
      </c>
      <c r="J173" s="574">
        <f>IF(' Impaired Loans ASC 310-10'!J173="","",' Impaired Loans ASC 310-10'!J173)</f>
        <v/>
      </c>
      <c r="K173" s="584" t="n"/>
      <c r="L173" s="578">
        <f>IFERROR(A173,"")</f>
        <v/>
      </c>
      <c r="M173" s="849">
        <f>IF(' Impaired Loans ASC 310-10'!A173="","",' Impaired Loans ASC 310-10'!K173)</f>
        <v/>
      </c>
      <c r="N173" s="580">
        <f>IF(' Impaired Loans ASC 310-10'!A173="","",' Impaired Loans ASC 310-10'!L173)</f>
        <v/>
      </c>
      <c r="O173" s="581">
        <f>IF(' Impaired Loans ASC 310-10'!A173="","",' Impaired Loans ASC 310-10'!M173)</f>
        <v/>
      </c>
      <c r="P173" s="582">
        <f>IF(' Impaired Loans ASC 310-10'!A173="","",' Impaired Loans ASC 310-10'!O173)</f>
        <v/>
      </c>
      <c r="Q173" s="583">
        <f>IF(' Impaired Loans ASC 310-10'!A173="","",' Impaired Loans ASC 310-10'!N173)</f>
        <v/>
      </c>
      <c r="R173" s="583">
        <f>IF(' Impaired Loans ASC 310-10'!A173="","",' Impaired Loans ASC 310-10'!P173)</f>
        <v/>
      </c>
      <c r="S173" s="583">
        <f>IF(' Impaired Loans ASC 310-10'!A173="","",' Impaired Loans ASC 310-10'!Q173)</f>
        <v/>
      </c>
    </row>
    <row r="174">
      <c r="A174" s="573">
        <f>IF(' Impaired Loans ASC 310-10'!A174="","",' Impaired Loans ASC 310-10'!A174)</f>
        <v/>
      </c>
      <c r="B174" s="573">
        <f>IF(' Impaired Loans ASC 310-10'!B174="","",' Impaired Loans ASC 310-10'!B174)</f>
        <v/>
      </c>
      <c r="C174" s="573">
        <f>IF(' Impaired Loans ASC 310-10'!C174="","",' Impaired Loans ASC 310-10'!C174)</f>
        <v/>
      </c>
      <c r="D174" s="573">
        <f>IF(' Impaired Loans ASC 310-10'!D174="","",' Impaired Loans ASC 310-10'!D174)</f>
        <v/>
      </c>
      <c r="E174" s="574">
        <f>IF(' Impaired Loans ASC 310-10'!E174="","",' Impaired Loans ASC 310-10'!E174)</f>
        <v/>
      </c>
      <c r="F174" s="575">
        <f>IF(' Impaired Loans ASC 310-10'!F174="","",' Impaired Loans ASC 310-10'!F174)</f>
        <v/>
      </c>
      <c r="G174" s="574">
        <f>IF(' Impaired Loans ASC 310-10'!G174="","",' Impaired Loans ASC 310-10'!G174)</f>
        <v/>
      </c>
      <c r="H174" s="574">
        <f>IF(' Impaired Loans ASC 310-10'!H174="","",' Impaired Loans ASC 310-10'!H174)</f>
        <v/>
      </c>
      <c r="I174" s="574">
        <f>IF(' Impaired Loans ASC 310-10'!I174="","",' Impaired Loans ASC 310-10'!I174)</f>
        <v/>
      </c>
      <c r="J174" s="574">
        <f>IF(' Impaired Loans ASC 310-10'!J174="","",' Impaired Loans ASC 310-10'!J174)</f>
        <v/>
      </c>
      <c r="K174" s="584" t="n"/>
      <c r="L174" s="578">
        <f>IFERROR(A174,"")</f>
        <v/>
      </c>
      <c r="M174" s="849">
        <f>IF(' Impaired Loans ASC 310-10'!A174="","",' Impaired Loans ASC 310-10'!K174)</f>
        <v/>
      </c>
      <c r="N174" s="580">
        <f>IF(' Impaired Loans ASC 310-10'!A174="","",' Impaired Loans ASC 310-10'!L174)</f>
        <v/>
      </c>
      <c r="O174" s="581">
        <f>IF(' Impaired Loans ASC 310-10'!A174="","",' Impaired Loans ASC 310-10'!M174)</f>
        <v/>
      </c>
      <c r="P174" s="582">
        <f>IF(' Impaired Loans ASC 310-10'!A174="","",' Impaired Loans ASC 310-10'!O174)</f>
        <v/>
      </c>
      <c r="Q174" s="583">
        <f>IF(' Impaired Loans ASC 310-10'!A174="","",' Impaired Loans ASC 310-10'!N174)</f>
        <v/>
      </c>
      <c r="R174" s="583">
        <f>IF(' Impaired Loans ASC 310-10'!A174="","",' Impaired Loans ASC 310-10'!P174)</f>
        <v/>
      </c>
      <c r="S174" s="583">
        <f>IF(' Impaired Loans ASC 310-10'!A174="","",' Impaired Loans ASC 310-10'!Q174)</f>
        <v/>
      </c>
    </row>
    <row r="175">
      <c r="A175" s="573">
        <f>IF(' Impaired Loans ASC 310-10'!A175="","",' Impaired Loans ASC 310-10'!A175)</f>
        <v/>
      </c>
      <c r="B175" s="573">
        <f>IF(' Impaired Loans ASC 310-10'!B175="","",' Impaired Loans ASC 310-10'!B175)</f>
        <v/>
      </c>
      <c r="C175" s="573">
        <f>IF(' Impaired Loans ASC 310-10'!C175="","",' Impaired Loans ASC 310-10'!C175)</f>
        <v/>
      </c>
      <c r="D175" s="573">
        <f>IF(' Impaired Loans ASC 310-10'!D175="","",' Impaired Loans ASC 310-10'!D175)</f>
        <v/>
      </c>
      <c r="E175" s="574">
        <f>IF(' Impaired Loans ASC 310-10'!E175="","",' Impaired Loans ASC 310-10'!E175)</f>
        <v/>
      </c>
      <c r="F175" s="575">
        <f>IF(' Impaired Loans ASC 310-10'!F175="","",' Impaired Loans ASC 310-10'!F175)</f>
        <v/>
      </c>
      <c r="G175" s="574">
        <f>IF(' Impaired Loans ASC 310-10'!G175="","",' Impaired Loans ASC 310-10'!G175)</f>
        <v/>
      </c>
      <c r="H175" s="574">
        <f>IF(' Impaired Loans ASC 310-10'!H175="","",' Impaired Loans ASC 310-10'!H175)</f>
        <v/>
      </c>
      <c r="I175" s="574">
        <f>IF(' Impaired Loans ASC 310-10'!I175="","",' Impaired Loans ASC 310-10'!I175)</f>
        <v/>
      </c>
      <c r="J175" s="574">
        <f>IF(' Impaired Loans ASC 310-10'!J175="","",' Impaired Loans ASC 310-10'!J175)</f>
        <v/>
      </c>
      <c r="K175" s="584" t="n"/>
      <c r="L175" s="578">
        <f>IFERROR(A175,"")</f>
        <v/>
      </c>
      <c r="M175" s="849">
        <f>IF(' Impaired Loans ASC 310-10'!A175="","",' Impaired Loans ASC 310-10'!K175)</f>
        <v/>
      </c>
      <c r="N175" s="580">
        <f>IF(' Impaired Loans ASC 310-10'!A175="","",' Impaired Loans ASC 310-10'!L175)</f>
        <v/>
      </c>
      <c r="O175" s="581">
        <f>IF(' Impaired Loans ASC 310-10'!A175="","",' Impaired Loans ASC 310-10'!M175)</f>
        <v/>
      </c>
      <c r="P175" s="582">
        <f>IF(' Impaired Loans ASC 310-10'!A175="","",' Impaired Loans ASC 310-10'!O175)</f>
        <v/>
      </c>
      <c r="Q175" s="583">
        <f>IF(' Impaired Loans ASC 310-10'!A175="","",' Impaired Loans ASC 310-10'!N175)</f>
        <v/>
      </c>
      <c r="R175" s="583">
        <f>IF(' Impaired Loans ASC 310-10'!A175="","",' Impaired Loans ASC 310-10'!P175)</f>
        <v/>
      </c>
      <c r="S175" s="583">
        <f>IF(' Impaired Loans ASC 310-10'!A175="","",' Impaired Loans ASC 310-10'!Q175)</f>
        <v/>
      </c>
    </row>
    <row r="176">
      <c r="A176" s="573">
        <f>IF(' Impaired Loans ASC 310-10'!A176="","",' Impaired Loans ASC 310-10'!A176)</f>
        <v/>
      </c>
      <c r="B176" s="573">
        <f>IF(' Impaired Loans ASC 310-10'!B176="","",' Impaired Loans ASC 310-10'!B176)</f>
        <v/>
      </c>
      <c r="C176" s="573">
        <f>IF(' Impaired Loans ASC 310-10'!C176="","",' Impaired Loans ASC 310-10'!C176)</f>
        <v/>
      </c>
      <c r="D176" s="573">
        <f>IF(' Impaired Loans ASC 310-10'!D176="","",' Impaired Loans ASC 310-10'!D176)</f>
        <v/>
      </c>
      <c r="E176" s="574">
        <f>IF(' Impaired Loans ASC 310-10'!E176="","",' Impaired Loans ASC 310-10'!E176)</f>
        <v/>
      </c>
      <c r="F176" s="575">
        <f>IF(' Impaired Loans ASC 310-10'!F176="","",' Impaired Loans ASC 310-10'!F176)</f>
        <v/>
      </c>
      <c r="G176" s="574">
        <f>IF(' Impaired Loans ASC 310-10'!G176="","",' Impaired Loans ASC 310-10'!G176)</f>
        <v/>
      </c>
      <c r="H176" s="574">
        <f>IF(' Impaired Loans ASC 310-10'!H176="","",' Impaired Loans ASC 310-10'!H176)</f>
        <v/>
      </c>
      <c r="I176" s="574">
        <f>IF(' Impaired Loans ASC 310-10'!I176="","",' Impaired Loans ASC 310-10'!I176)</f>
        <v/>
      </c>
      <c r="J176" s="574">
        <f>IF(' Impaired Loans ASC 310-10'!J176="","",' Impaired Loans ASC 310-10'!J176)</f>
        <v/>
      </c>
      <c r="K176" s="584" t="n"/>
      <c r="L176" s="578">
        <f>IFERROR(A176,"")</f>
        <v/>
      </c>
      <c r="M176" s="849">
        <f>IF(' Impaired Loans ASC 310-10'!A176="","",' Impaired Loans ASC 310-10'!K176)</f>
        <v/>
      </c>
      <c r="N176" s="580">
        <f>IF(' Impaired Loans ASC 310-10'!A176="","",' Impaired Loans ASC 310-10'!L176)</f>
        <v/>
      </c>
      <c r="O176" s="581">
        <f>IF(' Impaired Loans ASC 310-10'!A176="","",' Impaired Loans ASC 310-10'!M176)</f>
        <v/>
      </c>
      <c r="P176" s="582">
        <f>IF(' Impaired Loans ASC 310-10'!A176="","",' Impaired Loans ASC 310-10'!O176)</f>
        <v/>
      </c>
      <c r="Q176" s="583">
        <f>IF(' Impaired Loans ASC 310-10'!A176="","",' Impaired Loans ASC 310-10'!N176)</f>
        <v/>
      </c>
      <c r="R176" s="583">
        <f>IF(' Impaired Loans ASC 310-10'!A176="","",' Impaired Loans ASC 310-10'!P176)</f>
        <v/>
      </c>
      <c r="S176" s="583">
        <f>IF(' Impaired Loans ASC 310-10'!A176="","",' Impaired Loans ASC 310-10'!Q176)</f>
        <v/>
      </c>
    </row>
    <row r="177">
      <c r="A177" s="573">
        <f>IF(' Impaired Loans ASC 310-10'!A177="","",' Impaired Loans ASC 310-10'!A177)</f>
        <v/>
      </c>
      <c r="B177" s="573">
        <f>IF(' Impaired Loans ASC 310-10'!B177="","",' Impaired Loans ASC 310-10'!B177)</f>
        <v/>
      </c>
      <c r="C177" s="573">
        <f>IF(' Impaired Loans ASC 310-10'!C177="","",' Impaired Loans ASC 310-10'!C177)</f>
        <v/>
      </c>
      <c r="D177" s="573">
        <f>IF(' Impaired Loans ASC 310-10'!D177="","",' Impaired Loans ASC 310-10'!D177)</f>
        <v/>
      </c>
      <c r="E177" s="574">
        <f>IF(' Impaired Loans ASC 310-10'!E177="","",' Impaired Loans ASC 310-10'!E177)</f>
        <v/>
      </c>
      <c r="F177" s="575">
        <f>IF(' Impaired Loans ASC 310-10'!F177="","",' Impaired Loans ASC 310-10'!F177)</f>
        <v/>
      </c>
      <c r="G177" s="574">
        <f>IF(' Impaired Loans ASC 310-10'!G177="","",' Impaired Loans ASC 310-10'!G177)</f>
        <v/>
      </c>
      <c r="H177" s="574">
        <f>IF(' Impaired Loans ASC 310-10'!H177="","",' Impaired Loans ASC 310-10'!H177)</f>
        <v/>
      </c>
      <c r="I177" s="574">
        <f>IF(' Impaired Loans ASC 310-10'!I177="","",' Impaired Loans ASC 310-10'!I177)</f>
        <v/>
      </c>
      <c r="J177" s="574">
        <f>IF(' Impaired Loans ASC 310-10'!J177="","",' Impaired Loans ASC 310-10'!J177)</f>
        <v/>
      </c>
      <c r="K177" s="584" t="n"/>
      <c r="L177" s="578">
        <f>IFERROR(A177,"")</f>
        <v/>
      </c>
      <c r="M177" s="849">
        <f>IF(' Impaired Loans ASC 310-10'!A177="","",' Impaired Loans ASC 310-10'!K177)</f>
        <v/>
      </c>
      <c r="N177" s="580">
        <f>IF(' Impaired Loans ASC 310-10'!A177="","",' Impaired Loans ASC 310-10'!L177)</f>
        <v/>
      </c>
      <c r="O177" s="581">
        <f>IF(' Impaired Loans ASC 310-10'!A177="","",' Impaired Loans ASC 310-10'!M177)</f>
        <v/>
      </c>
      <c r="P177" s="582">
        <f>IF(' Impaired Loans ASC 310-10'!A177="","",' Impaired Loans ASC 310-10'!O177)</f>
        <v/>
      </c>
      <c r="Q177" s="583">
        <f>IF(' Impaired Loans ASC 310-10'!A177="","",' Impaired Loans ASC 310-10'!N177)</f>
        <v/>
      </c>
      <c r="R177" s="583">
        <f>IF(' Impaired Loans ASC 310-10'!A177="","",' Impaired Loans ASC 310-10'!P177)</f>
        <v/>
      </c>
      <c r="S177" s="583">
        <f>IF(' Impaired Loans ASC 310-10'!A177="","",' Impaired Loans ASC 310-10'!Q177)</f>
        <v/>
      </c>
    </row>
    <row r="178">
      <c r="A178" s="573">
        <f>IF(' Impaired Loans ASC 310-10'!A178="","",' Impaired Loans ASC 310-10'!A178)</f>
        <v/>
      </c>
      <c r="B178" s="573">
        <f>IF(' Impaired Loans ASC 310-10'!B178="","",' Impaired Loans ASC 310-10'!B178)</f>
        <v/>
      </c>
      <c r="C178" s="573">
        <f>IF(' Impaired Loans ASC 310-10'!C178="","",' Impaired Loans ASC 310-10'!C178)</f>
        <v/>
      </c>
      <c r="D178" s="573">
        <f>IF(' Impaired Loans ASC 310-10'!D178="","",' Impaired Loans ASC 310-10'!D178)</f>
        <v/>
      </c>
      <c r="E178" s="574">
        <f>IF(' Impaired Loans ASC 310-10'!E178="","",' Impaired Loans ASC 310-10'!E178)</f>
        <v/>
      </c>
      <c r="F178" s="575">
        <f>IF(' Impaired Loans ASC 310-10'!F178="","",' Impaired Loans ASC 310-10'!F178)</f>
        <v/>
      </c>
      <c r="G178" s="574">
        <f>IF(' Impaired Loans ASC 310-10'!G178="","",' Impaired Loans ASC 310-10'!G178)</f>
        <v/>
      </c>
      <c r="H178" s="574">
        <f>IF(' Impaired Loans ASC 310-10'!H178="","",' Impaired Loans ASC 310-10'!H178)</f>
        <v/>
      </c>
      <c r="I178" s="574">
        <f>IF(' Impaired Loans ASC 310-10'!I178="","",' Impaired Loans ASC 310-10'!I178)</f>
        <v/>
      </c>
      <c r="J178" s="574">
        <f>IF(' Impaired Loans ASC 310-10'!J178="","",' Impaired Loans ASC 310-10'!J178)</f>
        <v/>
      </c>
      <c r="K178" s="584" t="n"/>
      <c r="L178" s="578">
        <f>IFERROR(A178,"")</f>
        <v/>
      </c>
      <c r="M178" s="849">
        <f>IF(' Impaired Loans ASC 310-10'!A178="","",' Impaired Loans ASC 310-10'!K178)</f>
        <v/>
      </c>
      <c r="N178" s="580">
        <f>IF(' Impaired Loans ASC 310-10'!A178="","",' Impaired Loans ASC 310-10'!L178)</f>
        <v/>
      </c>
      <c r="O178" s="581">
        <f>IF(' Impaired Loans ASC 310-10'!A178="","",' Impaired Loans ASC 310-10'!M178)</f>
        <v/>
      </c>
      <c r="P178" s="582">
        <f>IF(' Impaired Loans ASC 310-10'!A178="","",' Impaired Loans ASC 310-10'!O178)</f>
        <v/>
      </c>
      <c r="Q178" s="583">
        <f>IF(' Impaired Loans ASC 310-10'!A178="","",' Impaired Loans ASC 310-10'!N178)</f>
        <v/>
      </c>
      <c r="R178" s="583">
        <f>IF(' Impaired Loans ASC 310-10'!A178="","",' Impaired Loans ASC 310-10'!P178)</f>
        <v/>
      </c>
      <c r="S178" s="583">
        <f>IF(' Impaired Loans ASC 310-10'!A178="","",' Impaired Loans ASC 310-10'!Q178)</f>
        <v/>
      </c>
    </row>
    <row r="179">
      <c r="A179" s="573">
        <f>IF(' Impaired Loans ASC 310-10'!A179="","",' Impaired Loans ASC 310-10'!A179)</f>
        <v/>
      </c>
      <c r="B179" s="573">
        <f>IF(' Impaired Loans ASC 310-10'!B179="","",' Impaired Loans ASC 310-10'!B179)</f>
        <v/>
      </c>
      <c r="C179" s="573">
        <f>IF(' Impaired Loans ASC 310-10'!C179="","",' Impaired Loans ASC 310-10'!C179)</f>
        <v/>
      </c>
      <c r="D179" s="573">
        <f>IF(' Impaired Loans ASC 310-10'!D179="","",' Impaired Loans ASC 310-10'!D179)</f>
        <v/>
      </c>
      <c r="E179" s="574">
        <f>IF(' Impaired Loans ASC 310-10'!E179="","",' Impaired Loans ASC 310-10'!E179)</f>
        <v/>
      </c>
      <c r="F179" s="575">
        <f>IF(' Impaired Loans ASC 310-10'!F179="","",' Impaired Loans ASC 310-10'!F179)</f>
        <v/>
      </c>
      <c r="G179" s="574">
        <f>IF(' Impaired Loans ASC 310-10'!G179="","",' Impaired Loans ASC 310-10'!G179)</f>
        <v/>
      </c>
      <c r="H179" s="574">
        <f>IF(' Impaired Loans ASC 310-10'!H179="","",' Impaired Loans ASC 310-10'!H179)</f>
        <v/>
      </c>
      <c r="I179" s="574">
        <f>IF(' Impaired Loans ASC 310-10'!I179="","",' Impaired Loans ASC 310-10'!I179)</f>
        <v/>
      </c>
      <c r="J179" s="574">
        <f>IF(' Impaired Loans ASC 310-10'!J179="","",' Impaired Loans ASC 310-10'!J179)</f>
        <v/>
      </c>
      <c r="K179" s="584" t="n"/>
      <c r="L179" s="578">
        <f>IFERROR(A179,"")</f>
        <v/>
      </c>
      <c r="M179" s="849">
        <f>IF(' Impaired Loans ASC 310-10'!A179="","",' Impaired Loans ASC 310-10'!K179)</f>
        <v/>
      </c>
      <c r="N179" s="580">
        <f>IF(' Impaired Loans ASC 310-10'!A179="","",' Impaired Loans ASC 310-10'!L179)</f>
        <v/>
      </c>
      <c r="O179" s="581">
        <f>IF(' Impaired Loans ASC 310-10'!A179="","",' Impaired Loans ASC 310-10'!M179)</f>
        <v/>
      </c>
      <c r="P179" s="582">
        <f>IF(' Impaired Loans ASC 310-10'!A179="","",' Impaired Loans ASC 310-10'!O179)</f>
        <v/>
      </c>
      <c r="Q179" s="583">
        <f>IF(' Impaired Loans ASC 310-10'!A179="","",' Impaired Loans ASC 310-10'!N179)</f>
        <v/>
      </c>
      <c r="R179" s="583">
        <f>IF(' Impaired Loans ASC 310-10'!A179="","",' Impaired Loans ASC 310-10'!P179)</f>
        <v/>
      </c>
      <c r="S179" s="583">
        <f>IF(' Impaired Loans ASC 310-10'!A179="","",' Impaired Loans ASC 310-10'!Q179)</f>
        <v/>
      </c>
    </row>
    <row r="180">
      <c r="A180" s="573">
        <f>IF(' Impaired Loans ASC 310-10'!A180="","",' Impaired Loans ASC 310-10'!A180)</f>
        <v/>
      </c>
      <c r="B180" s="573">
        <f>IF(' Impaired Loans ASC 310-10'!B180="","",' Impaired Loans ASC 310-10'!B180)</f>
        <v/>
      </c>
      <c r="C180" s="573">
        <f>IF(' Impaired Loans ASC 310-10'!C180="","",' Impaired Loans ASC 310-10'!C180)</f>
        <v/>
      </c>
      <c r="D180" s="573">
        <f>IF(' Impaired Loans ASC 310-10'!D180="","",' Impaired Loans ASC 310-10'!D180)</f>
        <v/>
      </c>
      <c r="E180" s="574">
        <f>IF(' Impaired Loans ASC 310-10'!E180="","",' Impaired Loans ASC 310-10'!E180)</f>
        <v/>
      </c>
      <c r="F180" s="575">
        <f>IF(' Impaired Loans ASC 310-10'!F180="","",' Impaired Loans ASC 310-10'!F180)</f>
        <v/>
      </c>
      <c r="G180" s="574">
        <f>IF(' Impaired Loans ASC 310-10'!G180="","",' Impaired Loans ASC 310-10'!G180)</f>
        <v/>
      </c>
      <c r="H180" s="574">
        <f>IF(' Impaired Loans ASC 310-10'!H180="","",' Impaired Loans ASC 310-10'!H180)</f>
        <v/>
      </c>
      <c r="I180" s="574">
        <f>IF(' Impaired Loans ASC 310-10'!I180="","",' Impaired Loans ASC 310-10'!I180)</f>
        <v/>
      </c>
      <c r="J180" s="574">
        <f>IF(' Impaired Loans ASC 310-10'!J180="","",' Impaired Loans ASC 310-10'!J180)</f>
        <v/>
      </c>
      <c r="K180" s="584" t="n"/>
      <c r="L180" s="578">
        <f>IFERROR(A180,"")</f>
        <v/>
      </c>
      <c r="M180" s="849">
        <f>IF(' Impaired Loans ASC 310-10'!A180="","",' Impaired Loans ASC 310-10'!K180)</f>
        <v/>
      </c>
      <c r="N180" s="580">
        <f>IF(' Impaired Loans ASC 310-10'!A180="","",' Impaired Loans ASC 310-10'!L180)</f>
        <v/>
      </c>
      <c r="O180" s="581">
        <f>IF(' Impaired Loans ASC 310-10'!A180="","",' Impaired Loans ASC 310-10'!M180)</f>
        <v/>
      </c>
      <c r="P180" s="582">
        <f>IF(' Impaired Loans ASC 310-10'!A180="","",' Impaired Loans ASC 310-10'!O180)</f>
        <v/>
      </c>
      <c r="Q180" s="583">
        <f>IF(' Impaired Loans ASC 310-10'!A180="","",' Impaired Loans ASC 310-10'!N180)</f>
        <v/>
      </c>
      <c r="R180" s="583">
        <f>IF(' Impaired Loans ASC 310-10'!A180="","",' Impaired Loans ASC 310-10'!P180)</f>
        <v/>
      </c>
      <c r="S180" s="583">
        <f>IF(' Impaired Loans ASC 310-10'!A180="","",' Impaired Loans ASC 310-10'!Q180)</f>
        <v/>
      </c>
    </row>
    <row r="181">
      <c r="A181" s="573">
        <f>IF(' Impaired Loans ASC 310-10'!A181="","",' Impaired Loans ASC 310-10'!A181)</f>
        <v/>
      </c>
      <c r="B181" s="573">
        <f>IF(' Impaired Loans ASC 310-10'!B181="","",' Impaired Loans ASC 310-10'!B181)</f>
        <v/>
      </c>
      <c r="C181" s="573">
        <f>IF(' Impaired Loans ASC 310-10'!C181="","",' Impaired Loans ASC 310-10'!C181)</f>
        <v/>
      </c>
      <c r="D181" s="573">
        <f>IF(' Impaired Loans ASC 310-10'!D181="","",' Impaired Loans ASC 310-10'!D181)</f>
        <v/>
      </c>
      <c r="E181" s="574">
        <f>IF(' Impaired Loans ASC 310-10'!E181="","",' Impaired Loans ASC 310-10'!E181)</f>
        <v/>
      </c>
      <c r="F181" s="575">
        <f>IF(' Impaired Loans ASC 310-10'!F181="","",' Impaired Loans ASC 310-10'!F181)</f>
        <v/>
      </c>
      <c r="G181" s="574">
        <f>IF(' Impaired Loans ASC 310-10'!G181="","",' Impaired Loans ASC 310-10'!G181)</f>
        <v/>
      </c>
      <c r="H181" s="574">
        <f>IF(' Impaired Loans ASC 310-10'!H181="","",' Impaired Loans ASC 310-10'!H181)</f>
        <v/>
      </c>
      <c r="I181" s="574">
        <f>IF(' Impaired Loans ASC 310-10'!I181="","",' Impaired Loans ASC 310-10'!I181)</f>
        <v/>
      </c>
      <c r="J181" s="574">
        <f>IF(' Impaired Loans ASC 310-10'!J181="","",' Impaired Loans ASC 310-10'!J181)</f>
        <v/>
      </c>
      <c r="K181" s="584" t="n"/>
      <c r="L181" s="578">
        <f>IFERROR(A181,"")</f>
        <v/>
      </c>
      <c r="M181" s="849">
        <f>IF(' Impaired Loans ASC 310-10'!A181="","",' Impaired Loans ASC 310-10'!K181)</f>
        <v/>
      </c>
      <c r="N181" s="580">
        <f>IF(' Impaired Loans ASC 310-10'!A181="","",' Impaired Loans ASC 310-10'!L181)</f>
        <v/>
      </c>
      <c r="O181" s="581">
        <f>IF(' Impaired Loans ASC 310-10'!A181="","",' Impaired Loans ASC 310-10'!M181)</f>
        <v/>
      </c>
      <c r="P181" s="582">
        <f>IF(' Impaired Loans ASC 310-10'!A181="","",' Impaired Loans ASC 310-10'!O181)</f>
        <v/>
      </c>
      <c r="Q181" s="583">
        <f>IF(' Impaired Loans ASC 310-10'!A181="","",' Impaired Loans ASC 310-10'!N181)</f>
        <v/>
      </c>
      <c r="R181" s="583">
        <f>IF(' Impaired Loans ASC 310-10'!A181="","",' Impaired Loans ASC 310-10'!P181)</f>
        <v/>
      </c>
      <c r="S181" s="583">
        <f>IF(' Impaired Loans ASC 310-10'!A181="","",' Impaired Loans ASC 310-10'!Q181)</f>
        <v/>
      </c>
    </row>
    <row r="182">
      <c r="A182" s="573">
        <f>IF(' Impaired Loans ASC 310-10'!A182="","",' Impaired Loans ASC 310-10'!A182)</f>
        <v/>
      </c>
      <c r="B182" s="573">
        <f>IF(' Impaired Loans ASC 310-10'!B182="","",' Impaired Loans ASC 310-10'!B182)</f>
        <v/>
      </c>
      <c r="C182" s="573">
        <f>IF(' Impaired Loans ASC 310-10'!C182="","",' Impaired Loans ASC 310-10'!C182)</f>
        <v/>
      </c>
      <c r="D182" s="573">
        <f>IF(' Impaired Loans ASC 310-10'!D182="","",' Impaired Loans ASC 310-10'!D182)</f>
        <v/>
      </c>
      <c r="E182" s="574">
        <f>IF(' Impaired Loans ASC 310-10'!E182="","",' Impaired Loans ASC 310-10'!E182)</f>
        <v/>
      </c>
      <c r="F182" s="575">
        <f>IF(' Impaired Loans ASC 310-10'!F182="","",' Impaired Loans ASC 310-10'!F182)</f>
        <v/>
      </c>
      <c r="G182" s="574">
        <f>IF(' Impaired Loans ASC 310-10'!G182="","",' Impaired Loans ASC 310-10'!G182)</f>
        <v/>
      </c>
      <c r="H182" s="574">
        <f>IF(' Impaired Loans ASC 310-10'!H182="","",' Impaired Loans ASC 310-10'!H182)</f>
        <v/>
      </c>
      <c r="I182" s="574">
        <f>IF(' Impaired Loans ASC 310-10'!I182="","",' Impaired Loans ASC 310-10'!I182)</f>
        <v/>
      </c>
      <c r="J182" s="574">
        <f>IF(' Impaired Loans ASC 310-10'!J182="","",' Impaired Loans ASC 310-10'!J182)</f>
        <v/>
      </c>
      <c r="K182" s="584" t="n"/>
      <c r="L182" s="578">
        <f>IFERROR(A182,"")</f>
        <v/>
      </c>
      <c r="M182" s="849">
        <f>IF(' Impaired Loans ASC 310-10'!A182="","",' Impaired Loans ASC 310-10'!K182)</f>
        <v/>
      </c>
      <c r="N182" s="580">
        <f>IF(' Impaired Loans ASC 310-10'!A182="","",' Impaired Loans ASC 310-10'!L182)</f>
        <v/>
      </c>
      <c r="O182" s="581">
        <f>IF(' Impaired Loans ASC 310-10'!A182="","",' Impaired Loans ASC 310-10'!M182)</f>
        <v/>
      </c>
      <c r="P182" s="582">
        <f>IF(' Impaired Loans ASC 310-10'!A182="","",' Impaired Loans ASC 310-10'!O182)</f>
        <v/>
      </c>
      <c r="Q182" s="583">
        <f>IF(' Impaired Loans ASC 310-10'!A182="","",' Impaired Loans ASC 310-10'!N182)</f>
        <v/>
      </c>
      <c r="R182" s="583">
        <f>IF(' Impaired Loans ASC 310-10'!A182="","",' Impaired Loans ASC 310-10'!P182)</f>
        <v/>
      </c>
      <c r="S182" s="583">
        <f>IF(' Impaired Loans ASC 310-10'!A182="","",' Impaired Loans ASC 310-10'!Q182)</f>
        <v/>
      </c>
    </row>
    <row r="183">
      <c r="A183" s="573">
        <f>IF(' Impaired Loans ASC 310-10'!A183="","",' Impaired Loans ASC 310-10'!A183)</f>
        <v/>
      </c>
      <c r="B183" s="573">
        <f>IF(' Impaired Loans ASC 310-10'!B183="","",' Impaired Loans ASC 310-10'!B183)</f>
        <v/>
      </c>
      <c r="C183" s="573">
        <f>IF(' Impaired Loans ASC 310-10'!C183="","",' Impaired Loans ASC 310-10'!C183)</f>
        <v/>
      </c>
      <c r="D183" s="573">
        <f>IF(' Impaired Loans ASC 310-10'!D183="","",' Impaired Loans ASC 310-10'!D183)</f>
        <v/>
      </c>
      <c r="E183" s="574">
        <f>IF(' Impaired Loans ASC 310-10'!E183="","",' Impaired Loans ASC 310-10'!E183)</f>
        <v/>
      </c>
      <c r="F183" s="575">
        <f>IF(' Impaired Loans ASC 310-10'!F183="","",' Impaired Loans ASC 310-10'!F183)</f>
        <v/>
      </c>
      <c r="G183" s="574">
        <f>IF(' Impaired Loans ASC 310-10'!G183="","",' Impaired Loans ASC 310-10'!G183)</f>
        <v/>
      </c>
      <c r="H183" s="574">
        <f>IF(' Impaired Loans ASC 310-10'!H183="","",' Impaired Loans ASC 310-10'!H183)</f>
        <v/>
      </c>
      <c r="I183" s="574">
        <f>IF(' Impaired Loans ASC 310-10'!I183="","",' Impaired Loans ASC 310-10'!I183)</f>
        <v/>
      </c>
      <c r="J183" s="574">
        <f>IF(' Impaired Loans ASC 310-10'!J183="","",' Impaired Loans ASC 310-10'!J183)</f>
        <v/>
      </c>
      <c r="K183" s="584" t="n"/>
      <c r="L183" s="578">
        <f>IFERROR(A183,"")</f>
        <v/>
      </c>
      <c r="M183" s="849">
        <f>IF(' Impaired Loans ASC 310-10'!A183="","",' Impaired Loans ASC 310-10'!K183)</f>
        <v/>
      </c>
      <c r="N183" s="580">
        <f>IF(' Impaired Loans ASC 310-10'!A183="","",' Impaired Loans ASC 310-10'!L183)</f>
        <v/>
      </c>
      <c r="O183" s="581">
        <f>IF(' Impaired Loans ASC 310-10'!A183="","",' Impaired Loans ASC 310-10'!M183)</f>
        <v/>
      </c>
      <c r="P183" s="582">
        <f>IF(' Impaired Loans ASC 310-10'!A183="","",' Impaired Loans ASC 310-10'!O183)</f>
        <v/>
      </c>
      <c r="Q183" s="583">
        <f>IF(' Impaired Loans ASC 310-10'!A183="","",' Impaired Loans ASC 310-10'!N183)</f>
        <v/>
      </c>
      <c r="R183" s="583">
        <f>IF(' Impaired Loans ASC 310-10'!A183="","",' Impaired Loans ASC 310-10'!P183)</f>
        <v/>
      </c>
      <c r="S183" s="583">
        <f>IF(' Impaired Loans ASC 310-10'!A183="","",' Impaired Loans ASC 310-10'!Q183)</f>
        <v/>
      </c>
    </row>
    <row r="184">
      <c r="A184" s="573">
        <f>IF(' Impaired Loans ASC 310-10'!A184="","",' Impaired Loans ASC 310-10'!A184)</f>
        <v/>
      </c>
      <c r="B184" s="573">
        <f>IF(' Impaired Loans ASC 310-10'!B184="","",' Impaired Loans ASC 310-10'!B184)</f>
        <v/>
      </c>
      <c r="C184" s="573">
        <f>IF(' Impaired Loans ASC 310-10'!C184="","",' Impaired Loans ASC 310-10'!C184)</f>
        <v/>
      </c>
      <c r="D184" s="573">
        <f>IF(' Impaired Loans ASC 310-10'!D184="","",' Impaired Loans ASC 310-10'!D184)</f>
        <v/>
      </c>
      <c r="E184" s="574">
        <f>IF(' Impaired Loans ASC 310-10'!E184="","",' Impaired Loans ASC 310-10'!E184)</f>
        <v/>
      </c>
      <c r="F184" s="575">
        <f>IF(' Impaired Loans ASC 310-10'!F184="","",' Impaired Loans ASC 310-10'!F184)</f>
        <v/>
      </c>
      <c r="G184" s="574">
        <f>IF(' Impaired Loans ASC 310-10'!G184="","",' Impaired Loans ASC 310-10'!G184)</f>
        <v/>
      </c>
      <c r="H184" s="574">
        <f>IF(' Impaired Loans ASC 310-10'!H184="","",' Impaired Loans ASC 310-10'!H184)</f>
        <v/>
      </c>
      <c r="I184" s="574">
        <f>IF(' Impaired Loans ASC 310-10'!I184="","",' Impaired Loans ASC 310-10'!I184)</f>
        <v/>
      </c>
      <c r="J184" s="574">
        <f>IF(' Impaired Loans ASC 310-10'!J184="","",' Impaired Loans ASC 310-10'!J184)</f>
        <v/>
      </c>
      <c r="K184" s="584" t="n"/>
      <c r="L184" s="578">
        <f>IFERROR(A184,"")</f>
        <v/>
      </c>
      <c r="M184" s="849">
        <f>IF(' Impaired Loans ASC 310-10'!A184="","",' Impaired Loans ASC 310-10'!K184)</f>
        <v/>
      </c>
      <c r="N184" s="580">
        <f>IF(' Impaired Loans ASC 310-10'!A184="","",' Impaired Loans ASC 310-10'!L184)</f>
        <v/>
      </c>
      <c r="O184" s="581">
        <f>IF(' Impaired Loans ASC 310-10'!A184="","",' Impaired Loans ASC 310-10'!M184)</f>
        <v/>
      </c>
      <c r="P184" s="582">
        <f>IF(' Impaired Loans ASC 310-10'!A184="","",' Impaired Loans ASC 310-10'!O184)</f>
        <v/>
      </c>
      <c r="Q184" s="583">
        <f>IF(' Impaired Loans ASC 310-10'!A184="","",' Impaired Loans ASC 310-10'!N184)</f>
        <v/>
      </c>
      <c r="R184" s="583">
        <f>IF(' Impaired Loans ASC 310-10'!A184="","",' Impaired Loans ASC 310-10'!P184)</f>
        <v/>
      </c>
      <c r="S184" s="583">
        <f>IF(' Impaired Loans ASC 310-10'!A184="","",' Impaired Loans ASC 310-10'!Q184)</f>
        <v/>
      </c>
    </row>
    <row r="185">
      <c r="A185" s="573">
        <f>IF(' Impaired Loans ASC 310-10'!A185="","",' Impaired Loans ASC 310-10'!A185)</f>
        <v/>
      </c>
      <c r="B185" s="573">
        <f>IF(' Impaired Loans ASC 310-10'!B185="","",' Impaired Loans ASC 310-10'!B185)</f>
        <v/>
      </c>
      <c r="C185" s="573">
        <f>IF(' Impaired Loans ASC 310-10'!C185="","",' Impaired Loans ASC 310-10'!C185)</f>
        <v/>
      </c>
      <c r="D185" s="573">
        <f>IF(' Impaired Loans ASC 310-10'!D185="","",' Impaired Loans ASC 310-10'!D185)</f>
        <v/>
      </c>
      <c r="E185" s="574">
        <f>IF(' Impaired Loans ASC 310-10'!E185="","",' Impaired Loans ASC 310-10'!E185)</f>
        <v/>
      </c>
      <c r="F185" s="575">
        <f>IF(' Impaired Loans ASC 310-10'!F185="","",' Impaired Loans ASC 310-10'!F185)</f>
        <v/>
      </c>
      <c r="G185" s="574">
        <f>IF(' Impaired Loans ASC 310-10'!G185="","",' Impaired Loans ASC 310-10'!G185)</f>
        <v/>
      </c>
      <c r="H185" s="574">
        <f>IF(' Impaired Loans ASC 310-10'!H185="","",' Impaired Loans ASC 310-10'!H185)</f>
        <v/>
      </c>
      <c r="I185" s="574">
        <f>IF(' Impaired Loans ASC 310-10'!I185="","",' Impaired Loans ASC 310-10'!I185)</f>
        <v/>
      </c>
      <c r="J185" s="574">
        <f>IF(' Impaired Loans ASC 310-10'!J185="","",' Impaired Loans ASC 310-10'!J185)</f>
        <v/>
      </c>
      <c r="K185" s="584" t="n"/>
      <c r="L185" s="578">
        <f>IFERROR(A185,"")</f>
        <v/>
      </c>
      <c r="M185" s="849">
        <f>IF(' Impaired Loans ASC 310-10'!A185="","",' Impaired Loans ASC 310-10'!K185)</f>
        <v/>
      </c>
      <c r="N185" s="580">
        <f>IF(' Impaired Loans ASC 310-10'!A185="","",' Impaired Loans ASC 310-10'!L185)</f>
        <v/>
      </c>
      <c r="O185" s="581">
        <f>IF(' Impaired Loans ASC 310-10'!A185="","",' Impaired Loans ASC 310-10'!M185)</f>
        <v/>
      </c>
      <c r="P185" s="582">
        <f>IF(' Impaired Loans ASC 310-10'!A185="","",' Impaired Loans ASC 310-10'!O185)</f>
        <v/>
      </c>
      <c r="Q185" s="583">
        <f>IF(' Impaired Loans ASC 310-10'!A185="","",' Impaired Loans ASC 310-10'!N185)</f>
        <v/>
      </c>
      <c r="R185" s="583">
        <f>IF(' Impaired Loans ASC 310-10'!A185="","",' Impaired Loans ASC 310-10'!P185)</f>
        <v/>
      </c>
      <c r="S185" s="583">
        <f>IF(' Impaired Loans ASC 310-10'!A185="","",' Impaired Loans ASC 310-10'!Q185)</f>
        <v/>
      </c>
    </row>
    <row r="186">
      <c r="A186" s="573">
        <f>IF(' Impaired Loans ASC 310-10'!A186="","",' Impaired Loans ASC 310-10'!A186)</f>
        <v/>
      </c>
      <c r="B186" s="573">
        <f>IF(' Impaired Loans ASC 310-10'!B186="","",' Impaired Loans ASC 310-10'!B186)</f>
        <v/>
      </c>
      <c r="C186" s="573">
        <f>IF(' Impaired Loans ASC 310-10'!C186="","",' Impaired Loans ASC 310-10'!C186)</f>
        <v/>
      </c>
      <c r="D186" s="573">
        <f>IF(' Impaired Loans ASC 310-10'!D186="","",' Impaired Loans ASC 310-10'!D186)</f>
        <v/>
      </c>
      <c r="E186" s="574">
        <f>IF(' Impaired Loans ASC 310-10'!E186="","",' Impaired Loans ASC 310-10'!E186)</f>
        <v/>
      </c>
      <c r="F186" s="575">
        <f>IF(' Impaired Loans ASC 310-10'!F186="","",' Impaired Loans ASC 310-10'!F186)</f>
        <v/>
      </c>
      <c r="G186" s="574">
        <f>IF(' Impaired Loans ASC 310-10'!G186="","",' Impaired Loans ASC 310-10'!G186)</f>
        <v/>
      </c>
      <c r="H186" s="574">
        <f>IF(' Impaired Loans ASC 310-10'!H186="","",' Impaired Loans ASC 310-10'!H186)</f>
        <v/>
      </c>
      <c r="I186" s="574">
        <f>IF(' Impaired Loans ASC 310-10'!I186="","",' Impaired Loans ASC 310-10'!I186)</f>
        <v/>
      </c>
      <c r="J186" s="574">
        <f>IF(' Impaired Loans ASC 310-10'!J186="","",' Impaired Loans ASC 310-10'!J186)</f>
        <v/>
      </c>
      <c r="K186" s="584" t="n"/>
      <c r="L186" s="578">
        <f>IFERROR(A186,"")</f>
        <v/>
      </c>
      <c r="M186" s="849">
        <f>IF(' Impaired Loans ASC 310-10'!A186="","",' Impaired Loans ASC 310-10'!K186)</f>
        <v/>
      </c>
      <c r="N186" s="580">
        <f>IF(' Impaired Loans ASC 310-10'!A186="","",' Impaired Loans ASC 310-10'!L186)</f>
        <v/>
      </c>
      <c r="O186" s="581">
        <f>IF(' Impaired Loans ASC 310-10'!A186="","",' Impaired Loans ASC 310-10'!M186)</f>
        <v/>
      </c>
      <c r="P186" s="582">
        <f>IF(' Impaired Loans ASC 310-10'!A186="","",' Impaired Loans ASC 310-10'!O186)</f>
        <v/>
      </c>
      <c r="Q186" s="583">
        <f>IF(' Impaired Loans ASC 310-10'!A186="","",' Impaired Loans ASC 310-10'!N186)</f>
        <v/>
      </c>
      <c r="R186" s="583">
        <f>IF(' Impaired Loans ASC 310-10'!A186="","",' Impaired Loans ASC 310-10'!P186)</f>
        <v/>
      </c>
      <c r="S186" s="583">
        <f>IF(' Impaired Loans ASC 310-10'!A186="","",' Impaired Loans ASC 310-10'!Q186)</f>
        <v/>
      </c>
    </row>
    <row r="187">
      <c r="A187" s="573">
        <f>IF(' Impaired Loans ASC 310-10'!A187="","",' Impaired Loans ASC 310-10'!A187)</f>
        <v/>
      </c>
      <c r="B187" s="573">
        <f>IF(' Impaired Loans ASC 310-10'!B187="","",' Impaired Loans ASC 310-10'!B187)</f>
        <v/>
      </c>
      <c r="C187" s="573">
        <f>IF(' Impaired Loans ASC 310-10'!C187="","",' Impaired Loans ASC 310-10'!C187)</f>
        <v/>
      </c>
      <c r="D187" s="573">
        <f>IF(' Impaired Loans ASC 310-10'!D187="","",' Impaired Loans ASC 310-10'!D187)</f>
        <v/>
      </c>
      <c r="E187" s="574">
        <f>IF(' Impaired Loans ASC 310-10'!E187="","",' Impaired Loans ASC 310-10'!E187)</f>
        <v/>
      </c>
      <c r="F187" s="575">
        <f>IF(' Impaired Loans ASC 310-10'!F187="","",' Impaired Loans ASC 310-10'!F187)</f>
        <v/>
      </c>
      <c r="G187" s="574">
        <f>IF(' Impaired Loans ASC 310-10'!G187="","",' Impaired Loans ASC 310-10'!G187)</f>
        <v/>
      </c>
      <c r="H187" s="574">
        <f>IF(' Impaired Loans ASC 310-10'!H187="","",' Impaired Loans ASC 310-10'!H187)</f>
        <v/>
      </c>
      <c r="I187" s="574">
        <f>IF(' Impaired Loans ASC 310-10'!I187="","",' Impaired Loans ASC 310-10'!I187)</f>
        <v/>
      </c>
      <c r="J187" s="574">
        <f>IF(' Impaired Loans ASC 310-10'!J187="","",' Impaired Loans ASC 310-10'!J187)</f>
        <v/>
      </c>
      <c r="K187" s="584" t="n"/>
      <c r="L187" s="578">
        <f>IFERROR(A187,"")</f>
        <v/>
      </c>
      <c r="M187" s="849">
        <f>IF(' Impaired Loans ASC 310-10'!A187="","",' Impaired Loans ASC 310-10'!K187)</f>
        <v/>
      </c>
      <c r="N187" s="580">
        <f>IF(' Impaired Loans ASC 310-10'!A187="","",' Impaired Loans ASC 310-10'!L187)</f>
        <v/>
      </c>
      <c r="O187" s="581">
        <f>IF(' Impaired Loans ASC 310-10'!A187="","",' Impaired Loans ASC 310-10'!M187)</f>
        <v/>
      </c>
      <c r="P187" s="582">
        <f>IF(' Impaired Loans ASC 310-10'!A187="","",' Impaired Loans ASC 310-10'!O187)</f>
        <v/>
      </c>
      <c r="Q187" s="583">
        <f>IF(' Impaired Loans ASC 310-10'!A187="","",' Impaired Loans ASC 310-10'!N187)</f>
        <v/>
      </c>
      <c r="R187" s="583">
        <f>IF(' Impaired Loans ASC 310-10'!A187="","",' Impaired Loans ASC 310-10'!P187)</f>
        <v/>
      </c>
      <c r="S187" s="583">
        <f>IF(' Impaired Loans ASC 310-10'!A187="","",' Impaired Loans ASC 310-10'!Q187)</f>
        <v/>
      </c>
    </row>
    <row r="188">
      <c r="A188" s="573">
        <f>IF(' Impaired Loans ASC 310-10'!A188="","",' Impaired Loans ASC 310-10'!A188)</f>
        <v/>
      </c>
      <c r="B188" s="573">
        <f>IF(' Impaired Loans ASC 310-10'!B188="","",' Impaired Loans ASC 310-10'!B188)</f>
        <v/>
      </c>
      <c r="C188" s="573">
        <f>IF(' Impaired Loans ASC 310-10'!C188="","",' Impaired Loans ASC 310-10'!C188)</f>
        <v/>
      </c>
      <c r="D188" s="573">
        <f>IF(' Impaired Loans ASC 310-10'!D188="","",' Impaired Loans ASC 310-10'!D188)</f>
        <v/>
      </c>
      <c r="E188" s="574">
        <f>IF(' Impaired Loans ASC 310-10'!E188="","",' Impaired Loans ASC 310-10'!E188)</f>
        <v/>
      </c>
      <c r="F188" s="575">
        <f>IF(' Impaired Loans ASC 310-10'!F188="","",' Impaired Loans ASC 310-10'!F188)</f>
        <v/>
      </c>
      <c r="G188" s="574">
        <f>IF(' Impaired Loans ASC 310-10'!G188="","",' Impaired Loans ASC 310-10'!G188)</f>
        <v/>
      </c>
      <c r="H188" s="574">
        <f>IF(' Impaired Loans ASC 310-10'!H188="","",' Impaired Loans ASC 310-10'!H188)</f>
        <v/>
      </c>
      <c r="I188" s="574">
        <f>IF(' Impaired Loans ASC 310-10'!I188="","",' Impaired Loans ASC 310-10'!I188)</f>
        <v/>
      </c>
      <c r="J188" s="574">
        <f>IF(' Impaired Loans ASC 310-10'!J188="","",' Impaired Loans ASC 310-10'!J188)</f>
        <v/>
      </c>
      <c r="K188" s="584" t="n"/>
      <c r="L188" s="578">
        <f>IFERROR(A188,"")</f>
        <v/>
      </c>
      <c r="M188" s="849">
        <f>IF(' Impaired Loans ASC 310-10'!A188="","",' Impaired Loans ASC 310-10'!K188)</f>
        <v/>
      </c>
      <c r="N188" s="580">
        <f>IF(' Impaired Loans ASC 310-10'!A188="","",' Impaired Loans ASC 310-10'!L188)</f>
        <v/>
      </c>
      <c r="O188" s="581">
        <f>IF(' Impaired Loans ASC 310-10'!A188="","",' Impaired Loans ASC 310-10'!M188)</f>
        <v/>
      </c>
      <c r="P188" s="582">
        <f>IF(' Impaired Loans ASC 310-10'!A188="","",' Impaired Loans ASC 310-10'!O188)</f>
        <v/>
      </c>
      <c r="Q188" s="583">
        <f>IF(' Impaired Loans ASC 310-10'!A188="","",' Impaired Loans ASC 310-10'!N188)</f>
        <v/>
      </c>
      <c r="R188" s="583">
        <f>IF(' Impaired Loans ASC 310-10'!A188="","",' Impaired Loans ASC 310-10'!P188)</f>
        <v/>
      </c>
      <c r="S188" s="583">
        <f>IF(' Impaired Loans ASC 310-10'!A188="","",' Impaired Loans ASC 310-10'!Q188)</f>
        <v/>
      </c>
    </row>
    <row r="189">
      <c r="A189" s="573">
        <f>IF(' Impaired Loans ASC 310-10'!A189="","",' Impaired Loans ASC 310-10'!A189)</f>
        <v/>
      </c>
      <c r="B189" s="573">
        <f>IF(' Impaired Loans ASC 310-10'!B189="","",' Impaired Loans ASC 310-10'!B189)</f>
        <v/>
      </c>
      <c r="C189" s="573">
        <f>IF(' Impaired Loans ASC 310-10'!C189="","",' Impaired Loans ASC 310-10'!C189)</f>
        <v/>
      </c>
      <c r="D189" s="573">
        <f>IF(' Impaired Loans ASC 310-10'!D189="","",' Impaired Loans ASC 310-10'!D189)</f>
        <v/>
      </c>
      <c r="E189" s="574">
        <f>IF(' Impaired Loans ASC 310-10'!E189="","",' Impaired Loans ASC 310-10'!E189)</f>
        <v/>
      </c>
      <c r="F189" s="575">
        <f>IF(' Impaired Loans ASC 310-10'!F189="","",' Impaired Loans ASC 310-10'!F189)</f>
        <v/>
      </c>
      <c r="G189" s="574">
        <f>IF(' Impaired Loans ASC 310-10'!G189="","",' Impaired Loans ASC 310-10'!G189)</f>
        <v/>
      </c>
      <c r="H189" s="574">
        <f>IF(' Impaired Loans ASC 310-10'!H189="","",' Impaired Loans ASC 310-10'!H189)</f>
        <v/>
      </c>
      <c r="I189" s="574">
        <f>IF(' Impaired Loans ASC 310-10'!I189="","",' Impaired Loans ASC 310-10'!I189)</f>
        <v/>
      </c>
      <c r="J189" s="574">
        <f>IF(' Impaired Loans ASC 310-10'!J189="","",' Impaired Loans ASC 310-10'!J189)</f>
        <v/>
      </c>
      <c r="K189" s="584" t="n"/>
      <c r="L189" s="578">
        <f>IFERROR(A189,"")</f>
        <v/>
      </c>
      <c r="M189" s="849">
        <f>IF(' Impaired Loans ASC 310-10'!A189="","",' Impaired Loans ASC 310-10'!K189)</f>
        <v/>
      </c>
      <c r="N189" s="580">
        <f>IF(' Impaired Loans ASC 310-10'!A189="","",' Impaired Loans ASC 310-10'!L189)</f>
        <v/>
      </c>
      <c r="O189" s="581">
        <f>IF(' Impaired Loans ASC 310-10'!A189="","",' Impaired Loans ASC 310-10'!M189)</f>
        <v/>
      </c>
      <c r="P189" s="582">
        <f>IF(' Impaired Loans ASC 310-10'!A189="","",' Impaired Loans ASC 310-10'!O189)</f>
        <v/>
      </c>
      <c r="Q189" s="583">
        <f>IF(' Impaired Loans ASC 310-10'!A189="","",' Impaired Loans ASC 310-10'!N189)</f>
        <v/>
      </c>
      <c r="R189" s="583">
        <f>IF(' Impaired Loans ASC 310-10'!A189="","",' Impaired Loans ASC 310-10'!P189)</f>
        <v/>
      </c>
      <c r="S189" s="583">
        <f>IF(' Impaired Loans ASC 310-10'!A189="","",' Impaired Loans ASC 310-10'!Q189)</f>
        <v/>
      </c>
    </row>
    <row r="190">
      <c r="A190" s="573">
        <f>IF(' Impaired Loans ASC 310-10'!A190="","",' Impaired Loans ASC 310-10'!A190)</f>
        <v/>
      </c>
      <c r="B190" s="573">
        <f>IF(' Impaired Loans ASC 310-10'!B190="","",' Impaired Loans ASC 310-10'!B190)</f>
        <v/>
      </c>
      <c r="C190" s="573">
        <f>IF(' Impaired Loans ASC 310-10'!C190="","",' Impaired Loans ASC 310-10'!C190)</f>
        <v/>
      </c>
      <c r="D190" s="573">
        <f>IF(' Impaired Loans ASC 310-10'!D190="","",' Impaired Loans ASC 310-10'!D190)</f>
        <v/>
      </c>
      <c r="E190" s="574">
        <f>IF(' Impaired Loans ASC 310-10'!E190="","",' Impaired Loans ASC 310-10'!E190)</f>
        <v/>
      </c>
      <c r="F190" s="575">
        <f>IF(' Impaired Loans ASC 310-10'!F190="","",' Impaired Loans ASC 310-10'!F190)</f>
        <v/>
      </c>
      <c r="G190" s="574">
        <f>IF(' Impaired Loans ASC 310-10'!G190="","",' Impaired Loans ASC 310-10'!G190)</f>
        <v/>
      </c>
      <c r="H190" s="574">
        <f>IF(' Impaired Loans ASC 310-10'!H190="","",' Impaired Loans ASC 310-10'!H190)</f>
        <v/>
      </c>
      <c r="I190" s="574">
        <f>IF(' Impaired Loans ASC 310-10'!I190="","",' Impaired Loans ASC 310-10'!I190)</f>
        <v/>
      </c>
      <c r="J190" s="574">
        <f>IF(' Impaired Loans ASC 310-10'!J190="","",' Impaired Loans ASC 310-10'!J190)</f>
        <v/>
      </c>
      <c r="K190" s="584" t="n"/>
      <c r="L190" s="578">
        <f>IFERROR(A190,"")</f>
        <v/>
      </c>
      <c r="M190" s="849">
        <f>IF(' Impaired Loans ASC 310-10'!A190="","",' Impaired Loans ASC 310-10'!K190)</f>
        <v/>
      </c>
      <c r="N190" s="580">
        <f>IF(' Impaired Loans ASC 310-10'!A190="","",' Impaired Loans ASC 310-10'!L190)</f>
        <v/>
      </c>
      <c r="O190" s="581">
        <f>IF(' Impaired Loans ASC 310-10'!A190="","",' Impaired Loans ASC 310-10'!M190)</f>
        <v/>
      </c>
      <c r="P190" s="582">
        <f>IF(' Impaired Loans ASC 310-10'!A190="","",' Impaired Loans ASC 310-10'!O190)</f>
        <v/>
      </c>
      <c r="Q190" s="583">
        <f>IF(' Impaired Loans ASC 310-10'!A190="","",' Impaired Loans ASC 310-10'!N190)</f>
        <v/>
      </c>
      <c r="R190" s="583">
        <f>IF(' Impaired Loans ASC 310-10'!A190="","",' Impaired Loans ASC 310-10'!P190)</f>
        <v/>
      </c>
      <c r="S190" s="583">
        <f>IF(' Impaired Loans ASC 310-10'!A190="","",' Impaired Loans ASC 310-10'!Q190)</f>
        <v/>
      </c>
    </row>
    <row r="191">
      <c r="A191" s="573">
        <f>IF(' Impaired Loans ASC 310-10'!A191="","",' Impaired Loans ASC 310-10'!A191)</f>
        <v/>
      </c>
      <c r="B191" s="573">
        <f>IF(' Impaired Loans ASC 310-10'!B191="","",' Impaired Loans ASC 310-10'!B191)</f>
        <v/>
      </c>
      <c r="C191" s="573">
        <f>IF(' Impaired Loans ASC 310-10'!C191="","",' Impaired Loans ASC 310-10'!C191)</f>
        <v/>
      </c>
      <c r="D191" s="573">
        <f>IF(' Impaired Loans ASC 310-10'!D191="","",' Impaired Loans ASC 310-10'!D191)</f>
        <v/>
      </c>
      <c r="E191" s="574">
        <f>IF(' Impaired Loans ASC 310-10'!E191="","",' Impaired Loans ASC 310-10'!E191)</f>
        <v/>
      </c>
      <c r="F191" s="575">
        <f>IF(' Impaired Loans ASC 310-10'!F191="","",' Impaired Loans ASC 310-10'!F191)</f>
        <v/>
      </c>
      <c r="G191" s="574">
        <f>IF(' Impaired Loans ASC 310-10'!G191="","",' Impaired Loans ASC 310-10'!G191)</f>
        <v/>
      </c>
      <c r="H191" s="574">
        <f>IF(' Impaired Loans ASC 310-10'!H191="","",' Impaired Loans ASC 310-10'!H191)</f>
        <v/>
      </c>
      <c r="I191" s="574">
        <f>IF(' Impaired Loans ASC 310-10'!I191="","",' Impaired Loans ASC 310-10'!I191)</f>
        <v/>
      </c>
      <c r="J191" s="574">
        <f>IF(' Impaired Loans ASC 310-10'!J191="","",' Impaired Loans ASC 310-10'!J191)</f>
        <v/>
      </c>
      <c r="K191" s="584" t="n"/>
      <c r="L191" s="578">
        <f>IFERROR(A191,"")</f>
        <v/>
      </c>
      <c r="M191" s="849">
        <f>IF(' Impaired Loans ASC 310-10'!A191="","",' Impaired Loans ASC 310-10'!K191)</f>
        <v/>
      </c>
      <c r="N191" s="580">
        <f>IF(' Impaired Loans ASC 310-10'!A191="","",' Impaired Loans ASC 310-10'!L191)</f>
        <v/>
      </c>
      <c r="O191" s="581">
        <f>IF(' Impaired Loans ASC 310-10'!A191="","",' Impaired Loans ASC 310-10'!M191)</f>
        <v/>
      </c>
      <c r="P191" s="582">
        <f>IF(' Impaired Loans ASC 310-10'!A191="","",' Impaired Loans ASC 310-10'!O191)</f>
        <v/>
      </c>
      <c r="Q191" s="583">
        <f>IF(' Impaired Loans ASC 310-10'!A191="","",' Impaired Loans ASC 310-10'!N191)</f>
        <v/>
      </c>
      <c r="R191" s="583">
        <f>IF(' Impaired Loans ASC 310-10'!A191="","",' Impaired Loans ASC 310-10'!P191)</f>
        <v/>
      </c>
      <c r="S191" s="583">
        <f>IF(' Impaired Loans ASC 310-10'!A191="","",' Impaired Loans ASC 310-10'!Q191)</f>
        <v/>
      </c>
    </row>
    <row r="192">
      <c r="A192" s="573">
        <f>IF(' Impaired Loans ASC 310-10'!A192="","",' Impaired Loans ASC 310-10'!A192)</f>
        <v/>
      </c>
      <c r="B192" s="573">
        <f>IF(' Impaired Loans ASC 310-10'!B192="","",' Impaired Loans ASC 310-10'!B192)</f>
        <v/>
      </c>
      <c r="C192" s="573">
        <f>IF(' Impaired Loans ASC 310-10'!C192="","",' Impaired Loans ASC 310-10'!C192)</f>
        <v/>
      </c>
      <c r="D192" s="573">
        <f>IF(' Impaired Loans ASC 310-10'!D192="","",' Impaired Loans ASC 310-10'!D192)</f>
        <v/>
      </c>
      <c r="E192" s="574">
        <f>IF(' Impaired Loans ASC 310-10'!E192="","",' Impaired Loans ASC 310-10'!E192)</f>
        <v/>
      </c>
      <c r="F192" s="575">
        <f>IF(' Impaired Loans ASC 310-10'!F192="","",' Impaired Loans ASC 310-10'!F192)</f>
        <v/>
      </c>
      <c r="G192" s="574">
        <f>IF(' Impaired Loans ASC 310-10'!G192="","",' Impaired Loans ASC 310-10'!G192)</f>
        <v/>
      </c>
      <c r="H192" s="574">
        <f>IF(' Impaired Loans ASC 310-10'!H192="","",' Impaired Loans ASC 310-10'!H192)</f>
        <v/>
      </c>
      <c r="I192" s="574">
        <f>IF(' Impaired Loans ASC 310-10'!I192="","",' Impaired Loans ASC 310-10'!I192)</f>
        <v/>
      </c>
      <c r="J192" s="574">
        <f>IF(' Impaired Loans ASC 310-10'!J192="","",' Impaired Loans ASC 310-10'!J192)</f>
        <v/>
      </c>
      <c r="K192" s="584" t="n"/>
      <c r="L192" s="578">
        <f>IFERROR(A192,"")</f>
        <v/>
      </c>
      <c r="M192" s="849">
        <f>IF(' Impaired Loans ASC 310-10'!A192="","",' Impaired Loans ASC 310-10'!K192)</f>
        <v/>
      </c>
      <c r="N192" s="580">
        <f>IF(' Impaired Loans ASC 310-10'!A192="","",' Impaired Loans ASC 310-10'!L192)</f>
        <v/>
      </c>
      <c r="O192" s="581">
        <f>IF(' Impaired Loans ASC 310-10'!A192="","",' Impaired Loans ASC 310-10'!M192)</f>
        <v/>
      </c>
      <c r="P192" s="582">
        <f>IF(' Impaired Loans ASC 310-10'!A192="","",' Impaired Loans ASC 310-10'!O192)</f>
        <v/>
      </c>
      <c r="Q192" s="583">
        <f>IF(' Impaired Loans ASC 310-10'!A192="","",' Impaired Loans ASC 310-10'!N192)</f>
        <v/>
      </c>
      <c r="R192" s="583">
        <f>IF(' Impaired Loans ASC 310-10'!A192="","",' Impaired Loans ASC 310-10'!P192)</f>
        <v/>
      </c>
      <c r="S192" s="583">
        <f>IF(' Impaired Loans ASC 310-10'!A192="","",' Impaired Loans ASC 310-10'!Q192)</f>
        <v/>
      </c>
    </row>
    <row r="193">
      <c r="A193" s="573">
        <f>IF(' Impaired Loans ASC 310-10'!A193="","",' Impaired Loans ASC 310-10'!A193)</f>
        <v/>
      </c>
      <c r="B193" s="573">
        <f>IF(' Impaired Loans ASC 310-10'!B193="","",' Impaired Loans ASC 310-10'!B193)</f>
        <v/>
      </c>
      <c r="C193" s="573">
        <f>IF(' Impaired Loans ASC 310-10'!C193="","",' Impaired Loans ASC 310-10'!C193)</f>
        <v/>
      </c>
      <c r="D193" s="573">
        <f>IF(' Impaired Loans ASC 310-10'!D193="","",' Impaired Loans ASC 310-10'!D193)</f>
        <v/>
      </c>
      <c r="E193" s="574">
        <f>IF(' Impaired Loans ASC 310-10'!E193="","",' Impaired Loans ASC 310-10'!E193)</f>
        <v/>
      </c>
      <c r="F193" s="575">
        <f>IF(' Impaired Loans ASC 310-10'!F193="","",' Impaired Loans ASC 310-10'!F193)</f>
        <v/>
      </c>
      <c r="G193" s="574">
        <f>IF(' Impaired Loans ASC 310-10'!G193="","",' Impaired Loans ASC 310-10'!G193)</f>
        <v/>
      </c>
      <c r="H193" s="574">
        <f>IF(' Impaired Loans ASC 310-10'!H193="","",' Impaired Loans ASC 310-10'!H193)</f>
        <v/>
      </c>
      <c r="I193" s="574">
        <f>IF(' Impaired Loans ASC 310-10'!I193="","",' Impaired Loans ASC 310-10'!I193)</f>
        <v/>
      </c>
      <c r="J193" s="574">
        <f>IF(' Impaired Loans ASC 310-10'!J193="","",' Impaired Loans ASC 310-10'!J193)</f>
        <v/>
      </c>
      <c r="K193" s="584" t="n"/>
      <c r="L193" s="578">
        <f>IFERROR(A193,"")</f>
        <v/>
      </c>
      <c r="M193" s="849">
        <f>IF(' Impaired Loans ASC 310-10'!A193="","",' Impaired Loans ASC 310-10'!K193)</f>
        <v/>
      </c>
      <c r="N193" s="580">
        <f>IF(' Impaired Loans ASC 310-10'!A193="","",' Impaired Loans ASC 310-10'!L193)</f>
        <v/>
      </c>
      <c r="O193" s="581">
        <f>IF(' Impaired Loans ASC 310-10'!A193="","",' Impaired Loans ASC 310-10'!M193)</f>
        <v/>
      </c>
      <c r="P193" s="582">
        <f>IF(' Impaired Loans ASC 310-10'!A193="","",' Impaired Loans ASC 310-10'!O193)</f>
        <v/>
      </c>
      <c r="Q193" s="583">
        <f>IF(' Impaired Loans ASC 310-10'!A193="","",' Impaired Loans ASC 310-10'!N193)</f>
        <v/>
      </c>
      <c r="R193" s="583">
        <f>IF(' Impaired Loans ASC 310-10'!A193="","",' Impaired Loans ASC 310-10'!P193)</f>
        <v/>
      </c>
      <c r="S193" s="583">
        <f>IF(' Impaired Loans ASC 310-10'!A193="","",' Impaired Loans ASC 310-10'!Q193)</f>
        <v/>
      </c>
    </row>
    <row r="194">
      <c r="A194" s="573">
        <f>IF(' Impaired Loans ASC 310-10'!A194="","",' Impaired Loans ASC 310-10'!A194)</f>
        <v/>
      </c>
      <c r="B194" s="573">
        <f>IF(' Impaired Loans ASC 310-10'!B194="","",' Impaired Loans ASC 310-10'!B194)</f>
        <v/>
      </c>
      <c r="C194" s="573">
        <f>IF(' Impaired Loans ASC 310-10'!C194="","",' Impaired Loans ASC 310-10'!C194)</f>
        <v/>
      </c>
      <c r="D194" s="573">
        <f>IF(' Impaired Loans ASC 310-10'!D194="","",' Impaired Loans ASC 310-10'!D194)</f>
        <v/>
      </c>
      <c r="E194" s="574">
        <f>IF(' Impaired Loans ASC 310-10'!E194="","",' Impaired Loans ASC 310-10'!E194)</f>
        <v/>
      </c>
      <c r="F194" s="575">
        <f>IF(' Impaired Loans ASC 310-10'!F194="","",' Impaired Loans ASC 310-10'!F194)</f>
        <v/>
      </c>
      <c r="G194" s="574">
        <f>IF(' Impaired Loans ASC 310-10'!G194="","",' Impaired Loans ASC 310-10'!G194)</f>
        <v/>
      </c>
      <c r="H194" s="574">
        <f>IF(' Impaired Loans ASC 310-10'!H194="","",' Impaired Loans ASC 310-10'!H194)</f>
        <v/>
      </c>
      <c r="I194" s="574">
        <f>IF(' Impaired Loans ASC 310-10'!I194="","",' Impaired Loans ASC 310-10'!I194)</f>
        <v/>
      </c>
      <c r="J194" s="574">
        <f>IF(' Impaired Loans ASC 310-10'!J194="","",' Impaired Loans ASC 310-10'!J194)</f>
        <v/>
      </c>
      <c r="K194" s="584" t="n"/>
      <c r="L194" s="578">
        <f>IFERROR(A194,"")</f>
        <v/>
      </c>
      <c r="M194" s="849">
        <f>IF(' Impaired Loans ASC 310-10'!A194="","",' Impaired Loans ASC 310-10'!K194)</f>
        <v/>
      </c>
      <c r="N194" s="580">
        <f>IF(' Impaired Loans ASC 310-10'!A194="","",' Impaired Loans ASC 310-10'!L194)</f>
        <v/>
      </c>
      <c r="O194" s="581">
        <f>IF(' Impaired Loans ASC 310-10'!A194="","",' Impaired Loans ASC 310-10'!M194)</f>
        <v/>
      </c>
      <c r="P194" s="582">
        <f>IF(' Impaired Loans ASC 310-10'!A194="","",' Impaired Loans ASC 310-10'!O194)</f>
        <v/>
      </c>
      <c r="Q194" s="583">
        <f>IF(' Impaired Loans ASC 310-10'!A194="","",' Impaired Loans ASC 310-10'!N194)</f>
        <v/>
      </c>
      <c r="R194" s="583">
        <f>IF(' Impaired Loans ASC 310-10'!A194="","",' Impaired Loans ASC 310-10'!P194)</f>
        <v/>
      </c>
      <c r="S194" s="583">
        <f>IF(' Impaired Loans ASC 310-10'!A194="","",' Impaired Loans ASC 310-10'!Q194)</f>
        <v/>
      </c>
    </row>
    <row r="195">
      <c r="A195" s="573">
        <f>IF(' Impaired Loans ASC 310-10'!A195="","",' Impaired Loans ASC 310-10'!A195)</f>
        <v/>
      </c>
      <c r="B195" s="573">
        <f>IF(' Impaired Loans ASC 310-10'!B195="","",' Impaired Loans ASC 310-10'!B195)</f>
        <v/>
      </c>
      <c r="C195" s="573">
        <f>IF(' Impaired Loans ASC 310-10'!C195="","",' Impaired Loans ASC 310-10'!C195)</f>
        <v/>
      </c>
      <c r="D195" s="573">
        <f>IF(' Impaired Loans ASC 310-10'!D195="","",' Impaired Loans ASC 310-10'!D195)</f>
        <v/>
      </c>
      <c r="E195" s="574">
        <f>IF(' Impaired Loans ASC 310-10'!E195="","",' Impaired Loans ASC 310-10'!E195)</f>
        <v/>
      </c>
      <c r="F195" s="575">
        <f>IF(' Impaired Loans ASC 310-10'!F195="","",' Impaired Loans ASC 310-10'!F195)</f>
        <v/>
      </c>
      <c r="G195" s="574">
        <f>IF(' Impaired Loans ASC 310-10'!G195="","",' Impaired Loans ASC 310-10'!G195)</f>
        <v/>
      </c>
      <c r="H195" s="574">
        <f>IF(' Impaired Loans ASC 310-10'!H195="","",' Impaired Loans ASC 310-10'!H195)</f>
        <v/>
      </c>
      <c r="I195" s="574">
        <f>IF(' Impaired Loans ASC 310-10'!I195="","",' Impaired Loans ASC 310-10'!I195)</f>
        <v/>
      </c>
      <c r="J195" s="574">
        <f>IF(' Impaired Loans ASC 310-10'!J195="","",' Impaired Loans ASC 310-10'!J195)</f>
        <v/>
      </c>
      <c r="K195" s="584" t="n"/>
      <c r="L195" s="578">
        <f>IFERROR(A195,"")</f>
        <v/>
      </c>
      <c r="M195" s="849">
        <f>IF(' Impaired Loans ASC 310-10'!A195="","",' Impaired Loans ASC 310-10'!K195)</f>
        <v/>
      </c>
      <c r="N195" s="580">
        <f>IF(' Impaired Loans ASC 310-10'!A195="","",' Impaired Loans ASC 310-10'!L195)</f>
        <v/>
      </c>
      <c r="O195" s="581">
        <f>IF(' Impaired Loans ASC 310-10'!A195="","",' Impaired Loans ASC 310-10'!M195)</f>
        <v/>
      </c>
      <c r="P195" s="582">
        <f>IF(' Impaired Loans ASC 310-10'!A195="","",' Impaired Loans ASC 310-10'!O195)</f>
        <v/>
      </c>
      <c r="Q195" s="583">
        <f>IF(' Impaired Loans ASC 310-10'!A195="","",' Impaired Loans ASC 310-10'!N195)</f>
        <v/>
      </c>
      <c r="R195" s="583">
        <f>IF(' Impaired Loans ASC 310-10'!A195="","",' Impaired Loans ASC 310-10'!P195)</f>
        <v/>
      </c>
      <c r="S195" s="583">
        <f>IF(' Impaired Loans ASC 310-10'!A195="","",' Impaired Loans ASC 310-10'!Q195)</f>
        <v/>
      </c>
    </row>
    <row r="196">
      <c r="A196" s="573">
        <f>IF(' Impaired Loans ASC 310-10'!A196="","",' Impaired Loans ASC 310-10'!A196)</f>
        <v/>
      </c>
      <c r="B196" s="573">
        <f>IF(' Impaired Loans ASC 310-10'!B196="","",' Impaired Loans ASC 310-10'!B196)</f>
        <v/>
      </c>
      <c r="C196" s="573">
        <f>IF(' Impaired Loans ASC 310-10'!C196="","",' Impaired Loans ASC 310-10'!C196)</f>
        <v/>
      </c>
      <c r="D196" s="573">
        <f>IF(' Impaired Loans ASC 310-10'!D196="","",' Impaired Loans ASC 310-10'!D196)</f>
        <v/>
      </c>
      <c r="E196" s="574">
        <f>IF(' Impaired Loans ASC 310-10'!E196="","",' Impaired Loans ASC 310-10'!E196)</f>
        <v/>
      </c>
      <c r="F196" s="575">
        <f>IF(' Impaired Loans ASC 310-10'!F196="","",' Impaired Loans ASC 310-10'!F196)</f>
        <v/>
      </c>
      <c r="G196" s="574">
        <f>IF(' Impaired Loans ASC 310-10'!G196="","",' Impaired Loans ASC 310-10'!G196)</f>
        <v/>
      </c>
      <c r="H196" s="574">
        <f>IF(' Impaired Loans ASC 310-10'!H196="","",' Impaired Loans ASC 310-10'!H196)</f>
        <v/>
      </c>
      <c r="I196" s="574">
        <f>IF(' Impaired Loans ASC 310-10'!I196="","",' Impaired Loans ASC 310-10'!I196)</f>
        <v/>
      </c>
      <c r="J196" s="574">
        <f>IF(' Impaired Loans ASC 310-10'!J196="","",' Impaired Loans ASC 310-10'!J196)</f>
        <v/>
      </c>
      <c r="K196" s="584" t="n"/>
      <c r="L196" s="578">
        <f>IFERROR(A196,"")</f>
        <v/>
      </c>
      <c r="M196" s="849">
        <f>IF(' Impaired Loans ASC 310-10'!A196="","",' Impaired Loans ASC 310-10'!K196)</f>
        <v/>
      </c>
      <c r="N196" s="580">
        <f>IF(' Impaired Loans ASC 310-10'!A196="","",' Impaired Loans ASC 310-10'!L196)</f>
        <v/>
      </c>
      <c r="O196" s="581">
        <f>IF(' Impaired Loans ASC 310-10'!A196="","",' Impaired Loans ASC 310-10'!M196)</f>
        <v/>
      </c>
      <c r="P196" s="582">
        <f>IF(' Impaired Loans ASC 310-10'!A196="","",' Impaired Loans ASC 310-10'!O196)</f>
        <v/>
      </c>
      <c r="Q196" s="583">
        <f>IF(' Impaired Loans ASC 310-10'!A196="","",' Impaired Loans ASC 310-10'!N196)</f>
        <v/>
      </c>
      <c r="R196" s="583">
        <f>IF(' Impaired Loans ASC 310-10'!A196="","",' Impaired Loans ASC 310-10'!P196)</f>
        <v/>
      </c>
      <c r="S196" s="583">
        <f>IF(' Impaired Loans ASC 310-10'!A196="","",' Impaired Loans ASC 310-10'!Q196)</f>
        <v/>
      </c>
    </row>
    <row r="197">
      <c r="A197" s="573">
        <f>IF(' Impaired Loans ASC 310-10'!A197="","",' Impaired Loans ASC 310-10'!A197)</f>
        <v/>
      </c>
      <c r="B197" s="573">
        <f>IF(' Impaired Loans ASC 310-10'!B197="","",' Impaired Loans ASC 310-10'!B197)</f>
        <v/>
      </c>
      <c r="C197" s="573">
        <f>IF(' Impaired Loans ASC 310-10'!C197="","",' Impaired Loans ASC 310-10'!C197)</f>
        <v/>
      </c>
      <c r="D197" s="573">
        <f>IF(' Impaired Loans ASC 310-10'!D197="","",' Impaired Loans ASC 310-10'!D197)</f>
        <v/>
      </c>
      <c r="E197" s="574">
        <f>IF(' Impaired Loans ASC 310-10'!E197="","",' Impaired Loans ASC 310-10'!E197)</f>
        <v/>
      </c>
      <c r="F197" s="575">
        <f>IF(' Impaired Loans ASC 310-10'!F197="","",' Impaired Loans ASC 310-10'!F197)</f>
        <v/>
      </c>
      <c r="G197" s="574">
        <f>IF(' Impaired Loans ASC 310-10'!G197="","",' Impaired Loans ASC 310-10'!G197)</f>
        <v/>
      </c>
      <c r="H197" s="574">
        <f>IF(' Impaired Loans ASC 310-10'!H197="","",' Impaired Loans ASC 310-10'!H197)</f>
        <v/>
      </c>
      <c r="I197" s="574">
        <f>IF(' Impaired Loans ASC 310-10'!I197="","",' Impaired Loans ASC 310-10'!I197)</f>
        <v/>
      </c>
      <c r="J197" s="574">
        <f>IF(' Impaired Loans ASC 310-10'!J197="","",' Impaired Loans ASC 310-10'!J197)</f>
        <v/>
      </c>
      <c r="K197" s="584" t="n"/>
      <c r="L197" s="578">
        <f>IFERROR(A197,"")</f>
        <v/>
      </c>
      <c r="M197" s="849">
        <f>IF(' Impaired Loans ASC 310-10'!A197="","",' Impaired Loans ASC 310-10'!K197)</f>
        <v/>
      </c>
      <c r="N197" s="580">
        <f>IF(' Impaired Loans ASC 310-10'!A197="","",' Impaired Loans ASC 310-10'!L197)</f>
        <v/>
      </c>
      <c r="O197" s="581">
        <f>IF(' Impaired Loans ASC 310-10'!A197="","",' Impaired Loans ASC 310-10'!M197)</f>
        <v/>
      </c>
      <c r="P197" s="582">
        <f>IF(' Impaired Loans ASC 310-10'!A197="","",' Impaired Loans ASC 310-10'!O197)</f>
        <v/>
      </c>
      <c r="Q197" s="583">
        <f>IF(' Impaired Loans ASC 310-10'!A197="","",' Impaired Loans ASC 310-10'!N197)</f>
        <v/>
      </c>
      <c r="R197" s="583">
        <f>IF(' Impaired Loans ASC 310-10'!A197="","",' Impaired Loans ASC 310-10'!P197)</f>
        <v/>
      </c>
      <c r="S197" s="583">
        <f>IF(' Impaired Loans ASC 310-10'!A197="","",' Impaired Loans ASC 310-10'!Q197)</f>
        <v/>
      </c>
    </row>
    <row r="198">
      <c r="A198" s="573">
        <f>IF(' Impaired Loans ASC 310-10'!A198="","",' Impaired Loans ASC 310-10'!A198)</f>
        <v/>
      </c>
      <c r="B198" s="573">
        <f>IF(' Impaired Loans ASC 310-10'!B198="","",' Impaired Loans ASC 310-10'!B198)</f>
        <v/>
      </c>
      <c r="C198" s="573">
        <f>IF(' Impaired Loans ASC 310-10'!C198="","",' Impaired Loans ASC 310-10'!C198)</f>
        <v/>
      </c>
      <c r="D198" s="573">
        <f>IF(' Impaired Loans ASC 310-10'!D198="","",' Impaired Loans ASC 310-10'!D198)</f>
        <v/>
      </c>
      <c r="E198" s="574">
        <f>IF(' Impaired Loans ASC 310-10'!E198="","",' Impaired Loans ASC 310-10'!E198)</f>
        <v/>
      </c>
      <c r="F198" s="575">
        <f>IF(' Impaired Loans ASC 310-10'!F198="","",' Impaired Loans ASC 310-10'!F198)</f>
        <v/>
      </c>
      <c r="G198" s="574">
        <f>IF(' Impaired Loans ASC 310-10'!G198="","",' Impaired Loans ASC 310-10'!G198)</f>
        <v/>
      </c>
      <c r="H198" s="574">
        <f>IF(' Impaired Loans ASC 310-10'!H198="","",' Impaired Loans ASC 310-10'!H198)</f>
        <v/>
      </c>
      <c r="I198" s="574">
        <f>IF(' Impaired Loans ASC 310-10'!I198="","",' Impaired Loans ASC 310-10'!I198)</f>
        <v/>
      </c>
      <c r="J198" s="574">
        <f>IF(' Impaired Loans ASC 310-10'!J198="","",' Impaired Loans ASC 310-10'!J198)</f>
        <v/>
      </c>
      <c r="K198" s="584" t="n"/>
      <c r="L198" s="578">
        <f>IFERROR(A198,"")</f>
        <v/>
      </c>
      <c r="M198" s="849">
        <f>IF(' Impaired Loans ASC 310-10'!A198="","",' Impaired Loans ASC 310-10'!K198)</f>
        <v/>
      </c>
      <c r="N198" s="580">
        <f>IF(' Impaired Loans ASC 310-10'!A198="","",' Impaired Loans ASC 310-10'!L198)</f>
        <v/>
      </c>
      <c r="O198" s="581">
        <f>IF(' Impaired Loans ASC 310-10'!A198="","",' Impaired Loans ASC 310-10'!M198)</f>
        <v/>
      </c>
      <c r="P198" s="582">
        <f>IF(' Impaired Loans ASC 310-10'!A198="","",' Impaired Loans ASC 310-10'!O198)</f>
        <v/>
      </c>
      <c r="Q198" s="583">
        <f>IF(' Impaired Loans ASC 310-10'!A198="","",' Impaired Loans ASC 310-10'!N198)</f>
        <v/>
      </c>
      <c r="R198" s="583">
        <f>IF(' Impaired Loans ASC 310-10'!A198="","",' Impaired Loans ASC 310-10'!P198)</f>
        <v/>
      </c>
      <c r="S198" s="583">
        <f>IF(' Impaired Loans ASC 310-10'!A198="","",' Impaired Loans ASC 310-10'!Q198)</f>
        <v/>
      </c>
    </row>
    <row r="199">
      <c r="A199" s="573">
        <f>IF(' Impaired Loans ASC 310-10'!A199="","",' Impaired Loans ASC 310-10'!A199)</f>
        <v/>
      </c>
      <c r="B199" s="573">
        <f>IF(' Impaired Loans ASC 310-10'!B199="","",' Impaired Loans ASC 310-10'!B199)</f>
        <v/>
      </c>
      <c r="C199" s="573">
        <f>IF(' Impaired Loans ASC 310-10'!C199="","",' Impaired Loans ASC 310-10'!C199)</f>
        <v/>
      </c>
      <c r="D199" s="573">
        <f>IF(' Impaired Loans ASC 310-10'!D199="","",' Impaired Loans ASC 310-10'!D199)</f>
        <v/>
      </c>
      <c r="E199" s="574">
        <f>IF(' Impaired Loans ASC 310-10'!E199="","",' Impaired Loans ASC 310-10'!E199)</f>
        <v/>
      </c>
      <c r="F199" s="575">
        <f>IF(' Impaired Loans ASC 310-10'!F199="","",' Impaired Loans ASC 310-10'!F199)</f>
        <v/>
      </c>
      <c r="G199" s="574">
        <f>IF(' Impaired Loans ASC 310-10'!G199="","",' Impaired Loans ASC 310-10'!G199)</f>
        <v/>
      </c>
      <c r="H199" s="574">
        <f>IF(' Impaired Loans ASC 310-10'!H199="","",' Impaired Loans ASC 310-10'!H199)</f>
        <v/>
      </c>
      <c r="I199" s="574">
        <f>IF(' Impaired Loans ASC 310-10'!I199="","",' Impaired Loans ASC 310-10'!I199)</f>
        <v/>
      </c>
      <c r="J199" s="574">
        <f>IF(' Impaired Loans ASC 310-10'!J199="","",' Impaired Loans ASC 310-10'!J199)</f>
        <v/>
      </c>
      <c r="K199" s="584" t="n"/>
      <c r="L199" s="578">
        <f>IFERROR(A199,"")</f>
        <v/>
      </c>
      <c r="M199" s="849">
        <f>IF(' Impaired Loans ASC 310-10'!A199="","",' Impaired Loans ASC 310-10'!K199)</f>
        <v/>
      </c>
      <c r="N199" s="580">
        <f>IF(' Impaired Loans ASC 310-10'!A199="","",' Impaired Loans ASC 310-10'!L199)</f>
        <v/>
      </c>
      <c r="O199" s="581">
        <f>IF(' Impaired Loans ASC 310-10'!A199="","",' Impaired Loans ASC 310-10'!M199)</f>
        <v/>
      </c>
      <c r="P199" s="582">
        <f>IF(' Impaired Loans ASC 310-10'!A199="","",' Impaired Loans ASC 310-10'!O199)</f>
        <v/>
      </c>
      <c r="Q199" s="583">
        <f>IF(' Impaired Loans ASC 310-10'!A199="","",' Impaired Loans ASC 310-10'!N199)</f>
        <v/>
      </c>
      <c r="R199" s="583">
        <f>IF(' Impaired Loans ASC 310-10'!A199="","",' Impaired Loans ASC 310-10'!P199)</f>
        <v/>
      </c>
      <c r="S199" s="583">
        <f>IF(' Impaired Loans ASC 310-10'!A199="","",' Impaired Loans ASC 310-10'!Q199)</f>
        <v/>
      </c>
    </row>
    <row r="200">
      <c r="A200" s="573">
        <f>IF(' Impaired Loans ASC 310-10'!A200="","",' Impaired Loans ASC 310-10'!A200)</f>
        <v/>
      </c>
      <c r="B200" s="573">
        <f>IF(' Impaired Loans ASC 310-10'!B200="","",' Impaired Loans ASC 310-10'!B200)</f>
        <v/>
      </c>
      <c r="C200" s="573">
        <f>IF(' Impaired Loans ASC 310-10'!C200="","",' Impaired Loans ASC 310-10'!C200)</f>
        <v/>
      </c>
      <c r="D200" s="573">
        <f>IF(' Impaired Loans ASC 310-10'!D200="","",' Impaired Loans ASC 310-10'!D200)</f>
        <v/>
      </c>
      <c r="E200" s="574">
        <f>IF(' Impaired Loans ASC 310-10'!E200="","",' Impaired Loans ASC 310-10'!E200)</f>
        <v/>
      </c>
      <c r="F200" s="575">
        <f>IF(' Impaired Loans ASC 310-10'!F200="","",' Impaired Loans ASC 310-10'!F200)</f>
        <v/>
      </c>
      <c r="G200" s="574">
        <f>IF(' Impaired Loans ASC 310-10'!G200="","",' Impaired Loans ASC 310-10'!G200)</f>
        <v/>
      </c>
      <c r="H200" s="574">
        <f>IF(' Impaired Loans ASC 310-10'!H200="","",' Impaired Loans ASC 310-10'!H200)</f>
        <v/>
      </c>
      <c r="I200" s="574">
        <f>IF(' Impaired Loans ASC 310-10'!I200="","",' Impaired Loans ASC 310-10'!I200)</f>
        <v/>
      </c>
      <c r="J200" s="574">
        <f>IF(' Impaired Loans ASC 310-10'!J200="","",' Impaired Loans ASC 310-10'!J200)</f>
        <v/>
      </c>
      <c r="K200" s="584" t="n"/>
      <c r="L200" s="578">
        <f>IFERROR(A200,"")</f>
        <v/>
      </c>
      <c r="M200" s="849">
        <f>IF(' Impaired Loans ASC 310-10'!A200="","",' Impaired Loans ASC 310-10'!K200)</f>
        <v/>
      </c>
      <c r="N200" s="580">
        <f>IF(' Impaired Loans ASC 310-10'!A200="","",' Impaired Loans ASC 310-10'!L200)</f>
        <v/>
      </c>
      <c r="O200" s="581">
        <f>IF(' Impaired Loans ASC 310-10'!A200="","",' Impaired Loans ASC 310-10'!M200)</f>
        <v/>
      </c>
      <c r="P200" s="582">
        <f>IF(' Impaired Loans ASC 310-10'!A200="","",' Impaired Loans ASC 310-10'!O200)</f>
        <v/>
      </c>
      <c r="Q200" s="583">
        <f>IF(' Impaired Loans ASC 310-10'!A200="","",' Impaired Loans ASC 310-10'!N200)</f>
        <v/>
      </c>
      <c r="R200" s="583">
        <f>IF(' Impaired Loans ASC 310-10'!A200="","",' Impaired Loans ASC 310-10'!P200)</f>
        <v/>
      </c>
      <c r="S200" s="583">
        <f>IF(' Impaired Loans ASC 310-10'!A200="","",' Impaired Loans ASC 310-10'!Q200)</f>
        <v/>
      </c>
    </row>
    <row r="201">
      <c r="A201" s="573">
        <f>IF(' Impaired Loans ASC 310-10'!A201="","",' Impaired Loans ASC 310-10'!A201)</f>
        <v/>
      </c>
      <c r="B201" s="573">
        <f>IF(' Impaired Loans ASC 310-10'!B201="","",' Impaired Loans ASC 310-10'!B201)</f>
        <v/>
      </c>
      <c r="C201" s="573">
        <f>IF(' Impaired Loans ASC 310-10'!C201="","",' Impaired Loans ASC 310-10'!C201)</f>
        <v/>
      </c>
      <c r="D201" s="573">
        <f>IF(' Impaired Loans ASC 310-10'!D201="","",' Impaired Loans ASC 310-10'!D201)</f>
        <v/>
      </c>
      <c r="E201" s="574">
        <f>IF(' Impaired Loans ASC 310-10'!E201="","",' Impaired Loans ASC 310-10'!E201)</f>
        <v/>
      </c>
      <c r="F201" s="575">
        <f>IF(' Impaired Loans ASC 310-10'!F201="","",' Impaired Loans ASC 310-10'!F201)</f>
        <v/>
      </c>
      <c r="G201" s="574">
        <f>IF(' Impaired Loans ASC 310-10'!G201="","",' Impaired Loans ASC 310-10'!G201)</f>
        <v/>
      </c>
      <c r="H201" s="574">
        <f>IF(' Impaired Loans ASC 310-10'!H201="","",' Impaired Loans ASC 310-10'!H201)</f>
        <v/>
      </c>
      <c r="I201" s="574">
        <f>IF(' Impaired Loans ASC 310-10'!I201="","",' Impaired Loans ASC 310-10'!I201)</f>
        <v/>
      </c>
      <c r="J201" s="574">
        <f>IF(' Impaired Loans ASC 310-10'!J201="","",' Impaired Loans ASC 310-10'!J201)</f>
        <v/>
      </c>
      <c r="K201" s="584" t="n"/>
      <c r="L201" s="578">
        <f>IFERROR(A201,"")</f>
        <v/>
      </c>
      <c r="M201" s="849">
        <f>IF(' Impaired Loans ASC 310-10'!A201="","",' Impaired Loans ASC 310-10'!K201)</f>
        <v/>
      </c>
      <c r="N201" s="580">
        <f>IF(' Impaired Loans ASC 310-10'!A201="","",' Impaired Loans ASC 310-10'!L201)</f>
        <v/>
      </c>
      <c r="O201" s="581">
        <f>IF(' Impaired Loans ASC 310-10'!A201="","",' Impaired Loans ASC 310-10'!M201)</f>
        <v/>
      </c>
      <c r="P201" s="582">
        <f>IF(' Impaired Loans ASC 310-10'!A201="","",' Impaired Loans ASC 310-10'!O201)</f>
        <v/>
      </c>
      <c r="Q201" s="583">
        <f>IF(' Impaired Loans ASC 310-10'!A201="","",' Impaired Loans ASC 310-10'!N201)</f>
        <v/>
      </c>
      <c r="R201" s="583">
        <f>IF(' Impaired Loans ASC 310-10'!A201="","",' Impaired Loans ASC 310-10'!P201)</f>
        <v/>
      </c>
      <c r="S201" s="583">
        <f>IF(' Impaired Loans ASC 310-10'!A201="","",' Impaired Loans ASC 310-10'!Q201)</f>
        <v/>
      </c>
    </row>
    <row r="202">
      <c r="A202" s="573">
        <f>IF(' Impaired Loans ASC 310-10'!A202="","",' Impaired Loans ASC 310-10'!A202)</f>
        <v/>
      </c>
      <c r="B202" s="573">
        <f>IF(' Impaired Loans ASC 310-10'!B202="","",' Impaired Loans ASC 310-10'!B202)</f>
        <v/>
      </c>
      <c r="C202" s="573">
        <f>IF(' Impaired Loans ASC 310-10'!C202="","",' Impaired Loans ASC 310-10'!C202)</f>
        <v/>
      </c>
      <c r="D202" s="573">
        <f>IF(' Impaired Loans ASC 310-10'!D202="","",' Impaired Loans ASC 310-10'!D202)</f>
        <v/>
      </c>
      <c r="E202" s="574">
        <f>IF(' Impaired Loans ASC 310-10'!E202="","",' Impaired Loans ASC 310-10'!E202)</f>
        <v/>
      </c>
      <c r="F202" s="575">
        <f>IF(' Impaired Loans ASC 310-10'!F202="","",' Impaired Loans ASC 310-10'!F202)</f>
        <v/>
      </c>
      <c r="G202" s="574">
        <f>IF(' Impaired Loans ASC 310-10'!G202="","",' Impaired Loans ASC 310-10'!G202)</f>
        <v/>
      </c>
      <c r="H202" s="574">
        <f>IF(' Impaired Loans ASC 310-10'!H202="","",' Impaired Loans ASC 310-10'!H202)</f>
        <v/>
      </c>
      <c r="I202" s="574">
        <f>IF(' Impaired Loans ASC 310-10'!I202="","",' Impaired Loans ASC 310-10'!I202)</f>
        <v/>
      </c>
      <c r="J202" s="574">
        <f>IF(' Impaired Loans ASC 310-10'!J202="","",' Impaired Loans ASC 310-10'!J202)</f>
        <v/>
      </c>
      <c r="K202" s="584" t="n"/>
      <c r="L202" s="578">
        <f>IFERROR(A202,"")</f>
        <v/>
      </c>
      <c r="M202" s="849">
        <f>IF(' Impaired Loans ASC 310-10'!A202="","",' Impaired Loans ASC 310-10'!K202)</f>
        <v/>
      </c>
      <c r="N202" s="580">
        <f>IF(' Impaired Loans ASC 310-10'!A202="","",' Impaired Loans ASC 310-10'!L202)</f>
        <v/>
      </c>
      <c r="O202" s="581">
        <f>IF(' Impaired Loans ASC 310-10'!A202="","",' Impaired Loans ASC 310-10'!M202)</f>
        <v/>
      </c>
      <c r="P202" s="582">
        <f>IF(' Impaired Loans ASC 310-10'!A202="","",' Impaired Loans ASC 310-10'!O202)</f>
        <v/>
      </c>
      <c r="Q202" s="583">
        <f>IF(' Impaired Loans ASC 310-10'!A202="","",' Impaired Loans ASC 310-10'!N202)</f>
        <v/>
      </c>
      <c r="R202" s="583">
        <f>IF(' Impaired Loans ASC 310-10'!A202="","",' Impaired Loans ASC 310-10'!P202)</f>
        <v/>
      </c>
      <c r="S202" s="583">
        <f>IF(' Impaired Loans ASC 310-10'!A202="","",' Impaired Loans ASC 310-10'!Q202)</f>
        <v/>
      </c>
    </row>
    <row r="203">
      <c r="A203" s="573">
        <f>IF(' Impaired Loans ASC 310-10'!A203="","",' Impaired Loans ASC 310-10'!A203)</f>
        <v/>
      </c>
      <c r="B203" s="573">
        <f>IF(' Impaired Loans ASC 310-10'!B203="","",' Impaired Loans ASC 310-10'!B203)</f>
        <v/>
      </c>
      <c r="C203" s="573">
        <f>IF(' Impaired Loans ASC 310-10'!C203="","",' Impaired Loans ASC 310-10'!C203)</f>
        <v/>
      </c>
      <c r="D203" s="573">
        <f>IF(' Impaired Loans ASC 310-10'!D203="","",' Impaired Loans ASC 310-10'!D203)</f>
        <v/>
      </c>
      <c r="E203" s="574">
        <f>IF(' Impaired Loans ASC 310-10'!E203="","",' Impaired Loans ASC 310-10'!E203)</f>
        <v/>
      </c>
      <c r="F203" s="575">
        <f>IF(' Impaired Loans ASC 310-10'!F203="","",' Impaired Loans ASC 310-10'!F203)</f>
        <v/>
      </c>
      <c r="G203" s="574">
        <f>IF(' Impaired Loans ASC 310-10'!G203="","",' Impaired Loans ASC 310-10'!G203)</f>
        <v/>
      </c>
      <c r="H203" s="574">
        <f>IF(' Impaired Loans ASC 310-10'!H203="","",' Impaired Loans ASC 310-10'!H203)</f>
        <v/>
      </c>
      <c r="I203" s="574">
        <f>IF(' Impaired Loans ASC 310-10'!I203="","",' Impaired Loans ASC 310-10'!I203)</f>
        <v/>
      </c>
      <c r="J203" s="574">
        <f>IF(' Impaired Loans ASC 310-10'!J203="","",' Impaired Loans ASC 310-10'!J203)</f>
        <v/>
      </c>
      <c r="K203" s="584" t="n"/>
      <c r="L203" s="578">
        <f>IFERROR(A203,"")</f>
        <v/>
      </c>
      <c r="M203" s="849">
        <f>IF(' Impaired Loans ASC 310-10'!A203="","",' Impaired Loans ASC 310-10'!K203)</f>
        <v/>
      </c>
      <c r="N203" s="580">
        <f>IF(' Impaired Loans ASC 310-10'!A203="","",' Impaired Loans ASC 310-10'!L203)</f>
        <v/>
      </c>
      <c r="O203" s="581">
        <f>IF(' Impaired Loans ASC 310-10'!A203="","",' Impaired Loans ASC 310-10'!M203)</f>
        <v/>
      </c>
      <c r="P203" s="582">
        <f>IF(' Impaired Loans ASC 310-10'!A203="","",' Impaired Loans ASC 310-10'!O203)</f>
        <v/>
      </c>
      <c r="Q203" s="583">
        <f>IF(' Impaired Loans ASC 310-10'!A203="","",' Impaired Loans ASC 310-10'!N203)</f>
        <v/>
      </c>
      <c r="R203" s="583">
        <f>IF(' Impaired Loans ASC 310-10'!A203="","",' Impaired Loans ASC 310-10'!P203)</f>
        <v/>
      </c>
      <c r="S203" s="583">
        <f>IF(' Impaired Loans ASC 310-10'!A203="","",' Impaired Loans ASC 310-10'!Q203)</f>
        <v/>
      </c>
    </row>
    <row r="204">
      <c r="A204" s="573">
        <f>IF(' Impaired Loans ASC 310-10'!A204="","",' Impaired Loans ASC 310-10'!A204)</f>
        <v/>
      </c>
      <c r="B204" s="573">
        <f>IF(' Impaired Loans ASC 310-10'!B204="","",' Impaired Loans ASC 310-10'!B204)</f>
        <v/>
      </c>
      <c r="C204" s="573">
        <f>IF(' Impaired Loans ASC 310-10'!C204="","",' Impaired Loans ASC 310-10'!C204)</f>
        <v/>
      </c>
      <c r="D204" s="573">
        <f>IF(' Impaired Loans ASC 310-10'!D204="","",' Impaired Loans ASC 310-10'!D204)</f>
        <v/>
      </c>
      <c r="E204" s="574">
        <f>IF(' Impaired Loans ASC 310-10'!E204="","",' Impaired Loans ASC 310-10'!E204)</f>
        <v/>
      </c>
      <c r="F204" s="575">
        <f>IF(' Impaired Loans ASC 310-10'!F204="","",' Impaired Loans ASC 310-10'!F204)</f>
        <v/>
      </c>
      <c r="G204" s="574">
        <f>IF(' Impaired Loans ASC 310-10'!G204="","",' Impaired Loans ASC 310-10'!G204)</f>
        <v/>
      </c>
      <c r="H204" s="574">
        <f>IF(' Impaired Loans ASC 310-10'!H204="","",' Impaired Loans ASC 310-10'!H204)</f>
        <v/>
      </c>
      <c r="I204" s="574">
        <f>IF(' Impaired Loans ASC 310-10'!I204="","",' Impaired Loans ASC 310-10'!I204)</f>
        <v/>
      </c>
      <c r="J204" s="574">
        <f>IF(' Impaired Loans ASC 310-10'!J204="","",' Impaired Loans ASC 310-10'!J204)</f>
        <v/>
      </c>
      <c r="K204" s="584" t="n"/>
      <c r="L204" s="578">
        <f>IFERROR(A204,"")</f>
        <v/>
      </c>
      <c r="M204" s="849">
        <f>IF(' Impaired Loans ASC 310-10'!A204="","",' Impaired Loans ASC 310-10'!K204)</f>
        <v/>
      </c>
      <c r="N204" s="580">
        <f>IF(' Impaired Loans ASC 310-10'!A204="","",' Impaired Loans ASC 310-10'!L204)</f>
        <v/>
      </c>
      <c r="O204" s="581">
        <f>IF(' Impaired Loans ASC 310-10'!A204="","",' Impaired Loans ASC 310-10'!M204)</f>
        <v/>
      </c>
      <c r="P204" s="582">
        <f>IF(' Impaired Loans ASC 310-10'!A204="","",' Impaired Loans ASC 310-10'!O204)</f>
        <v/>
      </c>
      <c r="Q204" s="583">
        <f>IF(' Impaired Loans ASC 310-10'!A204="","",' Impaired Loans ASC 310-10'!N204)</f>
        <v/>
      </c>
      <c r="R204" s="583">
        <f>IF(' Impaired Loans ASC 310-10'!A204="","",' Impaired Loans ASC 310-10'!P204)</f>
        <v/>
      </c>
      <c r="S204" s="583">
        <f>IF(' Impaired Loans ASC 310-10'!A204="","",' Impaired Loans ASC 310-10'!Q204)</f>
        <v/>
      </c>
    </row>
    <row r="205">
      <c r="A205" s="573">
        <f>IF(' Impaired Loans ASC 310-10'!A205="","",' Impaired Loans ASC 310-10'!A205)</f>
        <v/>
      </c>
      <c r="B205" s="573">
        <f>IF(' Impaired Loans ASC 310-10'!B205="","",' Impaired Loans ASC 310-10'!B205)</f>
        <v/>
      </c>
      <c r="C205" s="573">
        <f>IF(' Impaired Loans ASC 310-10'!C205="","",' Impaired Loans ASC 310-10'!C205)</f>
        <v/>
      </c>
      <c r="D205" s="573">
        <f>IF(' Impaired Loans ASC 310-10'!D205="","",' Impaired Loans ASC 310-10'!D205)</f>
        <v/>
      </c>
      <c r="E205" s="574">
        <f>IF(' Impaired Loans ASC 310-10'!E205="","",' Impaired Loans ASC 310-10'!E205)</f>
        <v/>
      </c>
      <c r="F205" s="575">
        <f>IF(' Impaired Loans ASC 310-10'!F205="","",' Impaired Loans ASC 310-10'!F205)</f>
        <v/>
      </c>
      <c r="G205" s="574">
        <f>IF(' Impaired Loans ASC 310-10'!G205="","",' Impaired Loans ASC 310-10'!G205)</f>
        <v/>
      </c>
      <c r="H205" s="574">
        <f>IF(' Impaired Loans ASC 310-10'!H205="","",' Impaired Loans ASC 310-10'!H205)</f>
        <v/>
      </c>
      <c r="I205" s="574">
        <f>IF(' Impaired Loans ASC 310-10'!I205="","",' Impaired Loans ASC 310-10'!I205)</f>
        <v/>
      </c>
      <c r="J205" s="574">
        <f>IF(' Impaired Loans ASC 310-10'!J205="","",' Impaired Loans ASC 310-10'!J205)</f>
        <v/>
      </c>
      <c r="K205" s="584" t="n"/>
      <c r="L205" s="578">
        <f>IFERROR(A205,"")</f>
        <v/>
      </c>
      <c r="M205" s="849">
        <f>IF(' Impaired Loans ASC 310-10'!A205="","",' Impaired Loans ASC 310-10'!K205)</f>
        <v/>
      </c>
      <c r="N205" s="580">
        <f>IF(' Impaired Loans ASC 310-10'!A205="","",' Impaired Loans ASC 310-10'!L205)</f>
        <v/>
      </c>
      <c r="O205" s="581">
        <f>IF(' Impaired Loans ASC 310-10'!A205="","",' Impaired Loans ASC 310-10'!M205)</f>
        <v/>
      </c>
      <c r="P205" s="582">
        <f>IF(' Impaired Loans ASC 310-10'!A205="","",' Impaired Loans ASC 310-10'!O205)</f>
        <v/>
      </c>
      <c r="Q205" s="583">
        <f>IF(' Impaired Loans ASC 310-10'!A205="","",' Impaired Loans ASC 310-10'!N205)</f>
        <v/>
      </c>
      <c r="R205" s="583">
        <f>IF(' Impaired Loans ASC 310-10'!A205="","",' Impaired Loans ASC 310-10'!P205)</f>
        <v/>
      </c>
      <c r="S205" s="583">
        <f>IF(' Impaired Loans ASC 310-10'!A205="","",' Impaired Loans ASC 310-10'!Q205)</f>
        <v/>
      </c>
    </row>
    <row r="206">
      <c r="A206" s="573">
        <f>IF(' Impaired Loans ASC 310-10'!A206="","",' Impaired Loans ASC 310-10'!A206)</f>
        <v/>
      </c>
      <c r="B206" s="573">
        <f>IF(' Impaired Loans ASC 310-10'!B206="","",' Impaired Loans ASC 310-10'!B206)</f>
        <v/>
      </c>
      <c r="C206" s="573">
        <f>IF(' Impaired Loans ASC 310-10'!C206="","",' Impaired Loans ASC 310-10'!C206)</f>
        <v/>
      </c>
      <c r="D206" s="573">
        <f>IF(' Impaired Loans ASC 310-10'!D206="","",' Impaired Loans ASC 310-10'!D206)</f>
        <v/>
      </c>
      <c r="E206" s="574">
        <f>IF(' Impaired Loans ASC 310-10'!E206="","",' Impaired Loans ASC 310-10'!E206)</f>
        <v/>
      </c>
      <c r="F206" s="575">
        <f>IF(' Impaired Loans ASC 310-10'!F206="","",' Impaired Loans ASC 310-10'!F206)</f>
        <v/>
      </c>
      <c r="G206" s="574">
        <f>IF(' Impaired Loans ASC 310-10'!G206="","",' Impaired Loans ASC 310-10'!G206)</f>
        <v/>
      </c>
      <c r="H206" s="574">
        <f>IF(' Impaired Loans ASC 310-10'!H206="","",' Impaired Loans ASC 310-10'!H206)</f>
        <v/>
      </c>
      <c r="I206" s="574">
        <f>IF(' Impaired Loans ASC 310-10'!I206="","",' Impaired Loans ASC 310-10'!I206)</f>
        <v/>
      </c>
      <c r="J206" s="574">
        <f>IF(' Impaired Loans ASC 310-10'!J206="","",' Impaired Loans ASC 310-10'!J206)</f>
        <v/>
      </c>
      <c r="K206" s="584" t="n"/>
      <c r="L206" s="578">
        <f>IFERROR(A206,"")</f>
        <v/>
      </c>
      <c r="M206" s="849">
        <f>IF(' Impaired Loans ASC 310-10'!A206="","",' Impaired Loans ASC 310-10'!K206)</f>
        <v/>
      </c>
      <c r="N206" s="580">
        <f>IF(' Impaired Loans ASC 310-10'!A206="","",' Impaired Loans ASC 310-10'!L206)</f>
        <v/>
      </c>
      <c r="O206" s="581">
        <f>IF(' Impaired Loans ASC 310-10'!A206="","",' Impaired Loans ASC 310-10'!M206)</f>
        <v/>
      </c>
      <c r="P206" s="582">
        <f>IF(' Impaired Loans ASC 310-10'!A206="","",' Impaired Loans ASC 310-10'!O206)</f>
        <v/>
      </c>
      <c r="Q206" s="583">
        <f>IF(' Impaired Loans ASC 310-10'!A206="","",' Impaired Loans ASC 310-10'!N206)</f>
        <v/>
      </c>
      <c r="R206" s="583">
        <f>IF(' Impaired Loans ASC 310-10'!A206="","",' Impaired Loans ASC 310-10'!P206)</f>
        <v/>
      </c>
      <c r="S206" s="583">
        <f>IF(' Impaired Loans ASC 310-10'!A206="","",' Impaired Loans ASC 310-10'!Q206)</f>
        <v/>
      </c>
    </row>
    <row r="207">
      <c r="A207" s="573">
        <f>IF(' Impaired Loans ASC 310-10'!A207="","",' Impaired Loans ASC 310-10'!A207)</f>
        <v/>
      </c>
      <c r="B207" s="573">
        <f>IF(' Impaired Loans ASC 310-10'!B207="","",' Impaired Loans ASC 310-10'!B207)</f>
        <v/>
      </c>
      <c r="C207" s="573">
        <f>IF(' Impaired Loans ASC 310-10'!C207="","",' Impaired Loans ASC 310-10'!C207)</f>
        <v/>
      </c>
      <c r="D207" s="573">
        <f>IF(' Impaired Loans ASC 310-10'!D207="","",' Impaired Loans ASC 310-10'!D207)</f>
        <v/>
      </c>
      <c r="E207" s="574">
        <f>IF(' Impaired Loans ASC 310-10'!E207="","",' Impaired Loans ASC 310-10'!E207)</f>
        <v/>
      </c>
      <c r="F207" s="575">
        <f>IF(' Impaired Loans ASC 310-10'!F207="","",' Impaired Loans ASC 310-10'!F207)</f>
        <v/>
      </c>
      <c r="G207" s="574">
        <f>IF(' Impaired Loans ASC 310-10'!G207="","",' Impaired Loans ASC 310-10'!G207)</f>
        <v/>
      </c>
      <c r="H207" s="574">
        <f>IF(' Impaired Loans ASC 310-10'!H207="","",' Impaired Loans ASC 310-10'!H207)</f>
        <v/>
      </c>
      <c r="I207" s="574">
        <f>IF(' Impaired Loans ASC 310-10'!I207="","",' Impaired Loans ASC 310-10'!I207)</f>
        <v/>
      </c>
      <c r="J207" s="574">
        <f>IF(' Impaired Loans ASC 310-10'!J207="","",' Impaired Loans ASC 310-10'!J207)</f>
        <v/>
      </c>
      <c r="K207" s="584" t="n"/>
      <c r="L207" s="578">
        <f>IFERROR(A207,"")</f>
        <v/>
      </c>
      <c r="M207" s="849">
        <f>IF(' Impaired Loans ASC 310-10'!A207="","",' Impaired Loans ASC 310-10'!K207)</f>
        <v/>
      </c>
      <c r="N207" s="580">
        <f>IF(' Impaired Loans ASC 310-10'!A207="","",' Impaired Loans ASC 310-10'!L207)</f>
        <v/>
      </c>
      <c r="O207" s="581">
        <f>IF(' Impaired Loans ASC 310-10'!A207="","",' Impaired Loans ASC 310-10'!M207)</f>
        <v/>
      </c>
      <c r="P207" s="582">
        <f>IF(' Impaired Loans ASC 310-10'!A207="","",' Impaired Loans ASC 310-10'!O207)</f>
        <v/>
      </c>
      <c r="Q207" s="583">
        <f>IF(' Impaired Loans ASC 310-10'!A207="","",' Impaired Loans ASC 310-10'!N207)</f>
        <v/>
      </c>
      <c r="R207" s="583">
        <f>IF(' Impaired Loans ASC 310-10'!A207="","",' Impaired Loans ASC 310-10'!P207)</f>
        <v/>
      </c>
      <c r="S207" s="583">
        <f>IF(' Impaired Loans ASC 310-10'!A207="","",' Impaired Loans ASC 310-10'!Q207)</f>
        <v/>
      </c>
    </row>
    <row r="208">
      <c r="A208" s="573">
        <f>IF(' Impaired Loans ASC 310-10'!A208="","",' Impaired Loans ASC 310-10'!A208)</f>
        <v/>
      </c>
      <c r="B208" s="573">
        <f>IF(' Impaired Loans ASC 310-10'!B208="","",' Impaired Loans ASC 310-10'!B208)</f>
        <v/>
      </c>
      <c r="C208" s="573">
        <f>IF(' Impaired Loans ASC 310-10'!C208="","",' Impaired Loans ASC 310-10'!C208)</f>
        <v/>
      </c>
      <c r="D208" s="573">
        <f>IF(' Impaired Loans ASC 310-10'!D208="","",' Impaired Loans ASC 310-10'!D208)</f>
        <v/>
      </c>
      <c r="E208" s="574">
        <f>IF(' Impaired Loans ASC 310-10'!E208="","",' Impaired Loans ASC 310-10'!E208)</f>
        <v/>
      </c>
      <c r="F208" s="575">
        <f>IF(' Impaired Loans ASC 310-10'!F208="","",' Impaired Loans ASC 310-10'!F208)</f>
        <v/>
      </c>
      <c r="G208" s="574">
        <f>IF(' Impaired Loans ASC 310-10'!G208="","",' Impaired Loans ASC 310-10'!G208)</f>
        <v/>
      </c>
      <c r="H208" s="574">
        <f>IF(' Impaired Loans ASC 310-10'!H208="","",' Impaired Loans ASC 310-10'!H208)</f>
        <v/>
      </c>
      <c r="I208" s="574">
        <f>IF(' Impaired Loans ASC 310-10'!I208="","",' Impaired Loans ASC 310-10'!I208)</f>
        <v/>
      </c>
      <c r="J208" s="574">
        <f>IF(' Impaired Loans ASC 310-10'!J208="","",' Impaired Loans ASC 310-10'!J208)</f>
        <v/>
      </c>
      <c r="K208" s="584" t="n"/>
      <c r="L208" s="578">
        <f>IFERROR(A208,"")</f>
        <v/>
      </c>
      <c r="M208" s="849">
        <f>IF(' Impaired Loans ASC 310-10'!A208="","",' Impaired Loans ASC 310-10'!K208)</f>
        <v/>
      </c>
      <c r="N208" s="580">
        <f>IF(' Impaired Loans ASC 310-10'!A208="","",' Impaired Loans ASC 310-10'!L208)</f>
        <v/>
      </c>
      <c r="O208" s="581">
        <f>IF(' Impaired Loans ASC 310-10'!A208="","",' Impaired Loans ASC 310-10'!M208)</f>
        <v/>
      </c>
      <c r="P208" s="582">
        <f>IF(' Impaired Loans ASC 310-10'!A208="","",' Impaired Loans ASC 310-10'!O208)</f>
        <v/>
      </c>
      <c r="Q208" s="583">
        <f>IF(' Impaired Loans ASC 310-10'!A208="","",' Impaired Loans ASC 310-10'!N208)</f>
        <v/>
      </c>
      <c r="R208" s="583">
        <f>IF(' Impaired Loans ASC 310-10'!A208="","",' Impaired Loans ASC 310-10'!P208)</f>
        <v/>
      </c>
      <c r="S208" s="583">
        <f>IF(' Impaired Loans ASC 310-10'!A208="","",' Impaired Loans ASC 310-10'!Q208)</f>
        <v/>
      </c>
    </row>
    <row r="209">
      <c r="A209" s="573">
        <f>IF(' Impaired Loans ASC 310-10'!A209="","",' Impaired Loans ASC 310-10'!A209)</f>
        <v/>
      </c>
      <c r="B209" s="573">
        <f>IF(' Impaired Loans ASC 310-10'!B209="","",' Impaired Loans ASC 310-10'!B209)</f>
        <v/>
      </c>
      <c r="C209" s="573">
        <f>IF(' Impaired Loans ASC 310-10'!C209="","",' Impaired Loans ASC 310-10'!C209)</f>
        <v/>
      </c>
      <c r="D209" s="573">
        <f>IF(' Impaired Loans ASC 310-10'!D209="","",' Impaired Loans ASC 310-10'!D209)</f>
        <v/>
      </c>
      <c r="E209" s="574">
        <f>IF(' Impaired Loans ASC 310-10'!E209="","",' Impaired Loans ASC 310-10'!E209)</f>
        <v/>
      </c>
      <c r="F209" s="575">
        <f>IF(' Impaired Loans ASC 310-10'!F209="","",' Impaired Loans ASC 310-10'!F209)</f>
        <v/>
      </c>
      <c r="G209" s="574">
        <f>IF(' Impaired Loans ASC 310-10'!G209="","",' Impaired Loans ASC 310-10'!G209)</f>
        <v/>
      </c>
      <c r="H209" s="574">
        <f>IF(' Impaired Loans ASC 310-10'!H209="","",' Impaired Loans ASC 310-10'!H209)</f>
        <v/>
      </c>
      <c r="I209" s="574">
        <f>IF(' Impaired Loans ASC 310-10'!I209="","",' Impaired Loans ASC 310-10'!I209)</f>
        <v/>
      </c>
      <c r="J209" s="574">
        <f>IF(' Impaired Loans ASC 310-10'!J209="","",' Impaired Loans ASC 310-10'!J209)</f>
        <v/>
      </c>
      <c r="K209" s="584" t="n"/>
      <c r="L209" s="578">
        <f>IFERROR(A209,"")</f>
        <v/>
      </c>
      <c r="M209" s="849">
        <f>IF(' Impaired Loans ASC 310-10'!A209="","",' Impaired Loans ASC 310-10'!K209)</f>
        <v/>
      </c>
      <c r="N209" s="580">
        <f>IF(' Impaired Loans ASC 310-10'!A209="","",' Impaired Loans ASC 310-10'!L209)</f>
        <v/>
      </c>
      <c r="O209" s="581">
        <f>IF(' Impaired Loans ASC 310-10'!A209="","",' Impaired Loans ASC 310-10'!M209)</f>
        <v/>
      </c>
      <c r="P209" s="582">
        <f>IF(' Impaired Loans ASC 310-10'!A209="","",' Impaired Loans ASC 310-10'!O209)</f>
        <v/>
      </c>
      <c r="Q209" s="583">
        <f>IF(' Impaired Loans ASC 310-10'!A209="","",' Impaired Loans ASC 310-10'!N209)</f>
        <v/>
      </c>
      <c r="R209" s="583">
        <f>IF(' Impaired Loans ASC 310-10'!A209="","",' Impaired Loans ASC 310-10'!P209)</f>
        <v/>
      </c>
      <c r="S209" s="583">
        <f>IF(' Impaired Loans ASC 310-10'!A209="","",' Impaired Loans ASC 310-10'!Q209)</f>
        <v/>
      </c>
    </row>
    <row r="210">
      <c r="A210" s="573">
        <f>IF(' Impaired Loans ASC 310-10'!A210="","",' Impaired Loans ASC 310-10'!A210)</f>
        <v/>
      </c>
      <c r="B210" s="573">
        <f>IF(' Impaired Loans ASC 310-10'!B210="","",' Impaired Loans ASC 310-10'!B210)</f>
        <v/>
      </c>
      <c r="C210" s="573">
        <f>IF(' Impaired Loans ASC 310-10'!C210="","",' Impaired Loans ASC 310-10'!C210)</f>
        <v/>
      </c>
      <c r="D210" s="573">
        <f>IF(' Impaired Loans ASC 310-10'!D210="","",' Impaired Loans ASC 310-10'!D210)</f>
        <v/>
      </c>
      <c r="E210" s="574">
        <f>IF(' Impaired Loans ASC 310-10'!E210="","",' Impaired Loans ASC 310-10'!E210)</f>
        <v/>
      </c>
      <c r="F210" s="575">
        <f>IF(' Impaired Loans ASC 310-10'!F210="","",' Impaired Loans ASC 310-10'!F210)</f>
        <v/>
      </c>
      <c r="G210" s="574">
        <f>IF(' Impaired Loans ASC 310-10'!G210="","",' Impaired Loans ASC 310-10'!G210)</f>
        <v/>
      </c>
      <c r="H210" s="574">
        <f>IF(' Impaired Loans ASC 310-10'!H210="","",' Impaired Loans ASC 310-10'!H210)</f>
        <v/>
      </c>
      <c r="I210" s="574">
        <f>IF(' Impaired Loans ASC 310-10'!I210="","",' Impaired Loans ASC 310-10'!I210)</f>
        <v/>
      </c>
      <c r="J210" s="574">
        <f>IF(' Impaired Loans ASC 310-10'!J210="","",' Impaired Loans ASC 310-10'!J210)</f>
        <v/>
      </c>
      <c r="K210" s="584" t="n"/>
      <c r="L210" s="578">
        <f>IFERROR(A210,"")</f>
        <v/>
      </c>
      <c r="M210" s="849">
        <f>IF(' Impaired Loans ASC 310-10'!A210="","",' Impaired Loans ASC 310-10'!K210)</f>
        <v/>
      </c>
      <c r="N210" s="580">
        <f>IF(' Impaired Loans ASC 310-10'!A210="","",' Impaired Loans ASC 310-10'!L210)</f>
        <v/>
      </c>
      <c r="O210" s="581">
        <f>IF(' Impaired Loans ASC 310-10'!A210="","",' Impaired Loans ASC 310-10'!M210)</f>
        <v/>
      </c>
      <c r="P210" s="582">
        <f>IF(' Impaired Loans ASC 310-10'!A210="","",' Impaired Loans ASC 310-10'!O210)</f>
        <v/>
      </c>
      <c r="Q210" s="583">
        <f>IF(' Impaired Loans ASC 310-10'!A210="","",' Impaired Loans ASC 310-10'!N210)</f>
        <v/>
      </c>
      <c r="R210" s="583">
        <f>IF(' Impaired Loans ASC 310-10'!A210="","",' Impaired Loans ASC 310-10'!P210)</f>
        <v/>
      </c>
      <c r="S210" s="583">
        <f>IF(' Impaired Loans ASC 310-10'!A210="","",' Impaired Loans ASC 310-10'!Q210)</f>
        <v/>
      </c>
    </row>
    <row r="211">
      <c r="A211" s="573">
        <f>IF(' Impaired Loans ASC 310-10'!A211="","",' Impaired Loans ASC 310-10'!A211)</f>
        <v/>
      </c>
      <c r="B211" s="573">
        <f>IF(' Impaired Loans ASC 310-10'!B211="","",' Impaired Loans ASC 310-10'!B211)</f>
        <v/>
      </c>
      <c r="C211" s="573">
        <f>IF(' Impaired Loans ASC 310-10'!C211="","",' Impaired Loans ASC 310-10'!C211)</f>
        <v/>
      </c>
      <c r="D211" s="573">
        <f>IF(' Impaired Loans ASC 310-10'!D211="","",' Impaired Loans ASC 310-10'!D211)</f>
        <v/>
      </c>
      <c r="E211" s="574">
        <f>IF(' Impaired Loans ASC 310-10'!E211="","",' Impaired Loans ASC 310-10'!E211)</f>
        <v/>
      </c>
      <c r="F211" s="575">
        <f>IF(' Impaired Loans ASC 310-10'!F211="","",' Impaired Loans ASC 310-10'!F211)</f>
        <v/>
      </c>
      <c r="G211" s="574">
        <f>IF(' Impaired Loans ASC 310-10'!G211="","",' Impaired Loans ASC 310-10'!G211)</f>
        <v/>
      </c>
      <c r="H211" s="574">
        <f>IF(' Impaired Loans ASC 310-10'!H211="","",' Impaired Loans ASC 310-10'!H211)</f>
        <v/>
      </c>
      <c r="I211" s="574">
        <f>IF(' Impaired Loans ASC 310-10'!I211="","",' Impaired Loans ASC 310-10'!I211)</f>
        <v/>
      </c>
      <c r="J211" s="574">
        <f>IF(' Impaired Loans ASC 310-10'!J211="","",' Impaired Loans ASC 310-10'!J211)</f>
        <v/>
      </c>
      <c r="K211" s="584" t="n"/>
      <c r="L211" s="578">
        <f>IFERROR(A211,"")</f>
        <v/>
      </c>
      <c r="M211" s="849">
        <f>IF(' Impaired Loans ASC 310-10'!A211="","",' Impaired Loans ASC 310-10'!K211)</f>
        <v/>
      </c>
      <c r="N211" s="580">
        <f>IF(' Impaired Loans ASC 310-10'!A211="","",' Impaired Loans ASC 310-10'!L211)</f>
        <v/>
      </c>
      <c r="O211" s="581">
        <f>IF(' Impaired Loans ASC 310-10'!A211="","",' Impaired Loans ASC 310-10'!M211)</f>
        <v/>
      </c>
      <c r="P211" s="582">
        <f>IF(' Impaired Loans ASC 310-10'!A211="","",' Impaired Loans ASC 310-10'!O211)</f>
        <v/>
      </c>
      <c r="Q211" s="583">
        <f>IF(' Impaired Loans ASC 310-10'!A211="","",' Impaired Loans ASC 310-10'!N211)</f>
        <v/>
      </c>
      <c r="R211" s="583">
        <f>IF(' Impaired Loans ASC 310-10'!A211="","",' Impaired Loans ASC 310-10'!P211)</f>
        <v/>
      </c>
      <c r="S211" s="583">
        <f>IF(' Impaired Loans ASC 310-10'!A211="","",' Impaired Loans ASC 310-10'!Q211)</f>
        <v/>
      </c>
    </row>
    <row r="212">
      <c r="A212" s="573">
        <f>IF(' Impaired Loans ASC 310-10'!A212="","",' Impaired Loans ASC 310-10'!A212)</f>
        <v/>
      </c>
      <c r="B212" s="573">
        <f>IF(' Impaired Loans ASC 310-10'!B212="","",' Impaired Loans ASC 310-10'!B212)</f>
        <v/>
      </c>
      <c r="C212" s="573">
        <f>IF(' Impaired Loans ASC 310-10'!C212="","",' Impaired Loans ASC 310-10'!C212)</f>
        <v/>
      </c>
      <c r="D212" s="573">
        <f>IF(' Impaired Loans ASC 310-10'!D212="","",' Impaired Loans ASC 310-10'!D212)</f>
        <v/>
      </c>
      <c r="E212" s="574">
        <f>IF(' Impaired Loans ASC 310-10'!E212="","",' Impaired Loans ASC 310-10'!E212)</f>
        <v/>
      </c>
      <c r="F212" s="575">
        <f>IF(' Impaired Loans ASC 310-10'!F212="","",' Impaired Loans ASC 310-10'!F212)</f>
        <v/>
      </c>
      <c r="G212" s="574">
        <f>IF(' Impaired Loans ASC 310-10'!G212="","",' Impaired Loans ASC 310-10'!G212)</f>
        <v/>
      </c>
      <c r="H212" s="574">
        <f>IF(' Impaired Loans ASC 310-10'!H212="","",' Impaired Loans ASC 310-10'!H212)</f>
        <v/>
      </c>
      <c r="I212" s="574">
        <f>IF(' Impaired Loans ASC 310-10'!I212="","",' Impaired Loans ASC 310-10'!I212)</f>
        <v/>
      </c>
      <c r="J212" s="574">
        <f>IF(' Impaired Loans ASC 310-10'!J212="","",' Impaired Loans ASC 310-10'!J212)</f>
        <v/>
      </c>
      <c r="K212" s="584" t="n"/>
      <c r="L212" s="578">
        <f>IFERROR(A212,"")</f>
        <v/>
      </c>
      <c r="M212" s="849">
        <f>IF(' Impaired Loans ASC 310-10'!A212="","",' Impaired Loans ASC 310-10'!K212)</f>
        <v/>
      </c>
      <c r="N212" s="580">
        <f>IF(' Impaired Loans ASC 310-10'!A212="","",' Impaired Loans ASC 310-10'!L212)</f>
        <v/>
      </c>
      <c r="O212" s="581">
        <f>IF(' Impaired Loans ASC 310-10'!A212="","",' Impaired Loans ASC 310-10'!M212)</f>
        <v/>
      </c>
      <c r="P212" s="582">
        <f>IF(' Impaired Loans ASC 310-10'!A212="","",' Impaired Loans ASC 310-10'!O212)</f>
        <v/>
      </c>
      <c r="Q212" s="583">
        <f>IF(' Impaired Loans ASC 310-10'!A212="","",' Impaired Loans ASC 310-10'!N212)</f>
        <v/>
      </c>
      <c r="R212" s="583">
        <f>IF(' Impaired Loans ASC 310-10'!A212="","",' Impaired Loans ASC 310-10'!P212)</f>
        <v/>
      </c>
      <c r="S212" s="583">
        <f>IF(' Impaired Loans ASC 310-10'!A212="","",' Impaired Loans ASC 310-10'!Q212)</f>
        <v/>
      </c>
    </row>
    <row r="213">
      <c r="A213" s="573">
        <f>IF(' Impaired Loans ASC 310-10'!A213="","",' Impaired Loans ASC 310-10'!A213)</f>
        <v/>
      </c>
      <c r="B213" s="573">
        <f>IF(' Impaired Loans ASC 310-10'!B213="","",' Impaired Loans ASC 310-10'!B213)</f>
        <v/>
      </c>
      <c r="C213" s="573">
        <f>IF(' Impaired Loans ASC 310-10'!C213="","",' Impaired Loans ASC 310-10'!C213)</f>
        <v/>
      </c>
      <c r="D213" s="573">
        <f>IF(' Impaired Loans ASC 310-10'!D213="","",' Impaired Loans ASC 310-10'!D213)</f>
        <v/>
      </c>
      <c r="E213" s="574">
        <f>IF(' Impaired Loans ASC 310-10'!E213="","",' Impaired Loans ASC 310-10'!E213)</f>
        <v/>
      </c>
      <c r="F213" s="575">
        <f>IF(' Impaired Loans ASC 310-10'!F213="","",' Impaired Loans ASC 310-10'!F213)</f>
        <v/>
      </c>
      <c r="G213" s="574">
        <f>IF(' Impaired Loans ASC 310-10'!G213="","",' Impaired Loans ASC 310-10'!G213)</f>
        <v/>
      </c>
      <c r="H213" s="574">
        <f>IF(' Impaired Loans ASC 310-10'!H213="","",' Impaired Loans ASC 310-10'!H213)</f>
        <v/>
      </c>
      <c r="I213" s="574">
        <f>IF(' Impaired Loans ASC 310-10'!I213="","",' Impaired Loans ASC 310-10'!I213)</f>
        <v/>
      </c>
      <c r="J213" s="574">
        <f>IF(' Impaired Loans ASC 310-10'!J213="","",' Impaired Loans ASC 310-10'!J213)</f>
        <v/>
      </c>
      <c r="K213" s="584" t="n"/>
      <c r="L213" s="578">
        <f>IFERROR(A213,"")</f>
        <v/>
      </c>
      <c r="M213" s="849">
        <f>IF(' Impaired Loans ASC 310-10'!A213="","",' Impaired Loans ASC 310-10'!K213)</f>
        <v/>
      </c>
      <c r="N213" s="580">
        <f>IF(' Impaired Loans ASC 310-10'!A213="","",' Impaired Loans ASC 310-10'!L213)</f>
        <v/>
      </c>
      <c r="O213" s="581">
        <f>IF(' Impaired Loans ASC 310-10'!A213="","",' Impaired Loans ASC 310-10'!M213)</f>
        <v/>
      </c>
      <c r="P213" s="582">
        <f>IF(' Impaired Loans ASC 310-10'!A213="","",' Impaired Loans ASC 310-10'!O213)</f>
        <v/>
      </c>
      <c r="Q213" s="583">
        <f>IF(' Impaired Loans ASC 310-10'!A213="","",' Impaired Loans ASC 310-10'!N213)</f>
        <v/>
      </c>
      <c r="R213" s="583">
        <f>IF(' Impaired Loans ASC 310-10'!A213="","",' Impaired Loans ASC 310-10'!P213)</f>
        <v/>
      </c>
      <c r="S213" s="583">
        <f>IF(' Impaired Loans ASC 310-10'!A213="","",' Impaired Loans ASC 310-10'!Q213)</f>
        <v/>
      </c>
    </row>
    <row r="214">
      <c r="A214" s="573">
        <f>IF(' Impaired Loans ASC 310-10'!A214="","",' Impaired Loans ASC 310-10'!A214)</f>
        <v/>
      </c>
      <c r="B214" s="573">
        <f>IF(' Impaired Loans ASC 310-10'!B214="","",' Impaired Loans ASC 310-10'!B214)</f>
        <v/>
      </c>
      <c r="C214" s="573">
        <f>IF(' Impaired Loans ASC 310-10'!C214="","",' Impaired Loans ASC 310-10'!C214)</f>
        <v/>
      </c>
      <c r="D214" s="573">
        <f>IF(' Impaired Loans ASC 310-10'!D214="","",' Impaired Loans ASC 310-10'!D214)</f>
        <v/>
      </c>
      <c r="E214" s="574">
        <f>IF(' Impaired Loans ASC 310-10'!E214="","",' Impaired Loans ASC 310-10'!E214)</f>
        <v/>
      </c>
      <c r="F214" s="575">
        <f>IF(' Impaired Loans ASC 310-10'!F214="","",' Impaired Loans ASC 310-10'!F214)</f>
        <v/>
      </c>
      <c r="G214" s="574">
        <f>IF(' Impaired Loans ASC 310-10'!G214="","",' Impaired Loans ASC 310-10'!G214)</f>
        <v/>
      </c>
      <c r="H214" s="574">
        <f>IF(' Impaired Loans ASC 310-10'!H214="","",' Impaired Loans ASC 310-10'!H214)</f>
        <v/>
      </c>
      <c r="I214" s="574">
        <f>IF(' Impaired Loans ASC 310-10'!I214="","",' Impaired Loans ASC 310-10'!I214)</f>
        <v/>
      </c>
      <c r="J214" s="574">
        <f>IF(' Impaired Loans ASC 310-10'!J214="","",' Impaired Loans ASC 310-10'!J214)</f>
        <v/>
      </c>
      <c r="K214" s="584" t="n"/>
      <c r="L214" s="578">
        <f>IFERROR(A214,"")</f>
        <v/>
      </c>
      <c r="M214" s="849">
        <f>IF(' Impaired Loans ASC 310-10'!A214="","",' Impaired Loans ASC 310-10'!K214)</f>
        <v/>
      </c>
      <c r="N214" s="580">
        <f>IF(' Impaired Loans ASC 310-10'!A214="","",' Impaired Loans ASC 310-10'!L214)</f>
        <v/>
      </c>
      <c r="O214" s="581">
        <f>IF(' Impaired Loans ASC 310-10'!A214="","",' Impaired Loans ASC 310-10'!M214)</f>
        <v/>
      </c>
      <c r="P214" s="582">
        <f>IF(' Impaired Loans ASC 310-10'!A214="","",' Impaired Loans ASC 310-10'!O214)</f>
        <v/>
      </c>
      <c r="Q214" s="583">
        <f>IF(' Impaired Loans ASC 310-10'!A214="","",' Impaired Loans ASC 310-10'!N214)</f>
        <v/>
      </c>
      <c r="R214" s="583">
        <f>IF(' Impaired Loans ASC 310-10'!A214="","",' Impaired Loans ASC 310-10'!P214)</f>
        <v/>
      </c>
      <c r="S214" s="583">
        <f>IF(' Impaired Loans ASC 310-10'!A214="","",' Impaired Loans ASC 310-10'!Q214)</f>
        <v/>
      </c>
    </row>
    <row r="215">
      <c r="A215" s="573">
        <f>IF(' Impaired Loans ASC 310-10'!A215="","",' Impaired Loans ASC 310-10'!A215)</f>
        <v/>
      </c>
      <c r="B215" s="573">
        <f>IF(' Impaired Loans ASC 310-10'!B215="","",' Impaired Loans ASC 310-10'!B215)</f>
        <v/>
      </c>
      <c r="C215" s="573">
        <f>IF(' Impaired Loans ASC 310-10'!C215="","",' Impaired Loans ASC 310-10'!C215)</f>
        <v/>
      </c>
      <c r="D215" s="573">
        <f>IF(' Impaired Loans ASC 310-10'!D215="","",' Impaired Loans ASC 310-10'!D215)</f>
        <v/>
      </c>
      <c r="E215" s="574">
        <f>IF(' Impaired Loans ASC 310-10'!E215="","",' Impaired Loans ASC 310-10'!E215)</f>
        <v/>
      </c>
      <c r="F215" s="575">
        <f>IF(' Impaired Loans ASC 310-10'!F215="","",' Impaired Loans ASC 310-10'!F215)</f>
        <v/>
      </c>
      <c r="G215" s="574">
        <f>IF(' Impaired Loans ASC 310-10'!G215="","",' Impaired Loans ASC 310-10'!G215)</f>
        <v/>
      </c>
      <c r="H215" s="574">
        <f>IF(' Impaired Loans ASC 310-10'!H215="","",' Impaired Loans ASC 310-10'!H215)</f>
        <v/>
      </c>
      <c r="I215" s="574">
        <f>IF(' Impaired Loans ASC 310-10'!I215="","",' Impaired Loans ASC 310-10'!I215)</f>
        <v/>
      </c>
      <c r="J215" s="574">
        <f>IF(' Impaired Loans ASC 310-10'!J215="","",' Impaired Loans ASC 310-10'!J215)</f>
        <v/>
      </c>
      <c r="K215" s="584" t="n"/>
      <c r="L215" s="578">
        <f>IFERROR(A215,"")</f>
        <v/>
      </c>
      <c r="M215" s="849">
        <f>IF(' Impaired Loans ASC 310-10'!A215="","",' Impaired Loans ASC 310-10'!K215)</f>
        <v/>
      </c>
      <c r="N215" s="580">
        <f>IF(' Impaired Loans ASC 310-10'!A215="","",' Impaired Loans ASC 310-10'!L215)</f>
        <v/>
      </c>
      <c r="O215" s="581">
        <f>IF(' Impaired Loans ASC 310-10'!A215="","",' Impaired Loans ASC 310-10'!M215)</f>
        <v/>
      </c>
      <c r="P215" s="582">
        <f>IF(' Impaired Loans ASC 310-10'!A215="","",' Impaired Loans ASC 310-10'!O215)</f>
        <v/>
      </c>
      <c r="Q215" s="583">
        <f>IF(' Impaired Loans ASC 310-10'!A215="","",' Impaired Loans ASC 310-10'!N215)</f>
        <v/>
      </c>
      <c r="R215" s="583">
        <f>IF(' Impaired Loans ASC 310-10'!A215="","",' Impaired Loans ASC 310-10'!P215)</f>
        <v/>
      </c>
      <c r="S215" s="583">
        <f>IF(' Impaired Loans ASC 310-10'!A215="","",' Impaired Loans ASC 310-10'!Q215)</f>
        <v/>
      </c>
    </row>
    <row r="216">
      <c r="A216" s="573">
        <f>IF(' Impaired Loans ASC 310-10'!A216="","",' Impaired Loans ASC 310-10'!A216)</f>
        <v/>
      </c>
      <c r="B216" s="573">
        <f>IF(' Impaired Loans ASC 310-10'!B216="","",' Impaired Loans ASC 310-10'!B216)</f>
        <v/>
      </c>
      <c r="C216" s="573">
        <f>IF(' Impaired Loans ASC 310-10'!C216="","",' Impaired Loans ASC 310-10'!C216)</f>
        <v/>
      </c>
      <c r="D216" s="573">
        <f>IF(' Impaired Loans ASC 310-10'!D216="","",' Impaired Loans ASC 310-10'!D216)</f>
        <v/>
      </c>
      <c r="E216" s="574">
        <f>IF(' Impaired Loans ASC 310-10'!E216="","",' Impaired Loans ASC 310-10'!E216)</f>
        <v/>
      </c>
      <c r="F216" s="575">
        <f>IF(' Impaired Loans ASC 310-10'!F216="","",' Impaired Loans ASC 310-10'!F216)</f>
        <v/>
      </c>
      <c r="G216" s="574">
        <f>IF(' Impaired Loans ASC 310-10'!G216="","",' Impaired Loans ASC 310-10'!G216)</f>
        <v/>
      </c>
      <c r="H216" s="574">
        <f>IF(' Impaired Loans ASC 310-10'!H216="","",' Impaired Loans ASC 310-10'!H216)</f>
        <v/>
      </c>
      <c r="I216" s="574">
        <f>IF(' Impaired Loans ASC 310-10'!I216="","",' Impaired Loans ASC 310-10'!I216)</f>
        <v/>
      </c>
      <c r="J216" s="574">
        <f>IF(' Impaired Loans ASC 310-10'!J216="","",' Impaired Loans ASC 310-10'!J216)</f>
        <v/>
      </c>
      <c r="K216" s="584" t="n"/>
      <c r="L216" s="578">
        <f>IFERROR(A216,"")</f>
        <v/>
      </c>
      <c r="M216" s="849">
        <f>IF(' Impaired Loans ASC 310-10'!A216="","",' Impaired Loans ASC 310-10'!K216)</f>
        <v/>
      </c>
      <c r="N216" s="580">
        <f>IF(' Impaired Loans ASC 310-10'!A216="","",' Impaired Loans ASC 310-10'!L216)</f>
        <v/>
      </c>
      <c r="O216" s="581">
        <f>IF(' Impaired Loans ASC 310-10'!A216="","",' Impaired Loans ASC 310-10'!M216)</f>
        <v/>
      </c>
      <c r="P216" s="582">
        <f>IF(' Impaired Loans ASC 310-10'!A216="","",' Impaired Loans ASC 310-10'!O216)</f>
        <v/>
      </c>
      <c r="Q216" s="583">
        <f>IF(' Impaired Loans ASC 310-10'!A216="","",' Impaired Loans ASC 310-10'!N216)</f>
        <v/>
      </c>
      <c r="R216" s="583">
        <f>IF(' Impaired Loans ASC 310-10'!A216="","",' Impaired Loans ASC 310-10'!P216)</f>
        <v/>
      </c>
      <c r="S216" s="583">
        <f>IF(' Impaired Loans ASC 310-10'!A216="","",' Impaired Loans ASC 310-10'!Q216)</f>
        <v/>
      </c>
    </row>
    <row r="217">
      <c r="A217" s="573">
        <f>IF(' Impaired Loans ASC 310-10'!A217="","",' Impaired Loans ASC 310-10'!A217)</f>
        <v/>
      </c>
      <c r="B217" s="573">
        <f>IF(' Impaired Loans ASC 310-10'!B217="","",' Impaired Loans ASC 310-10'!B217)</f>
        <v/>
      </c>
      <c r="C217" s="573">
        <f>IF(' Impaired Loans ASC 310-10'!C217="","",' Impaired Loans ASC 310-10'!C217)</f>
        <v/>
      </c>
      <c r="D217" s="573">
        <f>IF(' Impaired Loans ASC 310-10'!D217="","",' Impaired Loans ASC 310-10'!D217)</f>
        <v/>
      </c>
      <c r="E217" s="574">
        <f>IF(' Impaired Loans ASC 310-10'!E217="","",' Impaired Loans ASC 310-10'!E217)</f>
        <v/>
      </c>
      <c r="F217" s="575">
        <f>IF(' Impaired Loans ASC 310-10'!F217="","",' Impaired Loans ASC 310-10'!F217)</f>
        <v/>
      </c>
      <c r="G217" s="574">
        <f>IF(' Impaired Loans ASC 310-10'!G217="","",' Impaired Loans ASC 310-10'!G217)</f>
        <v/>
      </c>
      <c r="H217" s="574">
        <f>IF(' Impaired Loans ASC 310-10'!H217="","",' Impaired Loans ASC 310-10'!H217)</f>
        <v/>
      </c>
      <c r="I217" s="574">
        <f>IF(' Impaired Loans ASC 310-10'!I217="","",' Impaired Loans ASC 310-10'!I217)</f>
        <v/>
      </c>
      <c r="J217" s="574">
        <f>IF(' Impaired Loans ASC 310-10'!J217="","",' Impaired Loans ASC 310-10'!J217)</f>
        <v/>
      </c>
      <c r="K217" s="584" t="n"/>
      <c r="L217" s="578">
        <f>IFERROR(A217,"")</f>
        <v/>
      </c>
      <c r="M217" s="849">
        <f>IF(' Impaired Loans ASC 310-10'!A217="","",' Impaired Loans ASC 310-10'!K217)</f>
        <v/>
      </c>
      <c r="N217" s="580">
        <f>IF(' Impaired Loans ASC 310-10'!A217="","",' Impaired Loans ASC 310-10'!L217)</f>
        <v/>
      </c>
      <c r="O217" s="581">
        <f>IF(' Impaired Loans ASC 310-10'!A217="","",' Impaired Loans ASC 310-10'!M217)</f>
        <v/>
      </c>
      <c r="P217" s="582">
        <f>IF(' Impaired Loans ASC 310-10'!A217="","",' Impaired Loans ASC 310-10'!O217)</f>
        <v/>
      </c>
      <c r="Q217" s="583">
        <f>IF(' Impaired Loans ASC 310-10'!A217="","",' Impaired Loans ASC 310-10'!N217)</f>
        <v/>
      </c>
      <c r="R217" s="583">
        <f>IF(' Impaired Loans ASC 310-10'!A217="","",' Impaired Loans ASC 310-10'!P217)</f>
        <v/>
      </c>
      <c r="S217" s="583">
        <f>IF(' Impaired Loans ASC 310-10'!A217="","",' Impaired Loans ASC 310-10'!Q217)</f>
        <v/>
      </c>
    </row>
    <row r="218">
      <c r="A218" s="573">
        <f>IF(' Impaired Loans ASC 310-10'!A218="","",' Impaired Loans ASC 310-10'!A218)</f>
        <v/>
      </c>
      <c r="B218" s="573">
        <f>IF(' Impaired Loans ASC 310-10'!B218="","",' Impaired Loans ASC 310-10'!B218)</f>
        <v/>
      </c>
      <c r="C218" s="573">
        <f>IF(' Impaired Loans ASC 310-10'!C218="","",' Impaired Loans ASC 310-10'!C218)</f>
        <v/>
      </c>
      <c r="D218" s="573">
        <f>IF(' Impaired Loans ASC 310-10'!D218="","",' Impaired Loans ASC 310-10'!D218)</f>
        <v/>
      </c>
      <c r="E218" s="574">
        <f>IF(' Impaired Loans ASC 310-10'!E218="","",' Impaired Loans ASC 310-10'!E218)</f>
        <v/>
      </c>
      <c r="F218" s="575">
        <f>IF(' Impaired Loans ASC 310-10'!F218="","",' Impaired Loans ASC 310-10'!F218)</f>
        <v/>
      </c>
      <c r="G218" s="574">
        <f>IF(' Impaired Loans ASC 310-10'!G218="","",' Impaired Loans ASC 310-10'!G218)</f>
        <v/>
      </c>
      <c r="H218" s="574">
        <f>IF(' Impaired Loans ASC 310-10'!H218="","",' Impaired Loans ASC 310-10'!H218)</f>
        <v/>
      </c>
      <c r="I218" s="574">
        <f>IF(' Impaired Loans ASC 310-10'!I218="","",' Impaired Loans ASC 310-10'!I218)</f>
        <v/>
      </c>
      <c r="J218" s="574">
        <f>IF(' Impaired Loans ASC 310-10'!J218="","",' Impaired Loans ASC 310-10'!J218)</f>
        <v/>
      </c>
      <c r="K218" s="584" t="n"/>
      <c r="L218" s="578">
        <f>IFERROR(A218,"")</f>
        <v/>
      </c>
      <c r="M218" s="849">
        <f>IF(' Impaired Loans ASC 310-10'!A218="","",' Impaired Loans ASC 310-10'!K218)</f>
        <v/>
      </c>
      <c r="N218" s="580">
        <f>IF(' Impaired Loans ASC 310-10'!A218="","",' Impaired Loans ASC 310-10'!L218)</f>
        <v/>
      </c>
      <c r="O218" s="581">
        <f>IF(' Impaired Loans ASC 310-10'!A218="","",' Impaired Loans ASC 310-10'!M218)</f>
        <v/>
      </c>
      <c r="P218" s="582">
        <f>IF(' Impaired Loans ASC 310-10'!A218="","",' Impaired Loans ASC 310-10'!O218)</f>
        <v/>
      </c>
      <c r="Q218" s="583">
        <f>IF(' Impaired Loans ASC 310-10'!A218="","",' Impaired Loans ASC 310-10'!N218)</f>
        <v/>
      </c>
      <c r="R218" s="583">
        <f>IF(' Impaired Loans ASC 310-10'!A218="","",' Impaired Loans ASC 310-10'!P218)</f>
        <v/>
      </c>
      <c r="S218" s="583">
        <f>IF(' Impaired Loans ASC 310-10'!A218="","",' Impaired Loans ASC 310-10'!Q218)</f>
        <v/>
      </c>
    </row>
    <row r="219">
      <c r="A219" s="573">
        <f>IF(' Impaired Loans ASC 310-10'!A219="","",' Impaired Loans ASC 310-10'!A219)</f>
        <v/>
      </c>
      <c r="B219" s="573">
        <f>IF(' Impaired Loans ASC 310-10'!B219="","",' Impaired Loans ASC 310-10'!B219)</f>
        <v/>
      </c>
      <c r="C219" s="573">
        <f>IF(' Impaired Loans ASC 310-10'!C219="","",' Impaired Loans ASC 310-10'!C219)</f>
        <v/>
      </c>
      <c r="D219" s="573">
        <f>IF(' Impaired Loans ASC 310-10'!D219="","",' Impaired Loans ASC 310-10'!D219)</f>
        <v/>
      </c>
      <c r="E219" s="574">
        <f>IF(' Impaired Loans ASC 310-10'!E219="","",' Impaired Loans ASC 310-10'!E219)</f>
        <v/>
      </c>
      <c r="F219" s="575">
        <f>IF(' Impaired Loans ASC 310-10'!F219="","",' Impaired Loans ASC 310-10'!F219)</f>
        <v/>
      </c>
      <c r="G219" s="574">
        <f>IF(' Impaired Loans ASC 310-10'!G219="","",' Impaired Loans ASC 310-10'!G219)</f>
        <v/>
      </c>
      <c r="H219" s="574">
        <f>IF(' Impaired Loans ASC 310-10'!H219="","",' Impaired Loans ASC 310-10'!H219)</f>
        <v/>
      </c>
      <c r="I219" s="574">
        <f>IF(' Impaired Loans ASC 310-10'!I219="","",' Impaired Loans ASC 310-10'!I219)</f>
        <v/>
      </c>
      <c r="J219" s="574">
        <f>IF(' Impaired Loans ASC 310-10'!J219="","",' Impaired Loans ASC 310-10'!J219)</f>
        <v/>
      </c>
      <c r="K219" s="584" t="n"/>
      <c r="L219" s="578">
        <f>IFERROR(A219,"")</f>
        <v/>
      </c>
      <c r="M219" s="849">
        <f>IF(' Impaired Loans ASC 310-10'!A219="","",' Impaired Loans ASC 310-10'!K219)</f>
        <v/>
      </c>
      <c r="N219" s="580">
        <f>IF(' Impaired Loans ASC 310-10'!A219="","",' Impaired Loans ASC 310-10'!L219)</f>
        <v/>
      </c>
      <c r="O219" s="581">
        <f>IF(' Impaired Loans ASC 310-10'!A219="","",' Impaired Loans ASC 310-10'!M219)</f>
        <v/>
      </c>
      <c r="P219" s="582">
        <f>IF(' Impaired Loans ASC 310-10'!A219="","",' Impaired Loans ASC 310-10'!O219)</f>
        <v/>
      </c>
      <c r="Q219" s="583">
        <f>IF(' Impaired Loans ASC 310-10'!A219="","",' Impaired Loans ASC 310-10'!N219)</f>
        <v/>
      </c>
      <c r="R219" s="583">
        <f>IF(' Impaired Loans ASC 310-10'!A219="","",' Impaired Loans ASC 310-10'!P219)</f>
        <v/>
      </c>
      <c r="S219" s="583">
        <f>IF(' Impaired Loans ASC 310-10'!A219="","",' Impaired Loans ASC 310-10'!Q219)</f>
        <v/>
      </c>
    </row>
    <row r="220">
      <c r="A220" s="573">
        <f>IF(' Impaired Loans ASC 310-10'!A220="","",' Impaired Loans ASC 310-10'!A220)</f>
        <v/>
      </c>
      <c r="B220" s="573">
        <f>IF(' Impaired Loans ASC 310-10'!B220="","",' Impaired Loans ASC 310-10'!B220)</f>
        <v/>
      </c>
      <c r="C220" s="573">
        <f>IF(' Impaired Loans ASC 310-10'!C220="","",' Impaired Loans ASC 310-10'!C220)</f>
        <v/>
      </c>
      <c r="D220" s="573">
        <f>IF(' Impaired Loans ASC 310-10'!D220="","",' Impaired Loans ASC 310-10'!D220)</f>
        <v/>
      </c>
      <c r="E220" s="574">
        <f>IF(' Impaired Loans ASC 310-10'!E220="","",' Impaired Loans ASC 310-10'!E220)</f>
        <v/>
      </c>
      <c r="F220" s="575">
        <f>IF(' Impaired Loans ASC 310-10'!F220="","",' Impaired Loans ASC 310-10'!F220)</f>
        <v/>
      </c>
      <c r="G220" s="574">
        <f>IF(' Impaired Loans ASC 310-10'!G220="","",' Impaired Loans ASC 310-10'!G220)</f>
        <v/>
      </c>
      <c r="H220" s="574">
        <f>IF(' Impaired Loans ASC 310-10'!H220="","",' Impaired Loans ASC 310-10'!H220)</f>
        <v/>
      </c>
      <c r="I220" s="574">
        <f>IF(' Impaired Loans ASC 310-10'!I220="","",' Impaired Loans ASC 310-10'!I220)</f>
        <v/>
      </c>
      <c r="J220" s="574">
        <f>IF(' Impaired Loans ASC 310-10'!J220="","",' Impaired Loans ASC 310-10'!J220)</f>
        <v/>
      </c>
      <c r="K220" s="584" t="n"/>
      <c r="L220" s="578">
        <f>IFERROR(A220,"")</f>
        <v/>
      </c>
      <c r="M220" s="849">
        <f>IF(' Impaired Loans ASC 310-10'!A220="","",' Impaired Loans ASC 310-10'!K220)</f>
        <v/>
      </c>
      <c r="N220" s="580">
        <f>IF(' Impaired Loans ASC 310-10'!A220="","",' Impaired Loans ASC 310-10'!L220)</f>
        <v/>
      </c>
      <c r="O220" s="581">
        <f>IF(' Impaired Loans ASC 310-10'!A220="","",' Impaired Loans ASC 310-10'!M220)</f>
        <v/>
      </c>
      <c r="P220" s="582">
        <f>IF(' Impaired Loans ASC 310-10'!A220="","",' Impaired Loans ASC 310-10'!O220)</f>
        <v/>
      </c>
      <c r="Q220" s="583">
        <f>IF(' Impaired Loans ASC 310-10'!A220="","",' Impaired Loans ASC 310-10'!N220)</f>
        <v/>
      </c>
      <c r="R220" s="583">
        <f>IF(' Impaired Loans ASC 310-10'!A220="","",' Impaired Loans ASC 310-10'!P220)</f>
        <v/>
      </c>
      <c r="S220" s="583">
        <f>IF(' Impaired Loans ASC 310-10'!A220="","",' Impaired Loans ASC 310-10'!Q220)</f>
        <v/>
      </c>
    </row>
    <row r="221">
      <c r="A221" s="573">
        <f>IF(' Impaired Loans ASC 310-10'!A221="","",' Impaired Loans ASC 310-10'!A221)</f>
        <v/>
      </c>
      <c r="B221" s="573">
        <f>IF(' Impaired Loans ASC 310-10'!B221="","",' Impaired Loans ASC 310-10'!B221)</f>
        <v/>
      </c>
      <c r="C221" s="573">
        <f>IF(' Impaired Loans ASC 310-10'!C221="","",' Impaired Loans ASC 310-10'!C221)</f>
        <v/>
      </c>
      <c r="D221" s="573">
        <f>IF(' Impaired Loans ASC 310-10'!D221="","",' Impaired Loans ASC 310-10'!D221)</f>
        <v/>
      </c>
      <c r="E221" s="574">
        <f>IF(' Impaired Loans ASC 310-10'!E221="","",' Impaired Loans ASC 310-10'!E221)</f>
        <v/>
      </c>
      <c r="F221" s="575">
        <f>IF(' Impaired Loans ASC 310-10'!F221="","",' Impaired Loans ASC 310-10'!F221)</f>
        <v/>
      </c>
      <c r="G221" s="574">
        <f>IF(' Impaired Loans ASC 310-10'!G221="","",' Impaired Loans ASC 310-10'!G221)</f>
        <v/>
      </c>
      <c r="H221" s="574">
        <f>IF(' Impaired Loans ASC 310-10'!H221="","",' Impaired Loans ASC 310-10'!H221)</f>
        <v/>
      </c>
      <c r="I221" s="574">
        <f>IF(' Impaired Loans ASC 310-10'!I221="","",' Impaired Loans ASC 310-10'!I221)</f>
        <v/>
      </c>
      <c r="J221" s="574">
        <f>IF(' Impaired Loans ASC 310-10'!J221="","",' Impaired Loans ASC 310-10'!J221)</f>
        <v/>
      </c>
      <c r="K221" s="584" t="n"/>
      <c r="L221" s="578">
        <f>IFERROR(A221,"")</f>
        <v/>
      </c>
      <c r="M221" s="849">
        <f>IF(' Impaired Loans ASC 310-10'!A221="","",' Impaired Loans ASC 310-10'!K221)</f>
        <v/>
      </c>
      <c r="N221" s="580">
        <f>IF(' Impaired Loans ASC 310-10'!A221="","",' Impaired Loans ASC 310-10'!L221)</f>
        <v/>
      </c>
      <c r="O221" s="581">
        <f>IF(' Impaired Loans ASC 310-10'!A221="","",' Impaired Loans ASC 310-10'!M221)</f>
        <v/>
      </c>
      <c r="P221" s="582">
        <f>IF(' Impaired Loans ASC 310-10'!A221="","",' Impaired Loans ASC 310-10'!O221)</f>
        <v/>
      </c>
      <c r="Q221" s="583">
        <f>IF(' Impaired Loans ASC 310-10'!A221="","",' Impaired Loans ASC 310-10'!N221)</f>
        <v/>
      </c>
      <c r="R221" s="583">
        <f>IF(' Impaired Loans ASC 310-10'!A221="","",' Impaired Loans ASC 310-10'!P221)</f>
        <v/>
      </c>
      <c r="S221" s="583">
        <f>IF(' Impaired Loans ASC 310-10'!A221="","",' Impaired Loans ASC 310-10'!Q221)</f>
        <v/>
      </c>
    </row>
    <row r="222">
      <c r="A222" s="573">
        <f>IF(' Impaired Loans ASC 310-10'!A222="","",' Impaired Loans ASC 310-10'!A222)</f>
        <v/>
      </c>
      <c r="B222" s="573">
        <f>IF(' Impaired Loans ASC 310-10'!B222="","",' Impaired Loans ASC 310-10'!B222)</f>
        <v/>
      </c>
      <c r="C222" s="573">
        <f>IF(' Impaired Loans ASC 310-10'!C222="","",' Impaired Loans ASC 310-10'!C222)</f>
        <v/>
      </c>
      <c r="D222" s="573">
        <f>IF(' Impaired Loans ASC 310-10'!D222="","",' Impaired Loans ASC 310-10'!D222)</f>
        <v/>
      </c>
      <c r="E222" s="574">
        <f>IF(' Impaired Loans ASC 310-10'!E222="","",' Impaired Loans ASC 310-10'!E222)</f>
        <v/>
      </c>
      <c r="F222" s="575">
        <f>IF(' Impaired Loans ASC 310-10'!F222="","",' Impaired Loans ASC 310-10'!F222)</f>
        <v/>
      </c>
      <c r="G222" s="574">
        <f>IF(' Impaired Loans ASC 310-10'!G222="","",' Impaired Loans ASC 310-10'!G222)</f>
        <v/>
      </c>
      <c r="H222" s="574">
        <f>IF(' Impaired Loans ASC 310-10'!H222="","",' Impaired Loans ASC 310-10'!H222)</f>
        <v/>
      </c>
      <c r="I222" s="574">
        <f>IF(' Impaired Loans ASC 310-10'!I222="","",' Impaired Loans ASC 310-10'!I222)</f>
        <v/>
      </c>
      <c r="J222" s="574">
        <f>IF(' Impaired Loans ASC 310-10'!J222="","",' Impaired Loans ASC 310-10'!J222)</f>
        <v/>
      </c>
      <c r="K222" s="584" t="n"/>
      <c r="L222" s="578">
        <f>IFERROR(A222,"")</f>
        <v/>
      </c>
      <c r="M222" s="849">
        <f>IF(' Impaired Loans ASC 310-10'!A222="","",' Impaired Loans ASC 310-10'!K222)</f>
        <v/>
      </c>
      <c r="N222" s="580">
        <f>IF(' Impaired Loans ASC 310-10'!A222="","",' Impaired Loans ASC 310-10'!L222)</f>
        <v/>
      </c>
      <c r="O222" s="581">
        <f>IF(' Impaired Loans ASC 310-10'!A222="","",' Impaired Loans ASC 310-10'!M222)</f>
        <v/>
      </c>
      <c r="P222" s="582">
        <f>IF(' Impaired Loans ASC 310-10'!A222="","",' Impaired Loans ASC 310-10'!O222)</f>
        <v/>
      </c>
      <c r="Q222" s="583">
        <f>IF(' Impaired Loans ASC 310-10'!A222="","",' Impaired Loans ASC 310-10'!N222)</f>
        <v/>
      </c>
      <c r="R222" s="583">
        <f>IF(' Impaired Loans ASC 310-10'!A222="","",' Impaired Loans ASC 310-10'!P222)</f>
        <v/>
      </c>
      <c r="S222" s="583">
        <f>IF(' Impaired Loans ASC 310-10'!A222="","",' Impaired Loans ASC 310-10'!Q222)</f>
        <v/>
      </c>
    </row>
    <row r="223">
      <c r="A223" s="573">
        <f>IF(' Impaired Loans ASC 310-10'!A223="","",' Impaired Loans ASC 310-10'!A223)</f>
        <v/>
      </c>
      <c r="B223" s="573">
        <f>IF(' Impaired Loans ASC 310-10'!B223="","",' Impaired Loans ASC 310-10'!B223)</f>
        <v/>
      </c>
      <c r="C223" s="573">
        <f>IF(' Impaired Loans ASC 310-10'!C223="","",' Impaired Loans ASC 310-10'!C223)</f>
        <v/>
      </c>
      <c r="D223" s="573">
        <f>IF(' Impaired Loans ASC 310-10'!D223="","",' Impaired Loans ASC 310-10'!D223)</f>
        <v/>
      </c>
      <c r="E223" s="574">
        <f>IF(' Impaired Loans ASC 310-10'!E223="","",' Impaired Loans ASC 310-10'!E223)</f>
        <v/>
      </c>
      <c r="F223" s="575">
        <f>IF(' Impaired Loans ASC 310-10'!F223="","",' Impaired Loans ASC 310-10'!F223)</f>
        <v/>
      </c>
      <c r="G223" s="574">
        <f>IF(' Impaired Loans ASC 310-10'!G223="","",' Impaired Loans ASC 310-10'!G223)</f>
        <v/>
      </c>
      <c r="H223" s="574">
        <f>IF(' Impaired Loans ASC 310-10'!H223="","",' Impaired Loans ASC 310-10'!H223)</f>
        <v/>
      </c>
      <c r="I223" s="574">
        <f>IF(' Impaired Loans ASC 310-10'!I223="","",' Impaired Loans ASC 310-10'!I223)</f>
        <v/>
      </c>
      <c r="J223" s="574">
        <f>IF(' Impaired Loans ASC 310-10'!J223="","",' Impaired Loans ASC 310-10'!J223)</f>
        <v/>
      </c>
      <c r="K223" s="584" t="n"/>
      <c r="L223" s="578">
        <f>IFERROR(A223,"")</f>
        <v/>
      </c>
      <c r="M223" s="849">
        <f>IF(' Impaired Loans ASC 310-10'!A223="","",' Impaired Loans ASC 310-10'!K223)</f>
        <v/>
      </c>
      <c r="N223" s="580">
        <f>IF(' Impaired Loans ASC 310-10'!A223="","",' Impaired Loans ASC 310-10'!L223)</f>
        <v/>
      </c>
      <c r="O223" s="581">
        <f>IF(' Impaired Loans ASC 310-10'!A223="","",' Impaired Loans ASC 310-10'!M223)</f>
        <v/>
      </c>
      <c r="P223" s="582">
        <f>IF(' Impaired Loans ASC 310-10'!A223="","",' Impaired Loans ASC 310-10'!O223)</f>
        <v/>
      </c>
      <c r="Q223" s="583">
        <f>IF(' Impaired Loans ASC 310-10'!A223="","",' Impaired Loans ASC 310-10'!N223)</f>
        <v/>
      </c>
      <c r="R223" s="583">
        <f>IF(' Impaired Loans ASC 310-10'!A223="","",' Impaired Loans ASC 310-10'!P223)</f>
        <v/>
      </c>
      <c r="S223" s="583">
        <f>IF(' Impaired Loans ASC 310-10'!A223="","",' Impaired Loans ASC 310-10'!Q223)</f>
        <v/>
      </c>
    </row>
    <row r="224">
      <c r="A224" s="573">
        <f>IF(' Impaired Loans ASC 310-10'!A224="","",' Impaired Loans ASC 310-10'!A224)</f>
        <v/>
      </c>
      <c r="B224" s="573">
        <f>IF(' Impaired Loans ASC 310-10'!B224="","",' Impaired Loans ASC 310-10'!B224)</f>
        <v/>
      </c>
      <c r="C224" s="573">
        <f>IF(' Impaired Loans ASC 310-10'!C224="","",' Impaired Loans ASC 310-10'!C224)</f>
        <v/>
      </c>
      <c r="D224" s="573">
        <f>IF(' Impaired Loans ASC 310-10'!D224="","",' Impaired Loans ASC 310-10'!D224)</f>
        <v/>
      </c>
      <c r="E224" s="574">
        <f>IF(' Impaired Loans ASC 310-10'!E224="","",' Impaired Loans ASC 310-10'!E224)</f>
        <v/>
      </c>
      <c r="F224" s="575">
        <f>IF(' Impaired Loans ASC 310-10'!F224="","",' Impaired Loans ASC 310-10'!F224)</f>
        <v/>
      </c>
      <c r="G224" s="574">
        <f>IF(' Impaired Loans ASC 310-10'!G224="","",' Impaired Loans ASC 310-10'!G224)</f>
        <v/>
      </c>
      <c r="H224" s="574">
        <f>IF(' Impaired Loans ASC 310-10'!H224="","",' Impaired Loans ASC 310-10'!H224)</f>
        <v/>
      </c>
      <c r="I224" s="574">
        <f>IF(' Impaired Loans ASC 310-10'!I224="","",' Impaired Loans ASC 310-10'!I224)</f>
        <v/>
      </c>
      <c r="J224" s="574">
        <f>IF(' Impaired Loans ASC 310-10'!J224="","",' Impaired Loans ASC 310-10'!J224)</f>
        <v/>
      </c>
      <c r="K224" s="584" t="n"/>
      <c r="L224" s="578">
        <f>IFERROR(A224,"")</f>
        <v/>
      </c>
      <c r="M224" s="849">
        <f>IF(' Impaired Loans ASC 310-10'!A224="","",' Impaired Loans ASC 310-10'!K224)</f>
        <v/>
      </c>
      <c r="N224" s="580">
        <f>IF(' Impaired Loans ASC 310-10'!A224="","",' Impaired Loans ASC 310-10'!L224)</f>
        <v/>
      </c>
      <c r="O224" s="581">
        <f>IF(' Impaired Loans ASC 310-10'!A224="","",' Impaired Loans ASC 310-10'!M224)</f>
        <v/>
      </c>
      <c r="P224" s="582">
        <f>IF(' Impaired Loans ASC 310-10'!A224="","",' Impaired Loans ASC 310-10'!O224)</f>
        <v/>
      </c>
      <c r="Q224" s="583">
        <f>IF(' Impaired Loans ASC 310-10'!A224="","",' Impaired Loans ASC 310-10'!N224)</f>
        <v/>
      </c>
      <c r="R224" s="583">
        <f>IF(' Impaired Loans ASC 310-10'!A224="","",' Impaired Loans ASC 310-10'!P224)</f>
        <v/>
      </c>
      <c r="S224" s="583">
        <f>IF(' Impaired Loans ASC 310-10'!A224="","",' Impaired Loans ASC 310-10'!Q224)</f>
        <v/>
      </c>
    </row>
    <row r="225">
      <c r="A225" s="573">
        <f>IF(' Impaired Loans ASC 310-10'!A225="","",' Impaired Loans ASC 310-10'!A225)</f>
        <v/>
      </c>
      <c r="B225" s="573">
        <f>IF(' Impaired Loans ASC 310-10'!B225="","",' Impaired Loans ASC 310-10'!B225)</f>
        <v/>
      </c>
      <c r="C225" s="573">
        <f>IF(' Impaired Loans ASC 310-10'!C225="","",' Impaired Loans ASC 310-10'!C225)</f>
        <v/>
      </c>
      <c r="D225" s="573">
        <f>IF(' Impaired Loans ASC 310-10'!D225="","",' Impaired Loans ASC 310-10'!D225)</f>
        <v/>
      </c>
      <c r="E225" s="574">
        <f>IF(' Impaired Loans ASC 310-10'!E225="","",' Impaired Loans ASC 310-10'!E225)</f>
        <v/>
      </c>
      <c r="F225" s="575">
        <f>IF(' Impaired Loans ASC 310-10'!F225="","",' Impaired Loans ASC 310-10'!F225)</f>
        <v/>
      </c>
      <c r="G225" s="574">
        <f>IF(' Impaired Loans ASC 310-10'!G225="","",' Impaired Loans ASC 310-10'!G225)</f>
        <v/>
      </c>
      <c r="H225" s="574">
        <f>IF(' Impaired Loans ASC 310-10'!H225="","",' Impaired Loans ASC 310-10'!H225)</f>
        <v/>
      </c>
      <c r="I225" s="574">
        <f>IF(' Impaired Loans ASC 310-10'!I225="","",' Impaired Loans ASC 310-10'!I225)</f>
        <v/>
      </c>
      <c r="J225" s="574">
        <f>IF(' Impaired Loans ASC 310-10'!J225="","",' Impaired Loans ASC 310-10'!J225)</f>
        <v/>
      </c>
      <c r="K225" s="584" t="n"/>
      <c r="L225" s="578">
        <f>IFERROR(A225,"")</f>
        <v/>
      </c>
      <c r="M225" s="849">
        <f>IF(' Impaired Loans ASC 310-10'!A225="","",' Impaired Loans ASC 310-10'!K225)</f>
        <v/>
      </c>
      <c r="N225" s="580">
        <f>IF(' Impaired Loans ASC 310-10'!A225="","",' Impaired Loans ASC 310-10'!L225)</f>
        <v/>
      </c>
      <c r="O225" s="581">
        <f>IF(' Impaired Loans ASC 310-10'!A225="","",' Impaired Loans ASC 310-10'!M225)</f>
        <v/>
      </c>
      <c r="P225" s="582">
        <f>IF(' Impaired Loans ASC 310-10'!A225="","",' Impaired Loans ASC 310-10'!O225)</f>
        <v/>
      </c>
      <c r="Q225" s="583">
        <f>IF(' Impaired Loans ASC 310-10'!A225="","",' Impaired Loans ASC 310-10'!N225)</f>
        <v/>
      </c>
      <c r="R225" s="583">
        <f>IF(' Impaired Loans ASC 310-10'!A225="","",' Impaired Loans ASC 310-10'!P225)</f>
        <v/>
      </c>
      <c r="S225" s="583">
        <f>IF(' Impaired Loans ASC 310-10'!A225="","",' Impaired Loans ASC 310-10'!Q225)</f>
        <v/>
      </c>
    </row>
    <row r="226">
      <c r="A226" s="573">
        <f>IF(' Impaired Loans ASC 310-10'!A226="","",' Impaired Loans ASC 310-10'!A226)</f>
        <v/>
      </c>
      <c r="B226" s="573">
        <f>IF(' Impaired Loans ASC 310-10'!B226="","",' Impaired Loans ASC 310-10'!B226)</f>
        <v/>
      </c>
      <c r="C226" s="573">
        <f>IF(' Impaired Loans ASC 310-10'!C226="","",' Impaired Loans ASC 310-10'!C226)</f>
        <v/>
      </c>
      <c r="D226" s="573">
        <f>IF(' Impaired Loans ASC 310-10'!D226="","",' Impaired Loans ASC 310-10'!D226)</f>
        <v/>
      </c>
      <c r="E226" s="574">
        <f>IF(' Impaired Loans ASC 310-10'!E226="","",' Impaired Loans ASC 310-10'!E226)</f>
        <v/>
      </c>
      <c r="F226" s="575">
        <f>IF(' Impaired Loans ASC 310-10'!F226="","",' Impaired Loans ASC 310-10'!F226)</f>
        <v/>
      </c>
      <c r="G226" s="574">
        <f>IF(' Impaired Loans ASC 310-10'!G226="","",' Impaired Loans ASC 310-10'!G226)</f>
        <v/>
      </c>
      <c r="H226" s="574">
        <f>IF(' Impaired Loans ASC 310-10'!H226="","",' Impaired Loans ASC 310-10'!H226)</f>
        <v/>
      </c>
      <c r="I226" s="574">
        <f>IF(' Impaired Loans ASC 310-10'!I226="","",' Impaired Loans ASC 310-10'!I226)</f>
        <v/>
      </c>
      <c r="J226" s="574">
        <f>IF(' Impaired Loans ASC 310-10'!J226="","",' Impaired Loans ASC 310-10'!J226)</f>
        <v/>
      </c>
      <c r="K226" s="584" t="n"/>
      <c r="L226" s="578">
        <f>IFERROR(A226,"")</f>
        <v/>
      </c>
      <c r="M226" s="849">
        <f>IF(' Impaired Loans ASC 310-10'!A226="","",' Impaired Loans ASC 310-10'!K226)</f>
        <v/>
      </c>
      <c r="N226" s="580">
        <f>IF(' Impaired Loans ASC 310-10'!A226="","",' Impaired Loans ASC 310-10'!L226)</f>
        <v/>
      </c>
      <c r="O226" s="581">
        <f>IF(' Impaired Loans ASC 310-10'!A226="","",' Impaired Loans ASC 310-10'!M226)</f>
        <v/>
      </c>
      <c r="P226" s="582">
        <f>IF(' Impaired Loans ASC 310-10'!A226="","",' Impaired Loans ASC 310-10'!O226)</f>
        <v/>
      </c>
      <c r="Q226" s="583">
        <f>IF(' Impaired Loans ASC 310-10'!A226="","",' Impaired Loans ASC 310-10'!N226)</f>
        <v/>
      </c>
      <c r="R226" s="583">
        <f>IF(' Impaired Loans ASC 310-10'!A226="","",' Impaired Loans ASC 310-10'!P226)</f>
        <v/>
      </c>
      <c r="S226" s="583">
        <f>IF(' Impaired Loans ASC 310-10'!A226="","",' Impaired Loans ASC 310-10'!Q226)</f>
        <v/>
      </c>
    </row>
    <row r="227">
      <c r="A227" s="573">
        <f>IF(' Impaired Loans ASC 310-10'!A227="","",' Impaired Loans ASC 310-10'!A227)</f>
        <v/>
      </c>
      <c r="B227" s="573">
        <f>IF(' Impaired Loans ASC 310-10'!B227="","",' Impaired Loans ASC 310-10'!B227)</f>
        <v/>
      </c>
      <c r="C227" s="573">
        <f>IF(' Impaired Loans ASC 310-10'!C227="","",' Impaired Loans ASC 310-10'!C227)</f>
        <v/>
      </c>
      <c r="D227" s="573">
        <f>IF(' Impaired Loans ASC 310-10'!D227="","",' Impaired Loans ASC 310-10'!D227)</f>
        <v/>
      </c>
      <c r="E227" s="574">
        <f>IF(' Impaired Loans ASC 310-10'!E227="","",' Impaired Loans ASC 310-10'!E227)</f>
        <v/>
      </c>
      <c r="F227" s="575">
        <f>IF(' Impaired Loans ASC 310-10'!F227="","",' Impaired Loans ASC 310-10'!F227)</f>
        <v/>
      </c>
      <c r="G227" s="574">
        <f>IF(' Impaired Loans ASC 310-10'!G227="","",' Impaired Loans ASC 310-10'!G227)</f>
        <v/>
      </c>
      <c r="H227" s="574">
        <f>IF(' Impaired Loans ASC 310-10'!H227="","",' Impaired Loans ASC 310-10'!H227)</f>
        <v/>
      </c>
      <c r="I227" s="574">
        <f>IF(' Impaired Loans ASC 310-10'!I227="","",' Impaired Loans ASC 310-10'!I227)</f>
        <v/>
      </c>
      <c r="J227" s="574">
        <f>IF(' Impaired Loans ASC 310-10'!J227="","",' Impaired Loans ASC 310-10'!J227)</f>
        <v/>
      </c>
      <c r="K227" s="584" t="n"/>
      <c r="L227" s="578">
        <f>IFERROR(A227,"")</f>
        <v/>
      </c>
      <c r="M227" s="849">
        <f>IF(' Impaired Loans ASC 310-10'!A227="","",' Impaired Loans ASC 310-10'!K227)</f>
        <v/>
      </c>
      <c r="N227" s="580">
        <f>IF(' Impaired Loans ASC 310-10'!A227="","",' Impaired Loans ASC 310-10'!L227)</f>
        <v/>
      </c>
      <c r="O227" s="581">
        <f>IF(' Impaired Loans ASC 310-10'!A227="","",' Impaired Loans ASC 310-10'!M227)</f>
        <v/>
      </c>
      <c r="P227" s="582">
        <f>IF(' Impaired Loans ASC 310-10'!A227="","",' Impaired Loans ASC 310-10'!O227)</f>
        <v/>
      </c>
      <c r="Q227" s="583">
        <f>IF(' Impaired Loans ASC 310-10'!A227="","",' Impaired Loans ASC 310-10'!N227)</f>
        <v/>
      </c>
      <c r="R227" s="583">
        <f>IF(' Impaired Loans ASC 310-10'!A227="","",' Impaired Loans ASC 310-10'!P227)</f>
        <v/>
      </c>
      <c r="S227" s="583">
        <f>IF(' Impaired Loans ASC 310-10'!A227="","",' Impaired Loans ASC 310-10'!Q227)</f>
        <v/>
      </c>
    </row>
    <row r="228">
      <c r="A228" s="573">
        <f>IF(' Impaired Loans ASC 310-10'!A228="","",' Impaired Loans ASC 310-10'!A228)</f>
        <v/>
      </c>
      <c r="B228" s="573">
        <f>IF(' Impaired Loans ASC 310-10'!B228="","",' Impaired Loans ASC 310-10'!B228)</f>
        <v/>
      </c>
      <c r="C228" s="573">
        <f>IF(' Impaired Loans ASC 310-10'!C228="","",' Impaired Loans ASC 310-10'!C228)</f>
        <v/>
      </c>
      <c r="D228" s="573">
        <f>IF(' Impaired Loans ASC 310-10'!D228="","",' Impaired Loans ASC 310-10'!D228)</f>
        <v/>
      </c>
      <c r="E228" s="574">
        <f>IF(' Impaired Loans ASC 310-10'!E228="","",' Impaired Loans ASC 310-10'!E228)</f>
        <v/>
      </c>
      <c r="F228" s="575">
        <f>IF(' Impaired Loans ASC 310-10'!F228="","",' Impaired Loans ASC 310-10'!F228)</f>
        <v/>
      </c>
      <c r="G228" s="574">
        <f>IF(' Impaired Loans ASC 310-10'!G228="","",' Impaired Loans ASC 310-10'!G228)</f>
        <v/>
      </c>
      <c r="H228" s="574">
        <f>IF(' Impaired Loans ASC 310-10'!H228="","",' Impaired Loans ASC 310-10'!H228)</f>
        <v/>
      </c>
      <c r="I228" s="574">
        <f>IF(' Impaired Loans ASC 310-10'!I228="","",' Impaired Loans ASC 310-10'!I228)</f>
        <v/>
      </c>
      <c r="J228" s="574">
        <f>IF(' Impaired Loans ASC 310-10'!J228="","",' Impaired Loans ASC 310-10'!J228)</f>
        <v/>
      </c>
      <c r="K228" s="584" t="n"/>
      <c r="L228" s="578">
        <f>IFERROR(A228,"")</f>
        <v/>
      </c>
      <c r="M228" s="849">
        <f>IF(' Impaired Loans ASC 310-10'!A228="","",' Impaired Loans ASC 310-10'!K228)</f>
        <v/>
      </c>
      <c r="N228" s="580">
        <f>IF(' Impaired Loans ASC 310-10'!A228="","",' Impaired Loans ASC 310-10'!L228)</f>
        <v/>
      </c>
      <c r="O228" s="581">
        <f>IF(' Impaired Loans ASC 310-10'!A228="","",' Impaired Loans ASC 310-10'!M228)</f>
        <v/>
      </c>
      <c r="P228" s="582">
        <f>IF(' Impaired Loans ASC 310-10'!A228="","",' Impaired Loans ASC 310-10'!O228)</f>
        <v/>
      </c>
      <c r="Q228" s="583">
        <f>IF(' Impaired Loans ASC 310-10'!A228="","",' Impaired Loans ASC 310-10'!N228)</f>
        <v/>
      </c>
      <c r="R228" s="583">
        <f>IF(' Impaired Loans ASC 310-10'!A228="","",' Impaired Loans ASC 310-10'!P228)</f>
        <v/>
      </c>
      <c r="S228" s="583">
        <f>IF(' Impaired Loans ASC 310-10'!A228="","",' Impaired Loans ASC 310-10'!Q228)</f>
        <v/>
      </c>
    </row>
    <row r="229">
      <c r="A229" s="573">
        <f>IF(' Impaired Loans ASC 310-10'!A229="","",' Impaired Loans ASC 310-10'!A229)</f>
        <v/>
      </c>
      <c r="B229" s="573">
        <f>IF(' Impaired Loans ASC 310-10'!B229="","",' Impaired Loans ASC 310-10'!B229)</f>
        <v/>
      </c>
      <c r="C229" s="573">
        <f>IF(' Impaired Loans ASC 310-10'!C229="","",' Impaired Loans ASC 310-10'!C229)</f>
        <v/>
      </c>
      <c r="D229" s="573">
        <f>IF(' Impaired Loans ASC 310-10'!D229="","",' Impaired Loans ASC 310-10'!D229)</f>
        <v/>
      </c>
      <c r="E229" s="574">
        <f>IF(' Impaired Loans ASC 310-10'!E229="","",' Impaired Loans ASC 310-10'!E229)</f>
        <v/>
      </c>
      <c r="F229" s="575">
        <f>IF(' Impaired Loans ASC 310-10'!F229="","",' Impaired Loans ASC 310-10'!F229)</f>
        <v/>
      </c>
      <c r="G229" s="574">
        <f>IF(' Impaired Loans ASC 310-10'!G229="","",' Impaired Loans ASC 310-10'!G229)</f>
        <v/>
      </c>
      <c r="H229" s="574">
        <f>IF(' Impaired Loans ASC 310-10'!H229="","",' Impaired Loans ASC 310-10'!H229)</f>
        <v/>
      </c>
      <c r="I229" s="574">
        <f>IF(' Impaired Loans ASC 310-10'!I229="","",' Impaired Loans ASC 310-10'!I229)</f>
        <v/>
      </c>
      <c r="J229" s="574">
        <f>IF(' Impaired Loans ASC 310-10'!J229="","",' Impaired Loans ASC 310-10'!J229)</f>
        <v/>
      </c>
      <c r="K229" s="584" t="n"/>
      <c r="L229" s="578">
        <f>IFERROR(A229,"")</f>
        <v/>
      </c>
      <c r="M229" s="849">
        <f>IF(' Impaired Loans ASC 310-10'!A229="","",' Impaired Loans ASC 310-10'!K229)</f>
        <v/>
      </c>
      <c r="N229" s="580">
        <f>IF(' Impaired Loans ASC 310-10'!A229="","",' Impaired Loans ASC 310-10'!L229)</f>
        <v/>
      </c>
      <c r="O229" s="581">
        <f>IF(' Impaired Loans ASC 310-10'!A229="","",' Impaired Loans ASC 310-10'!M229)</f>
        <v/>
      </c>
      <c r="P229" s="582">
        <f>IF(' Impaired Loans ASC 310-10'!A229="","",' Impaired Loans ASC 310-10'!O229)</f>
        <v/>
      </c>
      <c r="Q229" s="583">
        <f>IF(' Impaired Loans ASC 310-10'!A229="","",' Impaired Loans ASC 310-10'!N229)</f>
        <v/>
      </c>
      <c r="R229" s="583">
        <f>IF(' Impaired Loans ASC 310-10'!A229="","",' Impaired Loans ASC 310-10'!P229)</f>
        <v/>
      </c>
      <c r="S229" s="583">
        <f>IF(' Impaired Loans ASC 310-10'!A229="","",' Impaired Loans ASC 310-10'!Q229)</f>
        <v/>
      </c>
    </row>
    <row r="230">
      <c r="A230" s="573">
        <f>IF(' Impaired Loans ASC 310-10'!A230="","",' Impaired Loans ASC 310-10'!A230)</f>
        <v/>
      </c>
      <c r="B230" s="573">
        <f>IF(' Impaired Loans ASC 310-10'!B230="","",' Impaired Loans ASC 310-10'!B230)</f>
        <v/>
      </c>
      <c r="C230" s="573">
        <f>IF(' Impaired Loans ASC 310-10'!C230="","",' Impaired Loans ASC 310-10'!C230)</f>
        <v/>
      </c>
      <c r="D230" s="573">
        <f>IF(' Impaired Loans ASC 310-10'!D230="","",' Impaired Loans ASC 310-10'!D230)</f>
        <v/>
      </c>
      <c r="E230" s="574">
        <f>IF(' Impaired Loans ASC 310-10'!E230="","",' Impaired Loans ASC 310-10'!E230)</f>
        <v/>
      </c>
      <c r="F230" s="575">
        <f>IF(' Impaired Loans ASC 310-10'!F230="","",' Impaired Loans ASC 310-10'!F230)</f>
        <v/>
      </c>
      <c r="G230" s="574">
        <f>IF(' Impaired Loans ASC 310-10'!G230="","",' Impaired Loans ASC 310-10'!G230)</f>
        <v/>
      </c>
      <c r="H230" s="574">
        <f>IF(' Impaired Loans ASC 310-10'!H230="","",' Impaired Loans ASC 310-10'!H230)</f>
        <v/>
      </c>
      <c r="I230" s="574">
        <f>IF(' Impaired Loans ASC 310-10'!I230="","",' Impaired Loans ASC 310-10'!I230)</f>
        <v/>
      </c>
      <c r="J230" s="574">
        <f>IF(' Impaired Loans ASC 310-10'!J230="","",' Impaired Loans ASC 310-10'!J230)</f>
        <v/>
      </c>
      <c r="K230" s="584" t="n"/>
      <c r="L230" s="578">
        <f>IFERROR(A230,"")</f>
        <v/>
      </c>
      <c r="M230" s="849">
        <f>IF(' Impaired Loans ASC 310-10'!A230="","",' Impaired Loans ASC 310-10'!K230)</f>
        <v/>
      </c>
      <c r="N230" s="580">
        <f>IF(' Impaired Loans ASC 310-10'!A230="","",' Impaired Loans ASC 310-10'!L230)</f>
        <v/>
      </c>
      <c r="O230" s="581">
        <f>IF(' Impaired Loans ASC 310-10'!A230="","",' Impaired Loans ASC 310-10'!M230)</f>
        <v/>
      </c>
      <c r="P230" s="582">
        <f>IF(' Impaired Loans ASC 310-10'!A230="","",' Impaired Loans ASC 310-10'!O230)</f>
        <v/>
      </c>
      <c r="Q230" s="583">
        <f>IF(' Impaired Loans ASC 310-10'!A230="","",' Impaired Loans ASC 310-10'!N230)</f>
        <v/>
      </c>
      <c r="R230" s="583">
        <f>IF(' Impaired Loans ASC 310-10'!A230="","",' Impaired Loans ASC 310-10'!P230)</f>
        <v/>
      </c>
      <c r="S230" s="583">
        <f>IF(' Impaired Loans ASC 310-10'!A230="","",' Impaired Loans ASC 310-10'!Q230)</f>
        <v/>
      </c>
    </row>
    <row r="231">
      <c r="A231" s="573">
        <f>IF(' Impaired Loans ASC 310-10'!A231="","",' Impaired Loans ASC 310-10'!A231)</f>
        <v/>
      </c>
      <c r="B231" s="573">
        <f>IF(' Impaired Loans ASC 310-10'!B231="","",' Impaired Loans ASC 310-10'!B231)</f>
        <v/>
      </c>
      <c r="C231" s="573">
        <f>IF(' Impaired Loans ASC 310-10'!C231="","",' Impaired Loans ASC 310-10'!C231)</f>
        <v/>
      </c>
      <c r="D231" s="573">
        <f>IF(' Impaired Loans ASC 310-10'!D231="","",' Impaired Loans ASC 310-10'!D231)</f>
        <v/>
      </c>
      <c r="E231" s="574">
        <f>IF(' Impaired Loans ASC 310-10'!E231="","",' Impaired Loans ASC 310-10'!E231)</f>
        <v/>
      </c>
      <c r="F231" s="575">
        <f>IF(' Impaired Loans ASC 310-10'!F231="","",' Impaired Loans ASC 310-10'!F231)</f>
        <v/>
      </c>
      <c r="G231" s="574">
        <f>IF(' Impaired Loans ASC 310-10'!G231="","",' Impaired Loans ASC 310-10'!G231)</f>
        <v/>
      </c>
      <c r="H231" s="574">
        <f>IF(' Impaired Loans ASC 310-10'!H231="","",' Impaired Loans ASC 310-10'!H231)</f>
        <v/>
      </c>
      <c r="I231" s="574">
        <f>IF(' Impaired Loans ASC 310-10'!I231="","",' Impaired Loans ASC 310-10'!I231)</f>
        <v/>
      </c>
      <c r="J231" s="574">
        <f>IF(' Impaired Loans ASC 310-10'!J231="","",' Impaired Loans ASC 310-10'!J231)</f>
        <v/>
      </c>
      <c r="K231" s="584" t="n"/>
      <c r="L231" s="578">
        <f>IFERROR(A231,"")</f>
        <v/>
      </c>
      <c r="M231" s="849">
        <f>IF(' Impaired Loans ASC 310-10'!A231="","",' Impaired Loans ASC 310-10'!K231)</f>
        <v/>
      </c>
      <c r="N231" s="580">
        <f>IF(' Impaired Loans ASC 310-10'!A231="","",' Impaired Loans ASC 310-10'!L231)</f>
        <v/>
      </c>
      <c r="O231" s="581">
        <f>IF(' Impaired Loans ASC 310-10'!A231="","",' Impaired Loans ASC 310-10'!M231)</f>
        <v/>
      </c>
      <c r="P231" s="582">
        <f>IF(' Impaired Loans ASC 310-10'!A231="","",' Impaired Loans ASC 310-10'!O231)</f>
        <v/>
      </c>
      <c r="Q231" s="583">
        <f>IF(' Impaired Loans ASC 310-10'!A231="","",' Impaired Loans ASC 310-10'!N231)</f>
        <v/>
      </c>
      <c r="R231" s="583">
        <f>IF(' Impaired Loans ASC 310-10'!A231="","",' Impaired Loans ASC 310-10'!P231)</f>
        <v/>
      </c>
      <c r="S231" s="583">
        <f>IF(' Impaired Loans ASC 310-10'!A231="","",' Impaired Loans ASC 310-10'!Q231)</f>
        <v/>
      </c>
    </row>
    <row r="232">
      <c r="A232" s="573">
        <f>IF(' Impaired Loans ASC 310-10'!A232="","",' Impaired Loans ASC 310-10'!A232)</f>
        <v/>
      </c>
      <c r="B232" s="573">
        <f>IF(' Impaired Loans ASC 310-10'!B232="","",' Impaired Loans ASC 310-10'!B232)</f>
        <v/>
      </c>
      <c r="C232" s="573">
        <f>IF(' Impaired Loans ASC 310-10'!C232="","",' Impaired Loans ASC 310-10'!C232)</f>
        <v/>
      </c>
      <c r="D232" s="573">
        <f>IF(' Impaired Loans ASC 310-10'!D232="","",' Impaired Loans ASC 310-10'!D232)</f>
        <v/>
      </c>
      <c r="E232" s="574">
        <f>IF(' Impaired Loans ASC 310-10'!E232="","",' Impaired Loans ASC 310-10'!E232)</f>
        <v/>
      </c>
      <c r="F232" s="575">
        <f>IF(' Impaired Loans ASC 310-10'!F232="","",' Impaired Loans ASC 310-10'!F232)</f>
        <v/>
      </c>
      <c r="G232" s="574">
        <f>IF(' Impaired Loans ASC 310-10'!G232="","",' Impaired Loans ASC 310-10'!G232)</f>
        <v/>
      </c>
      <c r="H232" s="574">
        <f>IF(' Impaired Loans ASC 310-10'!H232="","",' Impaired Loans ASC 310-10'!H232)</f>
        <v/>
      </c>
      <c r="I232" s="574">
        <f>IF(' Impaired Loans ASC 310-10'!I232="","",' Impaired Loans ASC 310-10'!I232)</f>
        <v/>
      </c>
      <c r="J232" s="574">
        <f>IF(' Impaired Loans ASC 310-10'!J232="","",' Impaired Loans ASC 310-10'!J232)</f>
        <v/>
      </c>
      <c r="K232" s="584" t="n"/>
      <c r="L232" s="578">
        <f>IFERROR(A232,"")</f>
        <v/>
      </c>
      <c r="M232" s="849">
        <f>IF(' Impaired Loans ASC 310-10'!A232="","",' Impaired Loans ASC 310-10'!K232)</f>
        <v/>
      </c>
      <c r="N232" s="580">
        <f>IF(' Impaired Loans ASC 310-10'!A232="","",' Impaired Loans ASC 310-10'!L232)</f>
        <v/>
      </c>
      <c r="O232" s="581">
        <f>IF(' Impaired Loans ASC 310-10'!A232="","",' Impaired Loans ASC 310-10'!M232)</f>
        <v/>
      </c>
      <c r="P232" s="582">
        <f>IF(' Impaired Loans ASC 310-10'!A232="","",' Impaired Loans ASC 310-10'!O232)</f>
        <v/>
      </c>
      <c r="Q232" s="583">
        <f>IF(' Impaired Loans ASC 310-10'!A232="","",' Impaired Loans ASC 310-10'!N232)</f>
        <v/>
      </c>
      <c r="R232" s="583">
        <f>IF(' Impaired Loans ASC 310-10'!A232="","",' Impaired Loans ASC 310-10'!P232)</f>
        <v/>
      </c>
      <c r="S232" s="583">
        <f>IF(' Impaired Loans ASC 310-10'!A232="","",' Impaired Loans ASC 310-10'!Q232)</f>
        <v/>
      </c>
    </row>
    <row r="233">
      <c r="A233" s="573">
        <f>IF(' Impaired Loans ASC 310-10'!A233="","",' Impaired Loans ASC 310-10'!A233)</f>
        <v/>
      </c>
      <c r="B233" s="573">
        <f>IF(' Impaired Loans ASC 310-10'!B233="","",' Impaired Loans ASC 310-10'!B233)</f>
        <v/>
      </c>
      <c r="C233" s="573">
        <f>IF(' Impaired Loans ASC 310-10'!C233="","",' Impaired Loans ASC 310-10'!C233)</f>
        <v/>
      </c>
      <c r="D233" s="573">
        <f>IF(' Impaired Loans ASC 310-10'!D233="","",' Impaired Loans ASC 310-10'!D233)</f>
        <v/>
      </c>
      <c r="E233" s="574">
        <f>IF(' Impaired Loans ASC 310-10'!E233="","",' Impaired Loans ASC 310-10'!E233)</f>
        <v/>
      </c>
      <c r="F233" s="575">
        <f>IF(' Impaired Loans ASC 310-10'!F233="","",' Impaired Loans ASC 310-10'!F233)</f>
        <v/>
      </c>
      <c r="G233" s="574">
        <f>IF(' Impaired Loans ASC 310-10'!G233="","",' Impaired Loans ASC 310-10'!G233)</f>
        <v/>
      </c>
      <c r="H233" s="574">
        <f>IF(' Impaired Loans ASC 310-10'!H233="","",' Impaired Loans ASC 310-10'!H233)</f>
        <v/>
      </c>
      <c r="I233" s="574">
        <f>IF(' Impaired Loans ASC 310-10'!I233="","",' Impaired Loans ASC 310-10'!I233)</f>
        <v/>
      </c>
      <c r="J233" s="574">
        <f>IF(' Impaired Loans ASC 310-10'!J233="","",' Impaired Loans ASC 310-10'!J233)</f>
        <v/>
      </c>
      <c r="K233" s="584" t="n"/>
      <c r="L233" s="578">
        <f>IFERROR(A233,"")</f>
        <v/>
      </c>
      <c r="M233" s="849">
        <f>IF(' Impaired Loans ASC 310-10'!A233="","",' Impaired Loans ASC 310-10'!K233)</f>
        <v/>
      </c>
      <c r="N233" s="580">
        <f>IF(' Impaired Loans ASC 310-10'!A233="","",' Impaired Loans ASC 310-10'!L233)</f>
        <v/>
      </c>
      <c r="O233" s="581">
        <f>IF(' Impaired Loans ASC 310-10'!A233="","",' Impaired Loans ASC 310-10'!M233)</f>
        <v/>
      </c>
      <c r="P233" s="582">
        <f>IF(' Impaired Loans ASC 310-10'!A233="","",' Impaired Loans ASC 310-10'!O233)</f>
        <v/>
      </c>
      <c r="Q233" s="583">
        <f>IF(' Impaired Loans ASC 310-10'!A233="","",' Impaired Loans ASC 310-10'!N233)</f>
        <v/>
      </c>
      <c r="R233" s="583">
        <f>IF(' Impaired Loans ASC 310-10'!A233="","",' Impaired Loans ASC 310-10'!P233)</f>
        <v/>
      </c>
      <c r="S233" s="583">
        <f>IF(' Impaired Loans ASC 310-10'!A233="","",' Impaired Loans ASC 310-10'!Q233)</f>
        <v/>
      </c>
    </row>
    <row r="234">
      <c r="A234" s="573">
        <f>IF(' Impaired Loans ASC 310-10'!A234="","",' Impaired Loans ASC 310-10'!A234)</f>
        <v/>
      </c>
      <c r="B234" s="573">
        <f>IF(' Impaired Loans ASC 310-10'!B234="","",' Impaired Loans ASC 310-10'!B234)</f>
        <v/>
      </c>
      <c r="C234" s="573">
        <f>IF(' Impaired Loans ASC 310-10'!C234="","",' Impaired Loans ASC 310-10'!C234)</f>
        <v/>
      </c>
      <c r="D234" s="573">
        <f>IF(' Impaired Loans ASC 310-10'!D234="","",' Impaired Loans ASC 310-10'!D234)</f>
        <v/>
      </c>
      <c r="E234" s="574">
        <f>IF(' Impaired Loans ASC 310-10'!E234="","",' Impaired Loans ASC 310-10'!E234)</f>
        <v/>
      </c>
      <c r="F234" s="575">
        <f>IF(' Impaired Loans ASC 310-10'!F234="","",' Impaired Loans ASC 310-10'!F234)</f>
        <v/>
      </c>
      <c r="G234" s="574">
        <f>IF(' Impaired Loans ASC 310-10'!G234="","",' Impaired Loans ASC 310-10'!G234)</f>
        <v/>
      </c>
      <c r="H234" s="574">
        <f>IF(' Impaired Loans ASC 310-10'!H234="","",' Impaired Loans ASC 310-10'!H234)</f>
        <v/>
      </c>
      <c r="I234" s="574">
        <f>IF(' Impaired Loans ASC 310-10'!I234="","",' Impaired Loans ASC 310-10'!I234)</f>
        <v/>
      </c>
      <c r="J234" s="574">
        <f>IF(' Impaired Loans ASC 310-10'!J234="","",' Impaired Loans ASC 310-10'!J234)</f>
        <v/>
      </c>
      <c r="K234" s="584" t="n"/>
      <c r="L234" s="578">
        <f>IFERROR(A234,"")</f>
        <v/>
      </c>
      <c r="M234" s="849">
        <f>IF(' Impaired Loans ASC 310-10'!A234="","",' Impaired Loans ASC 310-10'!K234)</f>
        <v/>
      </c>
      <c r="N234" s="580">
        <f>IF(' Impaired Loans ASC 310-10'!A234="","",' Impaired Loans ASC 310-10'!L234)</f>
        <v/>
      </c>
      <c r="O234" s="581">
        <f>IF(' Impaired Loans ASC 310-10'!A234="","",' Impaired Loans ASC 310-10'!M234)</f>
        <v/>
      </c>
      <c r="P234" s="582">
        <f>IF(' Impaired Loans ASC 310-10'!A234="","",' Impaired Loans ASC 310-10'!O234)</f>
        <v/>
      </c>
      <c r="Q234" s="583">
        <f>IF(' Impaired Loans ASC 310-10'!A234="","",' Impaired Loans ASC 310-10'!N234)</f>
        <v/>
      </c>
      <c r="R234" s="583">
        <f>IF(' Impaired Loans ASC 310-10'!A234="","",' Impaired Loans ASC 310-10'!P234)</f>
        <v/>
      </c>
      <c r="S234" s="583">
        <f>IF(' Impaired Loans ASC 310-10'!A234="","",' Impaired Loans ASC 310-10'!Q234)</f>
        <v/>
      </c>
    </row>
    <row r="235">
      <c r="A235" s="573">
        <f>IF(' Impaired Loans ASC 310-10'!A235="","",' Impaired Loans ASC 310-10'!A235)</f>
        <v/>
      </c>
      <c r="B235" s="573">
        <f>IF(' Impaired Loans ASC 310-10'!B235="","",' Impaired Loans ASC 310-10'!B235)</f>
        <v/>
      </c>
      <c r="C235" s="573">
        <f>IF(' Impaired Loans ASC 310-10'!C235="","",' Impaired Loans ASC 310-10'!C235)</f>
        <v/>
      </c>
      <c r="D235" s="573">
        <f>IF(' Impaired Loans ASC 310-10'!D235="","",' Impaired Loans ASC 310-10'!D235)</f>
        <v/>
      </c>
      <c r="E235" s="574">
        <f>IF(' Impaired Loans ASC 310-10'!E235="","",' Impaired Loans ASC 310-10'!E235)</f>
        <v/>
      </c>
      <c r="F235" s="575">
        <f>IF(' Impaired Loans ASC 310-10'!F235="","",' Impaired Loans ASC 310-10'!F235)</f>
        <v/>
      </c>
      <c r="G235" s="574">
        <f>IF(' Impaired Loans ASC 310-10'!G235="","",' Impaired Loans ASC 310-10'!G235)</f>
        <v/>
      </c>
      <c r="H235" s="574">
        <f>IF(' Impaired Loans ASC 310-10'!H235="","",' Impaired Loans ASC 310-10'!H235)</f>
        <v/>
      </c>
      <c r="I235" s="574">
        <f>IF(' Impaired Loans ASC 310-10'!I235="","",' Impaired Loans ASC 310-10'!I235)</f>
        <v/>
      </c>
      <c r="J235" s="574">
        <f>IF(' Impaired Loans ASC 310-10'!J235="","",' Impaired Loans ASC 310-10'!J235)</f>
        <v/>
      </c>
      <c r="K235" s="584" t="n"/>
      <c r="L235" s="578">
        <f>IFERROR(A235,"")</f>
        <v/>
      </c>
      <c r="M235" s="849">
        <f>IF(' Impaired Loans ASC 310-10'!A235="","",' Impaired Loans ASC 310-10'!K235)</f>
        <v/>
      </c>
      <c r="N235" s="580">
        <f>IF(' Impaired Loans ASC 310-10'!A235="","",' Impaired Loans ASC 310-10'!L235)</f>
        <v/>
      </c>
      <c r="O235" s="581">
        <f>IF(' Impaired Loans ASC 310-10'!A235="","",' Impaired Loans ASC 310-10'!M235)</f>
        <v/>
      </c>
      <c r="P235" s="582">
        <f>IF(' Impaired Loans ASC 310-10'!A235="","",' Impaired Loans ASC 310-10'!O235)</f>
        <v/>
      </c>
      <c r="Q235" s="583">
        <f>IF(' Impaired Loans ASC 310-10'!A235="","",' Impaired Loans ASC 310-10'!N235)</f>
        <v/>
      </c>
      <c r="R235" s="583">
        <f>IF(' Impaired Loans ASC 310-10'!A235="","",' Impaired Loans ASC 310-10'!P235)</f>
        <v/>
      </c>
      <c r="S235" s="583">
        <f>IF(' Impaired Loans ASC 310-10'!A235="","",' Impaired Loans ASC 310-10'!Q235)</f>
        <v/>
      </c>
    </row>
    <row r="236">
      <c r="A236" s="573">
        <f>IF(' Impaired Loans ASC 310-10'!A236="","",' Impaired Loans ASC 310-10'!A236)</f>
        <v/>
      </c>
      <c r="B236" s="573">
        <f>IF(' Impaired Loans ASC 310-10'!B236="","",' Impaired Loans ASC 310-10'!B236)</f>
        <v/>
      </c>
      <c r="C236" s="573">
        <f>IF(' Impaired Loans ASC 310-10'!C236="","",' Impaired Loans ASC 310-10'!C236)</f>
        <v/>
      </c>
      <c r="D236" s="573">
        <f>IF(' Impaired Loans ASC 310-10'!D236="","",' Impaired Loans ASC 310-10'!D236)</f>
        <v/>
      </c>
      <c r="E236" s="574">
        <f>IF(' Impaired Loans ASC 310-10'!E236="","",' Impaired Loans ASC 310-10'!E236)</f>
        <v/>
      </c>
      <c r="F236" s="575">
        <f>IF(' Impaired Loans ASC 310-10'!F236="","",' Impaired Loans ASC 310-10'!F236)</f>
        <v/>
      </c>
      <c r="G236" s="574">
        <f>IF(' Impaired Loans ASC 310-10'!G236="","",' Impaired Loans ASC 310-10'!G236)</f>
        <v/>
      </c>
      <c r="H236" s="574">
        <f>IF(' Impaired Loans ASC 310-10'!H236="","",' Impaired Loans ASC 310-10'!H236)</f>
        <v/>
      </c>
      <c r="I236" s="574">
        <f>IF(' Impaired Loans ASC 310-10'!I236="","",' Impaired Loans ASC 310-10'!I236)</f>
        <v/>
      </c>
      <c r="J236" s="574">
        <f>IF(' Impaired Loans ASC 310-10'!J236="","",' Impaired Loans ASC 310-10'!J236)</f>
        <v/>
      </c>
      <c r="K236" s="584" t="n"/>
      <c r="L236" s="578">
        <f>IFERROR(A236,"")</f>
        <v/>
      </c>
      <c r="M236" s="849">
        <f>IF(' Impaired Loans ASC 310-10'!A236="","",' Impaired Loans ASC 310-10'!K236)</f>
        <v/>
      </c>
      <c r="N236" s="580">
        <f>IF(' Impaired Loans ASC 310-10'!A236="","",' Impaired Loans ASC 310-10'!L236)</f>
        <v/>
      </c>
      <c r="O236" s="581">
        <f>IF(' Impaired Loans ASC 310-10'!A236="","",' Impaired Loans ASC 310-10'!M236)</f>
        <v/>
      </c>
      <c r="P236" s="582">
        <f>IF(' Impaired Loans ASC 310-10'!A236="","",' Impaired Loans ASC 310-10'!O236)</f>
        <v/>
      </c>
      <c r="Q236" s="583">
        <f>IF(' Impaired Loans ASC 310-10'!A236="","",' Impaired Loans ASC 310-10'!N236)</f>
        <v/>
      </c>
      <c r="R236" s="583">
        <f>IF(' Impaired Loans ASC 310-10'!A236="","",' Impaired Loans ASC 310-10'!P236)</f>
        <v/>
      </c>
      <c r="S236" s="583">
        <f>IF(' Impaired Loans ASC 310-10'!A236="","",' Impaired Loans ASC 310-10'!Q236)</f>
        <v/>
      </c>
    </row>
    <row r="237">
      <c r="A237" s="573">
        <f>IF(' Impaired Loans ASC 310-10'!A237="","",' Impaired Loans ASC 310-10'!A237)</f>
        <v/>
      </c>
      <c r="B237" s="573">
        <f>IF(' Impaired Loans ASC 310-10'!B237="","",' Impaired Loans ASC 310-10'!B237)</f>
        <v/>
      </c>
      <c r="C237" s="573">
        <f>IF(' Impaired Loans ASC 310-10'!C237="","",' Impaired Loans ASC 310-10'!C237)</f>
        <v/>
      </c>
      <c r="D237" s="573">
        <f>IF(' Impaired Loans ASC 310-10'!D237="","",' Impaired Loans ASC 310-10'!D237)</f>
        <v/>
      </c>
      <c r="E237" s="574">
        <f>IF(' Impaired Loans ASC 310-10'!E237="","",' Impaired Loans ASC 310-10'!E237)</f>
        <v/>
      </c>
      <c r="F237" s="575">
        <f>IF(' Impaired Loans ASC 310-10'!F237="","",' Impaired Loans ASC 310-10'!F237)</f>
        <v/>
      </c>
      <c r="G237" s="574">
        <f>IF(' Impaired Loans ASC 310-10'!G237="","",' Impaired Loans ASC 310-10'!G237)</f>
        <v/>
      </c>
      <c r="H237" s="574">
        <f>IF(' Impaired Loans ASC 310-10'!H237="","",' Impaired Loans ASC 310-10'!H237)</f>
        <v/>
      </c>
      <c r="I237" s="574">
        <f>IF(' Impaired Loans ASC 310-10'!I237="","",' Impaired Loans ASC 310-10'!I237)</f>
        <v/>
      </c>
      <c r="J237" s="574">
        <f>IF(' Impaired Loans ASC 310-10'!J237="","",' Impaired Loans ASC 310-10'!J237)</f>
        <v/>
      </c>
      <c r="K237" s="584" t="n"/>
      <c r="L237" s="578">
        <f>IFERROR(A237,"")</f>
        <v/>
      </c>
      <c r="M237" s="849">
        <f>IF(' Impaired Loans ASC 310-10'!A237="","",' Impaired Loans ASC 310-10'!K237)</f>
        <v/>
      </c>
      <c r="N237" s="580">
        <f>IF(' Impaired Loans ASC 310-10'!A237="","",' Impaired Loans ASC 310-10'!L237)</f>
        <v/>
      </c>
      <c r="O237" s="581">
        <f>IF(' Impaired Loans ASC 310-10'!A237="","",' Impaired Loans ASC 310-10'!M237)</f>
        <v/>
      </c>
      <c r="P237" s="582">
        <f>IF(' Impaired Loans ASC 310-10'!A237="","",' Impaired Loans ASC 310-10'!O237)</f>
        <v/>
      </c>
      <c r="Q237" s="583">
        <f>IF(' Impaired Loans ASC 310-10'!A237="","",' Impaired Loans ASC 310-10'!N237)</f>
        <v/>
      </c>
      <c r="R237" s="583">
        <f>IF(' Impaired Loans ASC 310-10'!A237="","",' Impaired Loans ASC 310-10'!P237)</f>
        <v/>
      </c>
      <c r="S237" s="583">
        <f>IF(' Impaired Loans ASC 310-10'!A237="","",' Impaired Loans ASC 310-10'!Q237)</f>
        <v/>
      </c>
    </row>
    <row r="238">
      <c r="A238" s="573">
        <f>IF(' Impaired Loans ASC 310-10'!A238="","",' Impaired Loans ASC 310-10'!A238)</f>
        <v/>
      </c>
      <c r="B238" s="573">
        <f>IF(' Impaired Loans ASC 310-10'!B238="","",' Impaired Loans ASC 310-10'!B238)</f>
        <v/>
      </c>
      <c r="C238" s="573">
        <f>IF(' Impaired Loans ASC 310-10'!C238="","",' Impaired Loans ASC 310-10'!C238)</f>
        <v/>
      </c>
      <c r="D238" s="573">
        <f>IF(' Impaired Loans ASC 310-10'!D238="","",' Impaired Loans ASC 310-10'!D238)</f>
        <v/>
      </c>
      <c r="E238" s="574">
        <f>IF(' Impaired Loans ASC 310-10'!E238="","",' Impaired Loans ASC 310-10'!E238)</f>
        <v/>
      </c>
      <c r="F238" s="575">
        <f>IF(' Impaired Loans ASC 310-10'!F238="","",' Impaired Loans ASC 310-10'!F238)</f>
        <v/>
      </c>
      <c r="G238" s="574">
        <f>IF(' Impaired Loans ASC 310-10'!G238="","",' Impaired Loans ASC 310-10'!G238)</f>
        <v/>
      </c>
      <c r="H238" s="574">
        <f>IF(' Impaired Loans ASC 310-10'!H238="","",' Impaired Loans ASC 310-10'!H238)</f>
        <v/>
      </c>
      <c r="I238" s="574">
        <f>IF(' Impaired Loans ASC 310-10'!I238="","",' Impaired Loans ASC 310-10'!I238)</f>
        <v/>
      </c>
      <c r="J238" s="574">
        <f>IF(' Impaired Loans ASC 310-10'!J238="","",' Impaired Loans ASC 310-10'!J238)</f>
        <v/>
      </c>
      <c r="K238" s="584" t="n"/>
      <c r="L238" s="578">
        <f>IFERROR(A238,"")</f>
        <v/>
      </c>
      <c r="M238" s="849">
        <f>IF(' Impaired Loans ASC 310-10'!A238="","",' Impaired Loans ASC 310-10'!K238)</f>
        <v/>
      </c>
      <c r="N238" s="580">
        <f>IF(' Impaired Loans ASC 310-10'!A238="","",' Impaired Loans ASC 310-10'!L238)</f>
        <v/>
      </c>
      <c r="O238" s="581">
        <f>IF(' Impaired Loans ASC 310-10'!A238="","",' Impaired Loans ASC 310-10'!M238)</f>
        <v/>
      </c>
      <c r="P238" s="582">
        <f>IF(' Impaired Loans ASC 310-10'!A238="","",' Impaired Loans ASC 310-10'!O238)</f>
        <v/>
      </c>
      <c r="Q238" s="583">
        <f>IF(' Impaired Loans ASC 310-10'!A238="","",' Impaired Loans ASC 310-10'!N238)</f>
        <v/>
      </c>
      <c r="R238" s="583">
        <f>IF(' Impaired Loans ASC 310-10'!A238="","",' Impaired Loans ASC 310-10'!P238)</f>
        <v/>
      </c>
      <c r="S238" s="583">
        <f>IF(' Impaired Loans ASC 310-10'!A238="","",' Impaired Loans ASC 310-10'!Q238)</f>
        <v/>
      </c>
    </row>
    <row r="239">
      <c r="A239" s="573">
        <f>IF(' Impaired Loans ASC 310-10'!A239="","",' Impaired Loans ASC 310-10'!A239)</f>
        <v/>
      </c>
      <c r="B239" s="573">
        <f>IF(' Impaired Loans ASC 310-10'!B239="","",' Impaired Loans ASC 310-10'!B239)</f>
        <v/>
      </c>
      <c r="C239" s="573">
        <f>IF(' Impaired Loans ASC 310-10'!C239="","",' Impaired Loans ASC 310-10'!C239)</f>
        <v/>
      </c>
      <c r="D239" s="573">
        <f>IF(' Impaired Loans ASC 310-10'!D239="","",' Impaired Loans ASC 310-10'!D239)</f>
        <v/>
      </c>
      <c r="E239" s="574">
        <f>IF(' Impaired Loans ASC 310-10'!E239="","",' Impaired Loans ASC 310-10'!E239)</f>
        <v/>
      </c>
      <c r="F239" s="575">
        <f>IF(' Impaired Loans ASC 310-10'!F239="","",' Impaired Loans ASC 310-10'!F239)</f>
        <v/>
      </c>
      <c r="G239" s="574">
        <f>IF(' Impaired Loans ASC 310-10'!G239="","",' Impaired Loans ASC 310-10'!G239)</f>
        <v/>
      </c>
      <c r="H239" s="574">
        <f>IF(' Impaired Loans ASC 310-10'!H239="","",' Impaired Loans ASC 310-10'!H239)</f>
        <v/>
      </c>
      <c r="I239" s="574">
        <f>IF(' Impaired Loans ASC 310-10'!I239="","",' Impaired Loans ASC 310-10'!I239)</f>
        <v/>
      </c>
      <c r="J239" s="574">
        <f>IF(' Impaired Loans ASC 310-10'!J239="","",' Impaired Loans ASC 310-10'!J239)</f>
        <v/>
      </c>
      <c r="K239" s="584" t="n"/>
      <c r="L239" s="578">
        <f>IFERROR(A239,"")</f>
        <v/>
      </c>
      <c r="M239" s="849">
        <f>IF(' Impaired Loans ASC 310-10'!A239="","",' Impaired Loans ASC 310-10'!K239)</f>
        <v/>
      </c>
      <c r="N239" s="580">
        <f>IF(' Impaired Loans ASC 310-10'!A239="","",' Impaired Loans ASC 310-10'!L239)</f>
        <v/>
      </c>
      <c r="O239" s="581">
        <f>IF(' Impaired Loans ASC 310-10'!A239="","",' Impaired Loans ASC 310-10'!M239)</f>
        <v/>
      </c>
      <c r="P239" s="582">
        <f>IF(' Impaired Loans ASC 310-10'!A239="","",' Impaired Loans ASC 310-10'!O239)</f>
        <v/>
      </c>
      <c r="Q239" s="583">
        <f>IF(' Impaired Loans ASC 310-10'!A239="","",' Impaired Loans ASC 310-10'!N239)</f>
        <v/>
      </c>
      <c r="R239" s="583">
        <f>IF(' Impaired Loans ASC 310-10'!A239="","",' Impaired Loans ASC 310-10'!P239)</f>
        <v/>
      </c>
      <c r="S239" s="583">
        <f>IF(' Impaired Loans ASC 310-10'!A239="","",' Impaired Loans ASC 310-10'!Q239)</f>
        <v/>
      </c>
    </row>
    <row r="240">
      <c r="A240" s="573">
        <f>IF(' Impaired Loans ASC 310-10'!A240="","",' Impaired Loans ASC 310-10'!A240)</f>
        <v/>
      </c>
      <c r="B240" s="573">
        <f>IF(' Impaired Loans ASC 310-10'!B240="","",' Impaired Loans ASC 310-10'!B240)</f>
        <v/>
      </c>
      <c r="C240" s="573">
        <f>IF(' Impaired Loans ASC 310-10'!C240="","",' Impaired Loans ASC 310-10'!C240)</f>
        <v/>
      </c>
      <c r="D240" s="573">
        <f>IF(' Impaired Loans ASC 310-10'!D240="","",' Impaired Loans ASC 310-10'!D240)</f>
        <v/>
      </c>
      <c r="E240" s="574">
        <f>IF(' Impaired Loans ASC 310-10'!E240="","",' Impaired Loans ASC 310-10'!E240)</f>
        <v/>
      </c>
      <c r="F240" s="575">
        <f>IF(' Impaired Loans ASC 310-10'!F240="","",' Impaired Loans ASC 310-10'!F240)</f>
        <v/>
      </c>
      <c r="G240" s="574">
        <f>IF(' Impaired Loans ASC 310-10'!G240="","",' Impaired Loans ASC 310-10'!G240)</f>
        <v/>
      </c>
      <c r="H240" s="574">
        <f>IF(' Impaired Loans ASC 310-10'!H240="","",' Impaired Loans ASC 310-10'!H240)</f>
        <v/>
      </c>
      <c r="I240" s="574">
        <f>IF(' Impaired Loans ASC 310-10'!I240="","",' Impaired Loans ASC 310-10'!I240)</f>
        <v/>
      </c>
      <c r="J240" s="574">
        <f>IF(' Impaired Loans ASC 310-10'!J240="","",' Impaired Loans ASC 310-10'!J240)</f>
        <v/>
      </c>
      <c r="K240" s="584" t="n"/>
      <c r="L240" s="578">
        <f>IFERROR(A240,"")</f>
        <v/>
      </c>
      <c r="M240" s="849">
        <f>IF(' Impaired Loans ASC 310-10'!A240="","",' Impaired Loans ASC 310-10'!K240)</f>
        <v/>
      </c>
      <c r="N240" s="580">
        <f>IF(' Impaired Loans ASC 310-10'!A240="","",' Impaired Loans ASC 310-10'!L240)</f>
        <v/>
      </c>
      <c r="O240" s="581">
        <f>IF(' Impaired Loans ASC 310-10'!A240="","",' Impaired Loans ASC 310-10'!M240)</f>
        <v/>
      </c>
      <c r="P240" s="582">
        <f>IF(' Impaired Loans ASC 310-10'!A240="","",' Impaired Loans ASC 310-10'!O240)</f>
        <v/>
      </c>
      <c r="Q240" s="583">
        <f>IF(' Impaired Loans ASC 310-10'!A240="","",' Impaired Loans ASC 310-10'!N240)</f>
        <v/>
      </c>
      <c r="R240" s="583">
        <f>IF(' Impaired Loans ASC 310-10'!A240="","",' Impaired Loans ASC 310-10'!P240)</f>
        <v/>
      </c>
      <c r="S240" s="583">
        <f>IF(' Impaired Loans ASC 310-10'!A240="","",' Impaired Loans ASC 310-10'!Q240)</f>
        <v/>
      </c>
    </row>
    <row r="241">
      <c r="A241" s="573">
        <f>IF(' Impaired Loans ASC 310-10'!A241="","",' Impaired Loans ASC 310-10'!A241)</f>
        <v/>
      </c>
      <c r="B241" s="573">
        <f>IF(' Impaired Loans ASC 310-10'!B241="","",' Impaired Loans ASC 310-10'!B241)</f>
        <v/>
      </c>
      <c r="C241" s="573">
        <f>IF(' Impaired Loans ASC 310-10'!C241="","",' Impaired Loans ASC 310-10'!C241)</f>
        <v/>
      </c>
      <c r="D241" s="573">
        <f>IF(' Impaired Loans ASC 310-10'!D241="","",' Impaired Loans ASC 310-10'!D241)</f>
        <v/>
      </c>
      <c r="E241" s="574">
        <f>IF(' Impaired Loans ASC 310-10'!E241="","",' Impaired Loans ASC 310-10'!E241)</f>
        <v/>
      </c>
      <c r="F241" s="575">
        <f>IF(' Impaired Loans ASC 310-10'!F241="","",' Impaired Loans ASC 310-10'!F241)</f>
        <v/>
      </c>
      <c r="G241" s="574">
        <f>IF(' Impaired Loans ASC 310-10'!G241="","",' Impaired Loans ASC 310-10'!G241)</f>
        <v/>
      </c>
      <c r="H241" s="574">
        <f>IF(' Impaired Loans ASC 310-10'!H241="","",' Impaired Loans ASC 310-10'!H241)</f>
        <v/>
      </c>
      <c r="I241" s="574">
        <f>IF(' Impaired Loans ASC 310-10'!I241="","",' Impaired Loans ASC 310-10'!I241)</f>
        <v/>
      </c>
      <c r="J241" s="574">
        <f>IF(' Impaired Loans ASC 310-10'!J241="","",' Impaired Loans ASC 310-10'!J241)</f>
        <v/>
      </c>
      <c r="K241" s="584" t="n"/>
      <c r="L241" s="578">
        <f>IFERROR(A241,"")</f>
        <v/>
      </c>
      <c r="M241" s="849">
        <f>IF(' Impaired Loans ASC 310-10'!A241="","",' Impaired Loans ASC 310-10'!K241)</f>
        <v/>
      </c>
      <c r="N241" s="580">
        <f>IF(' Impaired Loans ASC 310-10'!A241="","",' Impaired Loans ASC 310-10'!L241)</f>
        <v/>
      </c>
      <c r="O241" s="581">
        <f>IF(' Impaired Loans ASC 310-10'!A241="","",' Impaired Loans ASC 310-10'!M241)</f>
        <v/>
      </c>
      <c r="P241" s="582">
        <f>IF(' Impaired Loans ASC 310-10'!A241="","",' Impaired Loans ASC 310-10'!O241)</f>
        <v/>
      </c>
      <c r="Q241" s="583">
        <f>IF(' Impaired Loans ASC 310-10'!A241="","",' Impaired Loans ASC 310-10'!N241)</f>
        <v/>
      </c>
      <c r="R241" s="583">
        <f>IF(' Impaired Loans ASC 310-10'!A241="","",' Impaired Loans ASC 310-10'!P241)</f>
        <v/>
      </c>
      <c r="S241" s="583">
        <f>IF(' Impaired Loans ASC 310-10'!A241="","",' Impaired Loans ASC 310-10'!Q241)</f>
        <v/>
      </c>
    </row>
    <row r="242">
      <c r="A242" s="573">
        <f>IF(' Impaired Loans ASC 310-10'!A242="","",' Impaired Loans ASC 310-10'!A242)</f>
        <v/>
      </c>
      <c r="B242" s="573">
        <f>IF(' Impaired Loans ASC 310-10'!B242="","",' Impaired Loans ASC 310-10'!B242)</f>
        <v/>
      </c>
      <c r="C242" s="573">
        <f>IF(' Impaired Loans ASC 310-10'!C242="","",' Impaired Loans ASC 310-10'!C242)</f>
        <v/>
      </c>
      <c r="D242" s="573">
        <f>IF(' Impaired Loans ASC 310-10'!D242="","",' Impaired Loans ASC 310-10'!D242)</f>
        <v/>
      </c>
      <c r="E242" s="574">
        <f>IF(' Impaired Loans ASC 310-10'!E242="","",' Impaired Loans ASC 310-10'!E242)</f>
        <v/>
      </c>
      <c r="F242" s="575">
        <f>IF(' Impaired Loans ASC 310-10'!F242="","",' Impaired Loans ASC 310-10'!F242)</f>
        <v/>
      </c>
      <c r="G242" s="574">
        <f>IF(' Impaired Loans ASC 310-10'!G242="","",' Impaired Loans ASC 310-10'!G242)</f>
        <v/>
      </c>
      <c r="H242" s="574">
        <f>IF(' Impaired Loans ASC 310-10'!H242="","",' Impaired Loans ASC 310-10'!H242)</f>
        <v/>
      </c>
      <c r="I242" s="574">
        <f>IF(' Impaired Loans ASC 310-10'!I242="","",' Impaired Loans ASC 310-10'!I242)</f>
        <v/>
      </c>
      <c r="J242" s="574">
        <f>IF(' Impaired Loans ASC 310-10'!J242="","",' Impaired Loans ASC 310-10'!J242)</f>
        <v/>
      </c>
      <c r="K242" s="584" t="n"/>
      <c r="L242" s="578">
        <f>IFERROR(A242,"")</f>
        <v/>
      </c>
      <c r="M242" s="849">
        <f>IF(' Impaired Loans ASC 310-10'!A242="","",' Impaired Loans ASC 310-10'!K242)</f>
        <v/>
      </c>
      <c r="N242" s="580">
        <f>IF(' Impaired Loans ASC 310-10'!A242="","",' Impaired Loans ASC 310-10'!L242)</f>
        <v/>
      </c>
      <c r="O242" s="581">
        <f>IF(' Impaired Loans ASC 310-10'!A242="","",' Impaired Loans ASC 310-10'!M242)</f>
        <v/>
      </c>
      <c r="P242" s="582">
        <f>IF(' Impaired Loans ASC 310-10'!A242="","",' Impaired Loans ASC 310-10'!O242)</f>
        <v/>
      </c>
      <c r="Q242" s="583">
        <f>IF(' Impaired Loans ASC 310-10'!A242="","",' Impaired Loans ASC 310-10'!N242)</f>
        <v/>
      </c>
      <c r="R242" s="583">
        <f>IF(' Impaired Loans ASC 310-10'!A242="","",' Impaired Loans ASC 310-10'!P242)</f>
        <v/>
      </c>
      <c r="S242" s="583">
        <f>IF(' Impaired Loans ASC 310-10'!A242="","",' Impaired Loans ASC 310-10'!Q242)</f>
        <v/>
      </c>
    </row>
    <row r="243">
      <c r="A243" s="573">
        <f>IF(' Impaired Loans ASC 310-10'!A243="","",' Impaired Loans ASC 310-10'!A243)</f>
        <v/>
      </c>
      <c r="B243" s="573">
        <f>IF(' Impaired Loans ASC 310-10'!B243="","",' Impaired Loans ASC 310-10'!B243)</f>
        <v/>
      </c>
      <c r="C243" s="573">
        <f>IF(' Impaired Loans ASC 310-10'!C243="","",' Impaired Loans ASC 310-10'!C243)</f>
        <v/>
      </c>
      <c r="D243" s="573">
        <f>IF(' Impaired Loans ASC 310-10'!D243="","",' Impaired Loans ASC 310-10'!D243)</f>
        <v/>
      </c>
      <c r="E243" s="574">
        <f>IF(' Impaired Loans ASC 310-10'!E243="","",' Impaired Loans ASC 310-10'!E243)</f>
        <v/>
      </c>
      <c r="F243" s="575">
        <f>IF(' Impaired Loans ASC 310-10'!F243="","",' Impaired Loans ASC 310-10'!F243)</f>
        <v/>
      </c>
      <c r="G243" s="574">
        <f>IF(' Impaired Loans ASC 310-10'!G243="","",' Impaired Loans ASC 310-10'!G243)</f>
        <v/>
      </c>
      <c r="H243" s="574">
        <f>IF(' Impaired Loans ASC 310-10'!H243="","",' Impaired Loans ASC 310-10'!H243)</f>
        <v/>
      </c>
      <c r="I243" s="574">
        <f>IF(' Impaired Loans ASC 310-10'!I243="","",' Impaired Loans ASC 310-10'!I243)</f>
        <v/>
      </c>
      <c r="J243" s="574">
        <f>IF(' Impaired Loans ASC 310-10'!J243="","",' Impaired Loans ASC 310-10'!J243)</f>
        <v/>
      </c>
      <c r="K243" s="584" t="n"/>
      <c r="L243" s="578">
        <f>IFERROR(A243,"")</f>
        <v/>
      </c>
      <c r="M243" s="849">
        <f>IF(' Impaired Loans ASC 310-10'!A243="","",' Impaired Loans ASC 310-10'!K243)</f>
        <v/>
      </c>
      <c r="N243" s="580">
        <f>IF(' Impaired Loans ASC 310-10'!A243="","",' Impaired Loans ASC 310-10'!L243)</f>
        <v/>
      </c>
      <c r="O243" s="581">
        <f>IF(' Impaired Loans ASC 310-10'!A243="","",' Impaired Loans ASC 310-10'!M243)</f>
        <v/>
      </c>
      <c r="P243" s="582">
        <f>IF(' Impaired Loans ASC 310-10'!A243="","",' Impaired Loans ASC 310-10'!O243)</f>
        <v/>
      </c>
      <c r="Q243" s="583">
        <f>IF(' Impaired Loans ASC 310-10'!A243="","",' Impaired Loans ASC 310-10'!N243)</f>
        <v/>
      </c>
      <c r="R243" s="583">
        <f>IF(' Impaired Loans ASC 310-10'!A243="","",' Impaired Loans ASC 310-10'!P243)</f>
        <v/>
      </c>
      <c r="S243" s="583">
        <f>IF(' Impaired Loans ASC 310-10'!A243="","",' Impaired Loans ASC 310-10'!Q243)</f>
        <v/>
      </c>
    </row>
    <row r="244">
      <c r="A244" s="573">
        <f>IF(' Impaired Loans ASC 310-10'!A244="","",' Impaired Loans ASC 310-10'!A244)</f>
        <v/>
      </c>
      <c r="B244" s="573">
        <f>IF(' Impaired Loans ASC 310-10'!B244="","",' Impaired Loans ASC 310-10'!B244)</f>
        <v/>
      </c>
      <c r="C244" s="573">
        <f>IF(' Impaired Loans ASC 310-10'!C244="","",' Impaired Loans ASC 310-10'!C244)</f>
        <v/>
      </c>
      <c r="D244" s="573">
        <f>IF(' Impaired Loans ASC 310-10'!D244="","",' Impaired Loans ASC 310-10'!D244)</f>
        <v/>
      </c>
      <c r="E244" s="574">
        <f>IF(' Impaired Loans ASC 310-10'!E244="","",' Impaired Loans ASC 310-10'!E244)</f>
        <v/>
      </c>
      <c r="F244" s="575">
        <f>IF(' Impaired Loans ASC 310-10'!F244="","",' Impaired Loans ASC 310-10'!F244)</f>
        <v/>
      </c>
      <c r="G244" s="574">
        <f>IF(' Impaired Loans ASC 310-10'!G244="","",' Impaired Loans ASC 310-10'!G244)</f>
        <v/>
      </c>
      <c r="H244" s="574">
        <f>IF(' Impaired Loans ASC 310-10'!H244="","",' Impaired Loans ASC 310-10'!H244)</f>
        <v/>
      </c>
      <c r="I244" s="574">
        <f>IF(' Impaired Loans ASC 310-10'!I244="","",' Impaired Loans ASC 310-10'!I244)</f>
        <v/>
      </c>
      <c r="J244" s="574">
        <f>IF(' Impaired Loans ASC 310-10'!J244="","",' Impaired Loans ASC 310-10'!J244)</f>
        <v/>
      </c>
      <c r="K244" s="584" t="n"/>
      <c r="L244" s="578">
        <f>IFERROR(A244,"")</f>
        <v/>
      </c>
      <c r="M244" s="849">
        <f>IF(' Impaired Loans ASC 310-10'!A244="","",' Impaired Loans ASC 310-10'!K244)</f>
        <v/>
      </c>
      <c r="N244" s="580">
        <f>IF(' Impaired Loans ASC 310-10'!A244="","",' Impaired Loans ASC 310-10'!L244)</f>
        <v/>
      </c>
      <c r="O244" s="581">
        <f>IF(' Impaired Loans ASC 310-10'!A244="","",' Impaired Loans ASC 310-10'!M244)</f>
        <v/>
      </c>
      <c r="P244" s="582">
        <f>IF(' Impaired Loans ASC 310-10'!A244="","",' Impaired Loans ASC 310-10'!O244)</f>
        <v/>
      </c>
      <c r="Q244" s="583">
        <f>IF(' Impaired Loans ASC 310-10'!A244="","",' Impaired Loans ASC 310-10'!N244)</f>
        <v/>
      </c>
      <c r="R244" s="583">
        <f>IF(' Impaired Loans ASC 310-10'!A244="","",' Impaired Loans ASC 310-10'!P244)</f>
        <v/>
      </c>
      <c r="S244" s="583">
        <f>IF(' Impaired Loans ASC 310-10'!A244="","",' Impaired Loans ASC 310-10'!Q244)</f>
        <v/>
      </c>
    </row>
    <row r="245">
      <c r="A245" s="573">
        <f>IF(' Impaired Loans ASC 310-10'!A245="","",' Impaired Loans ASC 310-10'!A245)</f>
        <v/>
      </c>
      <c r="B245" s="573">
        <f>IF(' Impaired Loans ASC 310-10'!B245="","",' Impaired Loans ASC 310-10'!B245)</f>
        <v/>
      </c>
      <c r="C245" s="573">
        <f>IF(' Impaired Loans ASC 310-10'!C245="","",' Impaired Loans ASC 310-10'!C245)</f>
        <v/>
      </c>
      <c r="D245" s="573">
        <f>IF(' Impaired Loans ASC 310-10'!D245="","",' Impaired Loans ASC 310-10'!D245)</f>
        <v/>
      </c>
      <c r="E245" s="574">
        <f>IF(' Impaired Loans ASC 310-10'!E245="","",' Impaired Loans ASC 310-10'!E245)</f>
        <v/>
      </c>
      <c r="F245" s="575">
        <f>IF(' Impaired Loans ASC 310-10'!F245="","",' Impaired Loans ASC 310-10'!F245)</f>
        <v/>
      </c>
      <c r="G245" s="574">
        <f>IF(' Impaired Loans ASC 310-10'!G245="","",' Impaired Loans ASC 310-10'!G245)</f>
        <v/>
      </c>
      <c r="H245" s="574">
        <f>IF(' Impaired Loans ASC 310-10'!H245="","",' Impaired Loans ASC 310-10'!H245)</f>
        <v/>
      </c>
      <c r="I245" s="574">
        <f>IF(' Impaired Loans ASC 310-10'!I245="","",' Impaired Loans ASC 310-10'!I245)</f>
        <v/>
      </c>
      <c r="J245" s="574">
        <f>IF(' Impaired Loans ASC 310-10'!J245="","",' Impaired Loans ASC 310-10'!J245)</f>
        <v/>
      </c>
      <c r="K245" s="584" t="n"/>
      <c r="L245" s="578">
        <f>IFERROR(A245,"")</f>
        <v/>
      </c>
      <c r="M245" s="849">
        <f>IF(' Impaired Loans ASC 310-10'!A245="","",' Impaired Loans ASC 310-10'!K245)</f>
        <v/>
      </c>
      <c r="N245" s="580">
        <f>IF(' Impaired Loans ASC 310-10'!A245="","",' Impaired Loans ASC 310-10'!L245)</f>
        <v/>
      </c>
      <c r="O245" s="581">
        <f>IF(' Impaired Loans ASC 310-10'!A245="","",' Impaired Loans ASC 310-10'!M245)</f>
        <v/>
      </c>
      <c r="P245" s="582">
        <f>IF(' Impaired Loans ASC 310-10'!A245="","",' Impaired Loans ASC 310-10'!O245)</f>
        <v/>
      </c>
      <c r="Q245" s="583">
        <f>IF(' Impaired Loans ASC 310-10'!A245="","",' Impaired Loans ASC 310-10'!N245)</f>
        <v/>
      </c>
      <c r="R245" s="583">
        <f>IF(' Impaired Loans ASC 310-10'!A245="","",' Impaired Loans ASC 310-10'!P245)</f>
        <v/>
      </c>
      <c r="S245" s="583">
        <f>IF(' Impaired Loans ASC 310-10'!A245="","",' Impaired Loans ASC 310-10'!Q245)</f>
        <v/>
      </c>
    </row>
    <row r="246">
      <c r="A246" s="573">
        <f>IF(' Impaired Loans ASC 310-10'!A246="","",' Impaired Loans ASC 310-10'!A246)</f>
        <v/>
      </c>
      <c r="B246" s="573">
        <f>IF(' Impaired Loans ASC 310-10'!B246="","",' Impaired Loans ASC 310-10'!B246)</f>
        <v/>
      </c>
      <c r="C246" s="573">
        <f>IF(' Impaired Loans ASC 310-10'!C246="","",' Impaired Loans ASC 310-10'!C246)</f>
        <v/>
      </c>
      <c r="D246" s="573">
        <f>IF(' Impaired Loans ASC 310-10'!D246="","",' Impaired Loans ASC 310-10'!D246)</f>
        <v/>
      </c>
      <c r="E246" s="574">
        <f>IF(' Impaired Loans ASC 310-10'!E246="","",' Impaired Loans ASC 310-10'!E246)</f>
        <v/>
      </c>
      <c r="F246" s="575">
        <f>IF(' Impaired Loans ASC 310-10'!F246="","",' Impaired Loans ASC 310-10'!F246)</f>
        <v/>
      </c>
      <c r="G246" s="574">
        <f>IF(' Impaired Loans ASC 310-10'!G246="","",' Impaired Loans ASC 310-10'!G246)</f>
        <v/>
      </c>
      <c r="H246" s="574">
        <f>IF(' Impaired Loans ASC 310-10'!H246="","",' Impaired Loans ASC 310-10'!H246)</f>
        <v/>
      </c>
      <c r="I246" s="574">
        <f>IF(' Impaired Loans ASC 310-10'!I246="","",' Impaired Loans ASC 310-10'!I246)</f>
        <v/>
      </c>
      <c r="J246" s="574">
        <f>IF(' Impaired Loans ASC 310-10'!J246="","",' Impaired Loans ASC 310-10'!J246)</f>
        <v/>
      </c>
      <c r="K246" s="584" t="n"/>
      <c r="L246" s="578">
        <f>IFERROR(A246,"")</f>
        <v/>
      </c>
      <c r="M246" s="849">
        <f>IF(' Impaired Loans ASC 310-10'!A246="","",' Impaired Loans ASC 310-10'!K246)</f>
        <v/>
      </c>
      <c r="N246" s="580">
        <f>IF(' Impaired Loans ASC 310-10'!A246="","",' Impaired Loans ASC 310-10'!L246)</f>
        <v/>
      </c>
      <c r="O246" s="581">
        <f>IF(' Impaired Loans ASC 310-10'!A246="","",' Impaired Loans ASC 310-10'!M246)</f>
        <v/>
      </c>
      <c r="P246" s="582">
        <f>IF(' Impaired Loans ASC 310-10'!A246="","",' Impaired Loans ASC 310-10'!O246)</f>
        <v/>
      </c>
      <c r="Q246" s="583">
        <f>IF(' Impaired Loans ASC 310-10'!A246="","",' Impaired Loans ASC 310-10'!N246)</f>
        <v/>
      </c>
      <c r="R246" s="583">
        <f>IF(' Impaired Loans ASC 310-10'!A246="","",' Impaired Loans ASC 310-10'!P246)</f>
        <v/>
      </c>
      <c r="S246" s="583">
        <f>IF(' Impaired Loans ASC 310-10'!A246="","",' Impaired Loans ASC 310-10'!Q246)</f>
        <v/>
      </c>
    </row>
    <row r="247">
      <c r="A247" s="573">
        <f>IF(' Impaired Loans ASC 310-10'!A247="","",' Impaired Loans ASC 310-10'!A247)</f>
        <v/>
      </c>
      <c r="B247" s="573">
        <f>IF(' Impaired Loans ASC 310-10'!B247="","",' Impaired Loans ASC 310-10'!B247)</f>
        <v/>
      </c>
      <c r="C247" s="573">
        <f>IF(' Impaired Loans ASC 310-10'!C247="","",' Impaired Loans ASC 310-10'!C247)</f>
        <v/>
      </c>
      <c r="D247" s="573">
        <f>IF(' Impaired Loans ASC 310-10'!D247="","",' Impaired Loans ASC 310-10'!D247)</f>
        <v/>
      </c>
      <c r="E247" s="574">
        <f>IF(' Impaired Loans ASC 310-10'!E247="","",' Impaired Loans ASC 310-10'!E247)</f>
        <v/>
      </c>
      <c r="F247" s="575">
        <f>IF(' Impaired Loans ASC 310-10'!F247="","",' Impaired Loans ASC 310-10'!F247)</f>
        <v/>
      </c>
      <c r="G247" s="574">
        <f>IF(' Impaired Loans ASC 310-10'!G247="","",' Impaired Loans ASC 310-10'!G247)</f>
        <v/>
      </c>
      <c r="H247" s="574">
        <f>IF(' Impaired Loans ASC 310-10'!H247="","",' Impaired Loans ASC 310-10'!H247)</f>
        <v/>
      </c>
      <c r="I247" s="574">
        <f>IF(' Impaired Loans ASC 310-10'!I247="","",' Impaired Loans ASC 310-10'!I247)</f>
        <v/>
      </c>
      <c r="J247" s="574">
        <f>IF(' Impaired Loans ASC 310-10'!J247="","",' Impaired Loans ASC 310-10'!J247)</f>
        <v/>
      </c>
      <c r="K247" s="584" t="n"/>
      <c r="L247" s="578">
        <f>IFERROR(A247,"")</f>
        <v/>
      </c>
      <c r="M247" s="849">
        <f>IF(' Impaired Loans ASC 310-10'!A247="","",' Impaired Loans ASC 310-10'!K247)</f>
        <v/>
      </c>
      <c r="N247" s="580">
        <f>IF(' Impaired Loans ASC 310-10'!A247="","",' Impaired Loans ASC 310-10'!L247)</f>
        <v/>
      </c>
      <c r="O247" s="581">
        <f>IF(' Impaired Loans ASC 310-10'!A247="","",' Impaired Loans ASC 310-10'!M247)</f>
        <v/>
      </c>
      <c r="P247" s="582">
        <f>IF(' Impaired Loans ASC 310-10'!A247="","",' Impaired Loans ASC 310-10'!O247)</f>
        <v/>
      </c>
      <c r="Q247" s="583">
        <f>IF(' Impaired Loans ASC 310-10'!A247="","",' Impaired Loans ASC 310-10'!N247)</f>
        <v/>
      </c>
      <c r="R247" s="583">
        <f>IF(' Impaired Loans ASC 310-10'!A247="","",' Impaired Loans ASC 310-10'!P247)</f>
        <v/>
      </c>
      <c r="S247" s="583">
        <f>IF(' Impaired Loans ASC 310-10'!A247="","",' Impaired Loans ASC 310-10'!Q247)</f>
        <v/>
      </c>
    </row>
    <row r="248">
      <c r="A248" s="573">
        <f>IF(' Impaired Loans ASC 310-10'!A248="","",' Impaired Loans ASC 310-10'!A248)</f>
        <v/>
      </c>
      <c r="B248" s="573">
        <f>IF(' Impaired Loans ASC 310-10'!B248="","",' Impaired Loans ASC 310-10'!B248)</f>
        <v/>
      </c>
      <c r="C248" s="573">
        <f>IF(' Impaired Loans ASC 310-10'!C248="","",' Impaired Loans ASC 310-10'!C248)</f>
        <v/>
      </c>
      <c r="D248" s="573">
        <f>IF(' Impaired Loans ASC 310-10'!D248="","",' Impaired Loans ASC 310-10'!D248)</f>
        <v/>
      </c>
      <c r="E248" s="574">
        <f>IF(' Impaired Loans ASC 310-10'!E248="","",' Impaired Loans ASC 310-10'!E248)</f>
        <v/>
      </c>
      <c r="F248" s="575">
        <f>IF(' Impaired Loans ASC 310-10'!F248="","",' Impaired Loans ASC 310-10'!F248)</f>
        <v/>
      </c>
      <c r="G248" s="574">
        <f>IF(' Impaired Loans ASC 310-10'!G248="","",' Impaired Loans ASC 310-10'!G248)</f>
        <v/>
      </c>
      <c r="H248" s="574">
        <f>IF(' Impaired Loans ASC 310-10'!H248="","",' Impaired Loans ASC 310-10'!H248)</f>
        <v/>
      </c>
      <c r="I248" s="574">
        <f>IF(' Impaired Loans ASC 310-10'!I248="","",' Impaired Loans ASC 310-10'!I248)</f>
        <v/>
      </c>
      <c r="J248" s="574">
        <f>IF(' Impaired Loans ASC 310-10'!J248="","",' Impaired Loans ASC 310-10'!J248)</f>
        <v/>
      </c>
      <c r="K248" s="584" t="n"/>
      <c r="L248" s="578">
        <f>IFERROR(A248,"")</f>
        <v/>
      </c>
      <c r="M248" s="849">
        <f>IF(' Impaired Loans ASC 310-10'!A248="","",' Impaired Loans ASC 310-10'!K248)</f>
        <v/>
      </c>
      <c r="N248" s="580">
        <f>IF(' Impaired Loans ASC 310-10'!A248="","",' Impaired Loans ASC 310-10'!L248)</f>
        <v/>
      </c>
      <c r="O248" s="581">
        <f>IF(' Impaired Loans ASC 310-10'!A248="","",' Impaired Loans ASC 310-10'!M248)</f>
        <v/>
      </c>
      <c r="P248" s="582">
        <f>IF(' Impaired Loans ASC 310-10'!A248="","",' Impaired Loans ASC 310-10'!O248)</f>
        <v/>
      </c>
      <c r="Q248" s="583">
        <f>IF(' Impaired Loans ASC 310-10'!A248="","",' Impaired Loans ASC 310-10'!N248)</f>
        <v/>
      </c>
      <c r="R248" s="583">
        <f>IF(' Impaired Loans ASC 310-10'!A248="","",' Impaired Loans ASC 310-10'!P248)</f>
        <v/>
      </c>
      <c r="S248" s="583">
        <f>IF(' Impaired Loans ASC 310-10'!A248="","",' Impaired Loans ASC 310-10'!Q248)</f>
        <v/>
      </c>
    </row>
    <row r="249">
      <c r="A249" s="573">
        <f>IF(' Impaired Loans ASC 310-10'!A249="","",' Impaired Loans ASC 310-10'!A249)</f>
        <v/>
      </c>
      <c r="B249" s="573">
        <f>IF(' Impaired Loans ASC 310-10'!B249="","",' Impaired Loans ASC 310-10'!B249)</f>
        <v/>
      </c>
      <c r="C249" s="573">
        <f>IF(' Impaired Loans ASC 310-10'!C249="","",' Impaired Loans ASC 310-10'!C249)</f>
        <v/>
      </c>
      <c r="D249" s="573">
        <f>IF(' Impaired Loans ASC 310-10'!D249="","",' Impaired Loans ASC 310-10'!D249)</f>
        <v/>
      </c>
      <c r="E249" s="574">
        <f>IF(' Impaired Loans ASC 310-10'!E249="","",' Impaired Loans ASC 310-10'!E249)</f>
        <v/>
      </c>
      <c r="F249" s="575">
        <f>IF(' Impaired Loans ASC 310-10'!F249="","",' Impaired Loans ASC 310-10'!F249)</f>
        <v/>
      </c>
      <c r="G249" s="574">
        <f>IF(' Impaired Loans ASC 310-10'!G249="","",' Impaired Loans ASC 310-10'!G249)</f>
        <v/>
      </c>
      <c r="H249" s="574">
        <f>IF(' Impaired Loans ASC 310-10'!H249="","",' Impaired Loans ASC 310-10'!H249)</f>
        <v/>
      </c>
      <c r="I249" s="574">
        <f>IF(' Impaired Loans ASC 310-10'!I249="","",' Impaired Loans ASC 310-10'!I249)</f>
        <v/>
      </c>
      <c r="J249" s="574">
        <f>IF(' Impaired Loans ASC 310-10'!J249="","",' Impaired Loans ASC 310-10'!J249)</f>
        <v/>
      </c>
      <c r="K249" s="584" t="n"/>
      <c r="L249" s="578">
        <f>IFERROR(A249,"")</f>
        <v/>
      </c>
      <c r="M249" s="849">
        <f>IF(' Impaired Loans ASC 310-10'!A249="","",' Impaired Loans ASC 310-10'!K249)</f>
        <v/>
      </c>
      <c r="N249" s="580">
        <f>IF(' Impaired Loans ASC 310-10'!A249="","",' Impaired Loans ASC 310-10'!L249)</f>
        <v/>
      </c>
      <c r="O249" s="581">
        <f>IF(' Impaired Loans ASC 310-10'!A249="","",' Impaired Loans ASC 310-10'!M249)</f>
        <v/>
      </c>
      <c r="P249" s="582">
        <f>IF(' Impaired Loans ASC 310-10'!A249="","",' Impaired Loans ASC 310-10'!O249)</f>
        <v/>
      </c>
      <c r="Q249" s="583">
        <f>IF(' Impaired Loans ASC 310-10'!A249="","",' Impaired Loans ASC 310-10'!N249)</f>
        <v/>
      </c>
      <c r="R249" s="583">
        <f>IF(' Impaired Loans ASC 310-10'!A249="","",' Impaired Loans ASC 310-10'!P249)</f>
        <v/>
      </c>
      <c r="S249" s="583">
        <f>IF(' Impaired Loans ASC 310-10'!A249="","",' Impaired Loans ASC 310-10'!Q249)</f>
        <v/>
      </c>
    </row>
    <row r="250">
      <c r="A250" s="573">
        <f>IF(' Impaired Loans ASC 310-10'!A250="","",' Impaired Loans ASC 310-10'!A250)</f>
        <v/>
      </c>
      <c r="B250" s="573">
        <f>IF(' Impaired Loans ASC 310-10'!B250="","",' Impaired Loans ASC 310-10'!B250)</f>
        <v/>
      </c>
      <c r="C250" s="573">
        <f>IF(' Impaired Loans ASC 310-10'!C250="","",' Impaired Loans ASC 310-10'!C250)</f>
        <v/>
      </c>
      <c r="D250" s="573">
        <f>IF(' Impaired Loans ASC 310-10'!D250="","",' Impaired Loans ASC 310-10'!D250)</f>
        <v/>
      </c>
      <c r="E250" s="574">
        <f>IF(' Impaired Loans ASC 310-10'!E250="","",' Impaired Loans ASC 310-10'!E250)</f>
        <v/>
      </c>
      <c r="F250" s="575">
        <f>IF(' Impaired Loans ASC 310-10'!F250="","",' Impaired Loans ASC 310-10'!F250)</f>
        <v/>
      </c>
      <c r="G250" s="574">
        <f>IF(' Impaired Loans ASC 310-10'!G250="","",' Impaired Loans ASC 310-10'!G250)</f>
        <v/>
      </c>
      <c r="H250" s="574">
        <f>IF(' Impaired Loans ASC 310-10'!H250="","",' Impaired Loans ASC 310-10'!H250)</f>
        <v/>
      </c>
      <c r="I250" s="574">
        <f>IF(' Impaired Loans ASC 310-10'!I250="","",' Impaired Loans ASC 310-10'!I250)</f>
        <v/>
      </c>
      <c r="J250" s="574">
        <f>IF(' Impaired Loans ASC 310-10'!J250="","",' Impaired Loans ASC 310-10'!J250)</f>
        <v/>
      </c>
      <c r="K250" s="584" t="n"/>
      <c r="L250" s="578">
        <f>IFERROR(A250,"")</f>
        <v/>
      </c>
      <c r="M250" s="849">
        <f>IF(' Impaired Loans ASC 310-10'!A250="","",' Impaired Loans ASC 310-10'!K250)</f>
        <v/>
      </c>
      <c r="N250" s="580">
        <f>IF(' Impaired Loans ASC 310-10'!A250="","",' Impaired Loans ASC 310-10'!L250)</f>
        <v/>
      </c>
      <c r="O250" s="581">
        <f>IF(' Impaired Loans ASC 310-10'!A250="","",' Impaired Loans ASC 310-10'!M250)</f>
        <v/>
      </c>
      <c r="P250" s="582">
        <f>IF(' Impaired Loans ASC 310-10'!A250="","",' Impaired Loans ASC 310-10'!O250)</f>
        <v/>
      </c>
      <c r="Q250" s="583">
        <f>IF(' Impaired Loans ASC 310-10'!A250="","",' Impaired Loans ASC 310-10'!N250)</f>
        <v/>
      </c>
      <c r="R250" s="583">
        <f>IF(' Impaired Loans ASC 310-10'!A250="","",' Impaired Loans ASC 310-10'!P250)</f>
        <v/>
      </c>
      <c r="S250" s="583">
        <f>IF(' Impaired Loans ASC 310-10'!A250="","",' Impaired Loans ASC 310-10'!Q250)</f>
        <v/>
      </c>
    </row>
    <row r="251">
      <c r="A251" s="573">
        <f>IF(' Impaired Loans ASC 310-10'!A251="","",' Impaired Loans ASC 310-10'!A251)</f>
        <v/>
      </c>
      <c r="B251" s="573">
        <f>IF(' Impaired Loans ASC 310-10'!B251="","",' Impaired Loans ASC 310-10'!B251)</f>
        <v/>
      </c>
      <c r="C251" s="573">
        <f>IF(' Impaired Loans ASC 310-10'!C251="","",' Impaired Loans ASC 310-10'!C251)</f>
        <v/>
      </c>
      <c r="D251" s="573">
        <f>IF(' Impaired Loans ASC 310-10'!D251="","",' Impaired Loans ASC 310-10'!D251)</f>
        <v/>
      </c>
      <c r="E251" s="574">
        <f>IF(' Impaired Loans ASC 310-10'!E251="","",' Impaired Loans ASC 310-10'!E251)</f>
        <v/>
      </c>
      <c r="F251" s="575">
        <f>IF(' Impaired Loans ASC 310-10'!F251="","",' Impaired Loans ASC 310-10'!F251)</f>
        <v/>
      </c>
      <c r="G251" s="574">
        <f>IF(' Impaired Loans ASC 310-10'!G251="","",' Impaired Loans ASC 310-10'!G251)</f>
        <v/>
      </c>
      <c r="H251" s="574">
        <f>IF(' Impaired Loans ASC 310-10'!H251="","",' Impaired Loans ASC 310-10'!H251)</f>
        <v/>
      </c>
      <c r="I251" s="574">
        <f>IF(' Impaired Loans ASC 310-10'!I251="","",' Impaired Loans ASC 310-10'!I251)</f>
        <v/>
      </c>
      <c r="J251" s="574">
        <f>IF(' Impaired Loans ASC 310-10'!J251="","",' Impaired Loans ASC 310-10'!J251)</f>
        <v/>
      </c>
      <c r="K251" s="584" t="n"/>
      <c r="L251" s="578">
        <f>IFERROR(A251,"")</f>
        <v/>
      </c>
      <c r="M251" s="849">
        <f>IF(' Impaired Loans ASC 310-10'!A251="","",' Impaired Loans ASC 310-10'!K251)</f>
        <v/>
      </c>
      <c r="N251" s="580">
        <f>IF(' Impaired Loans ASC 310-10'!A251="","",' Impaired Loans ASC 310-10'!L251)</f>
        <v/>
      </c>
      <c r="O251" s="581">
        <f>IF(' Impaired Loans ASC 310-10'!A251="","",' Impaired Loans ASC 310-10'!M251)</f>
        <v/>
      </c>
      <c r="P251" s="582">
        <f>IF(' Impaired Loans ASC 310-10'!A251="","",' Impaired Loans ASC 310-10'!O251)</f>
        <v/>
      </c>
      <c r="Q251" s="583">
        <f>IF(' Impaired Loans ASC 310-10'!A251="","",' Impaired Loans ASC 310-10'!N251)</f>
        <v/>
      </c>
      <c r="R251" s="583">
        <f>IF(' Impaired Loans ASC 310-10'!A251="","",' Impaired Loans ASC 310-10'!P251)</f>
        <v/>
      </c>
      <c r="S251" s="583">
        <f>IF(' Impaired Loans ASC 310-10'!A251="","",' Impaired Loans ASC 310-10'!Q251)</f>
        <v/>
      </c>
    </row>
    <row r="252">
      <c r="A252" s="573">
        <f>IF(' Impaired Loans ASC 310-10'!A252="","",' Impaired Loans ASC 310-10'!A252)</f>
        <v/>
      </c>
      <c r="B252" s="573">
        <f>IF(' Impaired Loans ASC 310-10'!B252="","",' Impaired Loans ASC 310-10'!B252)</f>
        <v/>
      </c>
      <c r="C252" s="573">
        <f>IF(' Impaired Loans ASC 310-10'!C252="","",' Impaired Loans ASC 310-10'!C252)</f>
        <v/>
      </c>
      <c r="D252" s="573">
        <f>IF(' Impaired Loans ASC 310-10'!D252="","",' Impaired Loans ASC 310-10'!D252)</f>
        <v/>
      </c>
      <c r="E252" s="574">
        <f>IF(' Impaired Loans ASC 310-10'!E252="","",' Impaired Loans ASC 310-10'!E252)</f>
        <v/>
      </c>
      <c r="F252" s="575">
        <f>IF(' Impaired Loans ASC 310-10'!F252="","",' Impaired Loans ASC 310-10'!F252)</f>
        <v/>
      </c>
      <c r="G252" s="574">
        <f>IF(' Impaired Loans ASC 310-10'!G252="","",' Impaired Loans ASC 310-10'!G252)</f>
        <v/>
      </c>
      <c r="H252" s="574">
        <f>IF(' Impaired Loans ASC 310-10'!H252="","",' Impaired Loans ASC 310-10'!H252)</f>
        <v/>
      </c>
      <c r="I252" s="574">
        <f>IF(' Impaired Loans ASC 310-10'!I252="","",' Impaired Loans ASC 310-10'!I252)</f>
        <v/>
      </c>
      <c r="J252" s="574">
        <f>IF(' Impaired Loans ASC 310-10'!J252="","",' Impaired Loans ASC 310-10'!J252)</f>
        <v/>
      </c>
      <c r="K252" s="584" t="n"/>
      <c r="L252" s="578">
        <f>IFERROR(A252,"")</f>
        <v/>
      </c>
      <c r="M252" s="849">
        <f>IF(' Impaired Loans ASC 310-10'!A252="","",' Impaired Loans ASC 310-10'!K252)</f>
        <v/>
      </c>
      <c r="N252" s="580">
        <f>IF(' Impaired Loans ASC 310-10'!A252="","",' Impaired Loans ASC 310-10'!L252)</f>
        <v/>
      </c>
      <c r="O252" s="581">
        <f>IF(' Impaired Loans ASC 310-10'!A252="","",' Impaired Loans ASC 310-10'!M252)</f>
        <v/>
      </c>
      <c r="P252" s="582">
        <f>IF(' Impaired Loans ASC 310-10'!A252="","",' Impaired Loans ASC 310-10'!O252)</f>
        <v/>
      </c>
      <c r="Q252" s="583">
        <f>IF(' Impaired Loans ASC 310-10'!A252="","",' Impaired Loans ASC 310-10'!N252)</f>
        <v/>
      </c>
      <c r="R252" s="583">
        <f>IF(' Impaired Loans ASC 310-10'!A252="","",' Impaired Loans ASC 310-10'!P252)</f>
        <v/>
      </c>
      <c r="S252" s="583">
        <f>IF(' Impaired Loans ASC 310-10'!A252="","",' Impaired Loans ASC 310-10'!Q252)</f>
        <v/>
      </c>
    </row>
    <row r="253">
      <c r="A253" s="573">
        <f>IF(' Impaired Loans ASC 310-10'!A253="","",' Impaired Loans ASC 310-10'!A253)</f>
        <v/>
      </c>
      <c r="B253" s="573">
        <f>IF(' Impaired Loans ASC 310-10'!B253="","",' Impaired Loans ASC 310-10'!B253)</f>
        <v/>
      </c>
      <c r="C253" s="573">
        <f>IF(' Impaired Loans ASC 310-10'!C253="","",' Impaired Loans ASC 310-10'!C253)</f>
        <v/>
      </c>
      <c r="D253" s="573">
        <f>IF(' Impaired Loans ASC 310-10'!D253="","",' Impaired Loans ASC 310-10'!D253)</f>
        <v/>
      </c>
      <c r="E253" s="574">
        <f>IF(' Impaired Loans ASC 310-10'!E253="","",' Impaired Loans ASC 310-10'!E253)</f>
        <v/>
      </c>
      <c r="F253" s="575">
        <f>IF(' Impaired Loans ASC 310-10'!F253="","",' Impaired Loans ASC 310-10'!F253)</f>
        <v/>
      </c>
      <c r="G253" s="574">
        <f>IF(' Impaired Loans ASC 310-10'!G253="","",' Impaired Loans ASC 310-10'!G253)</f>
        <v/>
      </c>
      <c r="H253" s="574">
        <f>IF(' Impaired Loans ASC 310-10'!H253="","",' Impaired Loans ASC 310-10'!H253)</f>
        <v/>
      </c>
      <c r="I253" s="574">
        <f>IF(' Impaired Loans ASC 310-10'!I253="","",' Impaired Loans ASC 310-10'!I253)</f>
        <v/>
      </c>
      <c r="J253" s="574">
        <f>IF(' Impaired Loans ASC 310-10'!J253="","",' Impaired Loans ASC 310-10'!J253)</f>
        <v/>
      </c>
      <c r="K253" s="584" t="n"/>
      <c r="L253" s="578">
        <f>IFERROR(A253,"")</f>
        <v/>
      </c>
      <c r="M253" s="849">
        <f>IF(' Impaired Loans ASC 310-10'!A253="","",' Impaired Loans ASC 310-10'!K253)</f>
        <v/>
      </c>
      <c r="N253" s="580">
        <f>IF(' Impaired Loans ASC 310-10'!A253="","",' Impaired Loans ASC 310-10'!L253)</f>
        <v/>
      </c>
      <c r="O253" s="581">
        <f>IF(' Impaired Loans ASC 310-10'!A253="","",' Impaired Loans ASC 310-10'!M253)</f>
        <v/>
      </c>
      <c r="P253" s="582">
        <f>IF(' Impaired Loans ASC 310-10'!A253="","",' Impaired Loans ASC 310-10'!O253)</f>
        <v/>
      </c>
      <c r="Q253" s="583">
        <f>IF(' Impaired Loans ASC 310-10'!A253="","",' Impaired Loans ASC 310-10'!N253)</f>
        <v/>
      </c>
      <c r="R253" s="583">
        <f>IF(' Impaired Loans ASC 310-10'!A253="","",' Impaired Loans ASC 310-10'!P253)</f>
        <v/>
      </c>
      <c r="S253" s="583">
        <f>IF(' Impaired Loans ASC 310-10'!A253="","",' Impaired Loans ASC 310-10'!Q253)</f>
        <v/>
      </c>
    </row>
    <row r="254">
      <c r="A254" s="573">
        <f>IF(' Impaired Loans ASC 310-10'!A254="","",' Impaired Loans ASC 310-10'!A254)</f>
        <v/>
      </c>
      <c r="B254" s="573">
        <f>IF(' Impaired Loans ASC 310-10'!B254="","",' Impaired Loans ASC 310-10'!B254)</f>
        <v/>
      </c>
      <c r="C254" s="573">
        <f>IF(' Impaired Loans ASC 310-10'!C254="","",' Impaired Loans ASC 310-10'!C254)</f>
        <v/>
      </c>
      <c r="D254" s="573">
        <f>IF(' Impaired Loans ASC 310-10'!D254="","",' Impaired Loans ASC 310-10'!D254)</f>
        <v/>
      </c>
      <c r="E254" s="574">
        <f>IF(' Impaired Loans ASC 310-10'!E254="","",' Impaired Loans ASC 310-10'!E254)</f>
        <v/>
      </c>
      <c r="F254" s="575">
        <f>IF(' Impaired Loans ASC 310-10'!F254="","",' Impaired Loans ASC 310-10'!F254)</f>
        <v/>
      </c>
      <c r="G254" s="574">
        <f>IF(' Impaired Loans ASC 310-10'!G254="","",' Impaired Loans ASC 310-10'!G254)</f>
        <v/>
      </c>
      <c r="H254" s="574">
        <f>IF(' Impaired Loans ASC 310-10'!H254="","",' Impaired Loans ASC 310-10'!H254)</f>
        <v/>
      </c>
      <c r="I254" s="574">
        <f>IF(' Impaired Loans ASC 310-10'!I254="","",' Impaired Loans ASC 310-10'!I254)</f>
        <v/>
      </c>
      <c r="J254" s="574">
        <f>IF(' Impaired Loans ASC 310-10'!J254="","",' Impaired Loans ASC 310-10'!J254)</f>
        <v/>
      </c>
      <c r="K254" s="584" t="n"/>
      <c r="L254" s="578">
        <f>IFERROR(A254,"")</f>
        <v/>
      </c>
      <c r="M254" s="849">
        <f>IF(' Impaired Loans ASC 310-10'!A254="","",' Impaired Loans ASC 310-10'!K254)</f>
        <v/>
      </c>
      <c r="N254" s="580">
        <f>IF(' Impaired Loans ASC 310-10'!A254="","",' Impaired Loans ASC 310-10'!L254)</f>
        <v/>
      </c>
      <c r="O254" s="581">
        <f>IF(' Impaired Loans ASC 310-10'!A254="","",' Impaired Loans ASC 310-10'!M254)</f>
        <v/>
      </c>
      <c r="P254" s="582">
        <f>IF(' Impaired Loans ASC 310-10'!A254="","",' Impaired Loans ASC 310-10'!O254)</f>
        <v/>
      </c>
      <c r="Q254" s="583">
        <f>IF(' Impaired Loans ASC 310-10'!A254="","",' Impaired Loans ASC 310-10'!N254)</f>
        <v/>
      </c>
      <c r="R254" s="583">
        <f>IF(' Impaired Loans ASC 310-10'!A254="","",' Impaired Loans ASC 310-10'!P254)</f>
        <v/>
      </c>
      <c r="S254" s="583">
        <f>IF(' Impaired Loans ASC 310-10'!A254="","",' Impaired Loans ASC 310-10'!Q254)</f>
        <v/>
      </c>
    </row>
    <row r="255">
      <c r="A255" s="573">
        <f>IF(' Impaired Loans ASC 310-10'!A255="","",' Impaired Loans ASC 310-10'!A255)</f>
        <v/>
      </c>
      <c r="B255" s="573">
        <f>IF(' Impaired Loans ASC 310-10'!B255="","",' Impaired Loans ASC 310-10'!B255)</f>
        <v/>
      </c>
      <c r="C255" s="573">
        <f>IF(' Impaired Loans ASC 310-10'!C255="","",' Impaired Loans ASC 310-10'!C255)</f>
        <v/>
      </c>
      <c r="D255" s="573">
        <f>IF(' Impaired Loans ASC 310-10'!D255="","",' Impaired Loans ASC 310-10'!D255)</f>
        <v/>
      </c>
      <c r="E255" s="574">
        <f>IF(' Impaired Loans ASC 310-10'!E255="","",' Impaired Loans ASC 310-10'!E255)</f>
        <v/>
      </c>
      <c r="F255" s="575">
        <f>IF(' Impaired Loans ASC 310-10'!F255="","",' Impaired Loans ASC 310-10'!F255)</f>
        <v/>
      </c>
      <c r="G255" s="574">
        <f>IF(' Impaired Loans ASC 310-10'!G255="","",' Impaired Loans ASC 310-10'!G255)</f>
        <v/>
      </c>
      <c r="H255" s="574">
        <f>IF(' Impaired Loans ASC 310-10'!H255="","",' Impaired Loans ASC 310-10'!H255)</f>
        <v/>
      </c>
      <c r="I255" s="574">
        <f>IF(' Impaired Loans ASC 310-10'!I255="","",' Impaired Loans ASC 310-10'!I255)</f>
        <v/>
      </c>
      <c r="J255" s="574">
        <f>IF(' Impaired Loans ASC 310-10'!J255="","",' Impaired Loans ASC 310-10'!J255)</f>
        <v/>
      </c>
      <c r="K255" s="584" t="n"/>
      <c r="L255" s="578">
        <f>IFERROR(A255,"")</f>
        <v/>
      </c>
      <c r="M255" s="849">
        <f>IF(' Impaired Loans ASC 310-10'!A255="","",' Impaired Loans ASC 310-10'!K255)</f>
        <v/>
      </c>
      <c r="N255" s="580">
        <f>IF(' Impaired Loans ASC 310-10'!A255="","",' Impaired Loans ASC 310-10'!L255)</f>
        <v/>
      </c>
      <c r="O255" s="581">
        <f>IF(' Impaired Loans ASC 310-10'!A255="","",' Impaired Loans ASC 310-10'!M255)</f>
        <v/>
      </c>
      <c r="P255" s="582">
        <f>IF(' Impaired Loans ASC 310-10'!A255="","",' Impaired Loans ASC 310-10'!O255)</f>
        <v/>
      </c>
      <c r="Q255" s="583">
        <f>IF(' Impaired Loans ASC 310-10'!A255="","",' Impaired Loans ASC 310-10'!N255)</f>
        <v/>
      </c>
      <c r="R255" s="583">
        <f>IF(' Impaired Loans ASC 310-10'!A255="","",' Impaired Loans ASC 310-10'!P255)</f>
        <v/>
      </c>
      <c r="S255" s="583">
        <f>IF(' Impaired Loans ASC 310-10'!A255="","",' Impaired Loans ASC 310-10'!Q255)</f>
        <v/>
      </c>
    </row>
    <row r="256">
      <c r="A256" s="573">
        <f>IF(' Impaired Loans ASC 310-10'!A256="","",' Impaired Loans ASC 310-10'!A256)</f>
        <v/>
      </c>
      <c r="B256" s="573">
        <f>IF(' Impaired Loans ASC 310-10'!B256="","",' Impaired Loans ASC 310-10'!B256)</f>
        <v/>
      </c>
      <c r="C256" s="573">
        <f>IF(' Impaired Loans ASC 310-10'!C256="","",' Impaired Loans ASC 310-10'!C256)</f>
        <v/>
      </c>
      <c r="D256" s="573">
        <f>IF(' Impaired Loans ASC 310-10'!D256="","",' Impaired Loans ASC 310-10'!D256)</f>
        <v/>
      </c>
      <c r="E256" s="574">
        <f>IF(' Impaired Loans ASC 310-10'!E256="","",' Impaired Loans ASC 310-10'!E256)</f>
        <v/>
      </c>
      <c r="F256" s="575">
        <f>IF(' Impaired Loans ASC 310-10'!F256="","",' Impaired Loans ASC 310-10'!F256)</f>
        <v/>
      </c>
      <c r="G256" s="574">
        <f>IF(' Impaired Loans ASC 310-10'!G256="","",' Impaired Loans ASC 310-10'!G256)</f>
        <v/>
      </c>
      <c r="H256" s="574">
        <f>IF(' Impaired Loans ASC 310-10'!H256="","",' Impaired Loans ASC 310-10'!H256)</f>
        <v/>
      </c>
      <c r="I256" s="574">
        <f>IF(' Impaired Loans ASC 310-10'!I256="","",' Impaired Loans ASC 310-10'!I256)</f>
        <v/>
      </c>
      <c r="J256" s="574">
        <f>IF(' Impaired Loans ASC 310-10'!J256="","",' Impaired Loans ASC 310-10'!J256)</f>
        <v/>
      </c>
      <c r="K256" s="584" t="n"/>
      <c r="L256" s="578">
        <f>IFERROR(A256,"")</f>
        <v/>
      </c>
      <c r="M256" s="849">
        <f>IF(' Impaired Loans ASC 310-10'!A256="","",' Impaired Loans ASC 310-10'!K256)</f>
        <v/>
      </c>
      <c r="N256" s="580">
        <f>IF(' Impaired Loans ASC 310-10'!A256="","",' Impaired Loans ASC 310-10'!L256)</f>
        <v/>
      </c>
      <c r="O256" s="581">
        <f>IF(' Impaired Loans ASC 310-10'!A256="","",' Impaired Loans ASC 310-10'!M256)</f>
        <v/>
      </c>
      <c r="P256" s="582">
        <f>IF(' Impaired Loans ASC 310-10'!A256="","",' Impaired Loans ASC 310-10'!O256)</f>
        <v/>
      </c>
      <c r="Q256" s="583">
        <f>IF(' Impaired Loans ASC 310-10'!A256="","",' Impaired Loans ASC 310-10'!N256)</f>
        <v/>
      </c>
      <c r="R256" s="583">
        <f>IF(' Impaired Loans ASC 310-10'!A256="","",' Impaired Loans ASC 310-10'!P256)</f>
        <v/>
      </c>
      <c r="S256" s="583">
        <f>IF(' Impaired Loans ASC 310-10'!A256="","",' Impaired Loans ASC 310-10'!Q256)</f>
        <v/>
      </c>
    </row>
    <row r="257">
      <c r="A257" s="573">
        <f>IF(' Impaired Loans ASC 310-10'!A257="","",' Impaired Loans ASC 310-10'!A257)</f>
        <v/>
      </c>
      <c r="B257" s="573">
        <f>IF(' Impaired Loans ASC 310-10'!B257="","",' Impaired Loans ASC 310-10'!B257)</f>
        <v/>
      </c>
      <c r="C257" s="573">
        <f>IF(' Impaired Loans ASC 310-10'!C257="","",' Impaired Loans ASC 310-10'!C257)</f>
        <v/>
      </c>
      <c r="D257" s="573">
        <f>IF(' Impaired Loans ASC 310-10'!D257="","",' Impaired Loans ASC 310-10'!D257)</f>
        <v/>
      </c>
      <c r="E257" s="574">
        <f>IF(' Impaired Loans ASC 310-10'!E257="","",' Impaired Loans ASC 310-10'!E257)</f>
        <v/>
      </c>
      <c r="F257" s="575">
        <f>IF(' Impaired Loans ASC 310-10'!F257="","",' Impaired Loans ASC 310-10'!F257)</f>
        <v/>
      </c>
      <c r="G257" s="574">
        <f>IF(' Impaired Loans ASC 310-10'!G257="","",' Impaired Loans ASC 310-10'!G257)</f>
        <v/>
      </c>
      <c r="H257" s="574">
        <f>IF(' Impaired Loans ASC 310-10'!H257="","",' Impaired Loans ASC 310-10'!H257)</f>
        <v/>
      </c>
      <c r="I257" s="574">
        <f>IF(' Impaired Loans ASC 310-10'!I257="","",' Impaired Loans ASC 310-10'!I257)</f>
        <v/>
      </c>
      <c r="J257" s="574">
        <f>IF(' Impaired Loans ASC 310-10'!J257="","",' Impaired Loans ASC 310-10'!J257)</f>
        <v/>
      </c>
      <c r="K257" s="584" t="n"/>
      <c r="L257" s="578">
        <f>IFERROR(A257,"")</f>
        <v/>
      </c>
      <c r="M257" s="849">
        <f>IF(' Impaired Loans ASC 310-10'!A257="","",' Impaired Loans ASC 310-10'!K257)</f>
        <v/>
      </c>
      <c r="N257" s="580">
        <f>IF(' Impaired Loans ASC 310-10'!A257="","",' Impaired Loans ASC 310-10'!L257)</f>
        <v/>
      </c>
      <c r="O257" s="581">
        <f>IF(' Impaired Loans ASC 310-10'!A257="","",' Impaired Loans ASC 310-10'!M257)</f>
        <v/>
      </c>
      <c r="P257" s="582">
        <f>IF(' Impaired Loans ASC 310-10'!A257="","",' Impaired Loans ASC 310-10'!O257)</f>
        <v/>
      </c>
      <c r="Q257" s="583">
        <f>IF(' Impaired Loans ASC 310-10'!A257="","",' Impaired Loans ASC 310-10'!N257)</f>
        <v/>
      </c>
      <c r="R257" s="583">
        <f>IF(' Impaired Loans ASC 310-10'!A257="","",' Impaired Loans ASC 310-10'!P257)</f>
        <v/>
      </c>
      <c r="S257" s="583">
        <f>IF(' Impaired Loans ASC 310-10'!A257="","",' Impaired Loans ASC 310-10'!Q257)</f>
        <v/>
      </c>
    </row>
    <row r="258">
      <c r="A258" s="573">
        <f>IF(' Impaired Loans ASC 310-10'!A258="","",' Impaired Loans ASC 310-10'!A258)</f>
        <v/>
      </c>
      <c r="B258" s="573">
        <f>IF(' Impaired Loans ASC 310-10'!B258="","",' Impaired Loans ASC 310-10'!B258)</f>
        <v/>
      </c>
      <c r="C258" s="573">
        <f>IF(' Impaired Loans ASC 310-10'!C258="","",' Impaired Loans ASC 310-10'!C258)</f>
        <v/>
      </c>
      <c r="D258" s="573">
        <f>IF(' Impaired Loans ASC 310-10'!D258="","",' Impaired Loans ASC 310-10'!D258)</f>
        <v/>
      </c>
      <c r="E258" s="574">
        <f>IF(' Impaired Loans ASC 310-10'!E258="","",' Impaired Loans ASC 310-10'!E258)</f>
        <v/>
      </c>
      <c r="F258" s="575">
        <f>IF(' Impaired Loans ASC 310-10'!F258="","",' Impaired Loans ASC 310-10'!F258)</f>
        <v/>
      </c>
      <c r="G258" s="574">
        <f>IF(' Impaired Loans ASC 310-10'!G258="","",' Impaired Loans ASC 310-10'!G258)</f>
        <v/>
      </c>
      <c r="H258" s="574">
        <f>IF(' Impaired Loans ASC 310-10'!H258="","",' Impaired Loans ASC 310-10'!H258)</f>
        <v/>
      </c>
      <c r="I258" s="574">
        <f>IF(' Impaired Loans ASC 310-10'!I258="","",' Impaired Loans ASC 310-10'!I258)</f>
        <v/>
      </c>
      <c r="J258" s="574">
        <f>IF(' Impaired Loans ASC 310-10'!J258="","",' Impaired Loans ASC 310-10'!J258)</f>
        <v/>
      </c>
      <c r="K258" s="584" t="n"/>
      <c r="L258" s="578">
        <f>IFERROR(A258,"")</f>
        <v/>
      </c>
      <c r="M258" s="849">
        <f>IF(' Impaired Loans ASC 310-10'!A258="","",' Impaired Loans ASC 310-10'!K258)</f>
        <v/>
      </c>
      <c r="N258" s="580">
        <f>IF(' Impaired Loans ASC 310-10'!A258="","",' Impaired Loans ASC 310-10'!L258)</f>
        <v/>
      </c>
      <c r="O258" s="581">
        <f>IF(' Impaired Loans ASC 310-10'!A258="","",' Impaired Loans ASC 310-10'!M258)</f>
        <v/>
      </c>
      <c r="P258" s="582">
        <f>IF(' Impaired Loans ASC 310-10'!A258="","",' Impaired Loans ASC 310-10'!O258)</f>
        <v/>
      </c>
      <c r="Q258" s="583">
        <f>IF(' Impaired Loans ASC 310-10'!A258="","",' Impaired Loans ASC 310-10'!N258)</f>
        <v/>
      </c>
      <c r="R258" s="583">
        <f>IF(' Impaired Loans ASC 310-10'!A258="","",' Impaired Loans ASC 310-10'!P258)</f>
        <v/>
      </c>
      <c r="S258" s="583">
        <f>IF(' Impaired Loans ASC 310-10'!A258="","",' Impaired Loans ASC 310-10'!Q258)</f>
        <v/>
      </c>
    </row>
    <row r="259">
      <c r="A259" s="573">
        <f>IF(' Impaired Loans ASC 310-10'!A259="","",' Impaired Loans ASC 310-10'!A259)</f>
        <v/>
      </c>
      <c r="B259" s="573">
        <f>IF(' Impaired Loans ASC 310-10'!B259="","",' Impaired Loans ASC 310-10'!B259)</f>
        <v/>
      </c>
      <c r="C259" s="573">
        <f>IF(' Impaired Loans ASC 310-10'!C259="","",' Impaired Loans ASC 310-10'!C259)</f>
        <v/>
      </c>
      <c r="D259" s="573">
        <f>IF(' Impaired Loans ASC 310-10'!D259="","",' Impaired Loans ASC 310-10'!D259)</f>
        <v/>
      </c>
      <c r="E259" s="574">
        <f>IF(' Impaired Loans ASC 310-10'!E259="","",' Impaired Loans ASC 310-10'!E259)</f>
        <v/>
      </c>
      <c r="F259" s="575">
        <f>IF(' Impaired Loans ASC 310-10'!F259="","",' Impaired Loans ASC 310-10'!F259)</f>
        <v/>
      </c>
      <c r="G259" s="574">
        <f>IF(' Impaired Loans ASC 310-10'!G259="","",' Impaired Loans ASC 310-10'!G259)</f>
        <v/>
      </c>
      <c r="H259" s="574">
        <f>IF(' Impaired Loans ASC 310-10'!H259="","",' Impaired Loans ASC 310-10'!H259)</f>
        <v/>
      </c>
      <c r="I259" s="574">
        <f>IF(' Impaired Loans ASC 310-10'!I259="","",' Impaired Loans ASC 310-10'!I259)</f>
        <v/>
      </c>
      <c r="J259" s="574">
        <f>IF(' Impaired Loans ASC 310-10'!J259="","",' Impaired Loans ASC 310-10'!J259)</f>
        <v/>
      </c>
      <c r="K259" s="584" t="n"/>
      <c r="L259" s="578">
        <f>IFERROR(A259,"")</f>
        <v/>
      </c>
      <c r="M259" s="849">
        <f>IF(' Impaired Loans ASC 310-10'!A259="","",' Impaired Loans ASC 310-10'!K259)</f>
        <v/>
      </c>
      <c r="N259" s="580">
        <f>IF(' Impaired Loans ASC 310-10'!A259="","",' Impaired Loans ASC 310-10'!L259)</f>
        <v/>
      </c>
      <c r="O259" s="581">
        <f>IF(' Impaired Loans ASC 310-10'!A259="","",' Impaired Loans ASC 310-10'!M259)</f>
        <v/>
      </c>
      <c r="P259" s="582">
        <f>IF(' Impaired Loans ASC 310-10'!A259="","",' Impaired Loans ASC 310-10'!O259)</f>
        <v/>
      </c>
      <c r="Q259" s="583">
        <f>IF(' Impaired Loans ASC 310-10'!A259="","",' Impaired Loans ASC 310-10'!N259)</f>
        <v/>
      </c>
      <c r="R259" s="583">
        <f>IF(' Impaired Loans ASC 310-10'!A259="","",' Impaired Loans ASC 310-10'!P259)</f>
        <v/>
      </c>
      <c r="S259" s="583">
        <f>IF(' Impaired Loans ASC 310-10'!A259="","",' Impaired Loans ASC 310-10'!Q259)</f>
        <v/>
      </c>
    </row>
    <row r="260">
      <c r="A260" s="573">
        <f>IF(' Impaired Loans ASC 310-10'!A260="","",' Impaired Loans ASC 310-10'!A260)</f>
        <v/>
      </c>
      <c r="B260" s="573">
        <f>IF(' Impaired Loans ASC 310-10'!B260="","",' Impaired Loans ASC 310-10'!B260)</f>
        <v/>
      </c>
      <c r="C260" s="573">
        <f>IF(' Impaired Loans ASC 310-10'!C260="","",' Impaired Loans ASC 310-10'!C260)</f>
        <v/>
      </c>
      <c r="D260" s="573">
        <f>IF(' Impaired Loans ASC 310-10'!D260="","",' Impaired Loans ASC 310-10'!D260)</f>
        <v/>
      </c>
      <c r="E260" s="574">
        <f>IF(' Impaired Loans ASC 310-10'!E260="","",' Impaired Loans ASC 310-10'!E260)</f>
        <v/>
      </c>
      <c r="F260" s="575">
        <f>IF(' Impaired Loans ASC 310-10'!F260="","",' Impaired Loans ASC 310-10'!F260)</f>
        <v/>
      </c>
      <c r="G260" s="574">
        <f>IF(' Impaired Loans ASC 310-10'!G260="","",' Impaired Loans ASC 310-10'!G260)</f>
        <v/>
      </c>
      <c r="H260" s="574">
        <f>IF(' Impaired Loans ASC 310-10'!H260="","",' Impaired Loans ASC 310-10'!H260)</f>
        <v/>
      </c>
      <c r="I260" s="574">
        <f>IF(' Impaired Loans ASC 310-10'!I260="","",' Impaired Loans ASC 310-10'!I260)</f>
        <v/>
      </c>
      <c r="J260" s="574">
        <f>IF(' Impaired Loans ASC 310-10'!J260="","",' Impaired Loans ASC 310-10'!J260)</f>
        <v/>
      </c>
      <c r="K260" s="584" t="n"/>
      <c r="L260" s="578">
        <f>IFERROR(A260,"")</f>
        <v/>
      </c>
      <c r="M260" s="849">
        <f>IF(' Impaired Loans ASC 310-10'!A260="","",' Impaired Loans ASC 310-10'!K260)</f>
        <v/>
      </c>
      <c r="N260" s="580">
        <f>IF(' Impaired Loans ASC 310-10'!A260="","",' Impaired Loans ASC 310-10'!L260)</f>
        <v/>
      </c>
      <c r="O260" s="581">
        <f>IF(' Impaired Loans ASC 310-10'!A260="","",' Impaired Loans ASC 310-10'!M260)</f>
        <v/>
      </c>
      <c r="P260" s="582">
        <f>IF(' Impaired Loans ASC 310-10'!A260="","",' Impaired Loans ASC 310-10'!O260)</f>
        <v/>
      </c>
      <c r="Q260" s="583">
        <f>IF(' Impaired Loans ASC 310-10'!A260="","",' Impaired Loans ASC 310-10'!N260)</f>
        <v/>
      </c>
      <c r="R260" s="583">
        <f>IF(' Impaired Loans ASC 310-10'!A260="","",' Impaired Loans ASC 310-10'!P260)</f>
        <v/>
      </c>
      <c r="S260" s="583">
        <f>IF(' Impaired Loans ASC 310-10'!A260="","",' Impaired Loans ASC 310-10'!Q260)</f>
        <v/>
      </c>
    </row>
    <row r="261">
      <c r="A261" s="573">
        <f>IF(' Impaired Loans ASC 310-10'!A261="","",' Impaired Loans ASC 310-10'!A261)</f>
        <v/>
      </c>
      <c r="B261" s="573">
        <f>IF(' Impaired Loans ASC 310-10'!B261="","",' Impaired Loans ASC 310-10'!B261)</f>
        <v/>
      </c>
      <c r="C261" s="573">
        <f>IF(' Impaired Loans ASC 310-10'!C261="","",' Impaired Loans ASC 310-10'!C261)</f>
        <v/>
      </c>
      <c r="D261" s="573">
        <f>IF(' Impaired Loans ASC 310-10'!D261="","",' Impaired Loans ASC 310-10'!D261)</f>
        <v/>
      </c>
      <c r="E261" s="574">
        <f>IF(' Impaired Loans ASC 310-10'!E261="","",' Impaired Loans ASC 310-10'!E261)</f>
        <v/>
      </c>
      <c r="F261" s="575">
        <f>IF(' Impaired Loans ASC 310-10'!F261="","",' Impaired Loans ASC 310-10'!F261)</f>
        <v/>
      </c>
      <c r="G261" s="574">
        <f>IF(' Impaired Loans ASC 310-10'!G261="","",' Impaired Loans ASC 310-10'!G261)</f>
        <v/>
      </c>
      <c r="H261" s="574">
        <f>IF(' Impaired Loans ASC 310-10'!H261="","",' Impaired Loans ASC 310-10'!H261)</f>
        <v/>
      </c>
      <c r="I261" s="574">
        <f>IF(' Impaired Loans ASC 310-10'!I261="","",' Impaired Loans ASC 310-10'!I261)</f>
        <v/>
      </c>
      <c r="J261" s="574">
        <f>IF(' Impaired Loans ASC 310-10'!J261="","",' Impaired Loans ASC 310-10'!J261)</f>
        <v/>
      </c>
      <c r="K261" s="584" t="n"/>
      <c r="L261" s="578">
        <f>IFERROR(A261,"")</f>
        <v/>
      </c>
      <c r="M261" s="849">
        <f>IF(' Impaired Loans ASC 310-10'!A261="","",' Impaired Loans ASC 310-10'!K261)</f>
        <v/>
      </c>
      <c r="N261" s="580">
        <f>IF(' Impaired Loans ASC 310-10'!A261="","",' Impaired Loans ASC 310-10'!L261)</f>
        <v/>
      </c>
      <c r="O261" s="581">
        <f>IF(' Impaired Loans ASC 310-10'!A261="","",' Impaired Loans ASC 310-10'!M261)</f>
        <v/>
      </c>
      <c r="P261" s="582">
        <f>IF(' Impaired Loans ASC 310-10'!A261="","",' Impaired Loans ASC 310-10'!O261)</f>
        <v/>
      </c>
      <c r="Q261" s="583">
        <f>IF(' Impaired Loans ASC 310-10'!A261="","",' Impaired Loans ASC 310-10'!N261)</f>
        <v/>
      </c>
      <c r="R261" s="583">
        <f>IF(' Impaired Loans ASC 310-10'!A261="","",' Impaired Loans ASC 310-10'!P261)</f>
        <v/>
      </c>
      <c r="S261" s="583">
        <f>IF(' Impaired Loans ASC 310-10'!A261="","",' Impaired Loans ASC 310-10'!Q261)</f>
        <v/>
      </c>
    </row>
    <row r="262">
      <c r="A262" s="573">
        <f>IF(' Impaired Loans ASC 310-10'!A262="","",' Impaired Loans ASC 310-10'!A262)</f>
        <v/>
      </c>
      <c r="B262" s="573">
        <f>IF(' Impaired Loans ASC 310-10'!B262="","",' Impaired Loans ASC 310-10'!B262)</f>
        <v/>
      </c>
      <c r="C262" s="573">
        <f>IF(' Impaired Loans ASC 310-10'!C262="","",' Impaired Loans ASC 310-10'!C262)</f>
        <v/>
      </c>
      <c r="D262" s="573">
        <f>IF(' Impaired Loans ASC 310-10'!D262="","",' Impaired Loans ASC 310-10'!D262)</f>
        <v/>
      </c>
      <c r="E262" s="574">
        <f>IF(' Impaired Loans ASC 310-10'!E262="","",' Impaired Loans ASC 310-10'!E262)</f>
        <v/>
      </c>
      <c r="F262" s="575">
        <f>IF(' Impaired Loans ASC 310-10'!F262="","",' Impaired Loans ASC 310-10'!F262)</f>
        <v/>
      </c>
      <c r="G262" s="574">
        <f>IF(' Impaired Loans ASC 310-10'!G262="","",' Impaired Loans ASC 310-10'!G262)</f>
        <v/>
      </c>
      <c r="H262" s="574">
        <f>IF(' Impaired Loans ASC 310-10'!H262="","",' Impaired Loans ASC 310-10'!H262)</f>
        <v/>
      </c>
      <c r="I262" s="574">
        <f>IF(' Impaired Loans ASC 310-10'!I262="","",' Impaired Loans ASC 310-10'!I262)</f>
        <v/>
      </c>
      <c r="J262" s="574">
        <f>IF(' Impaired Loans ASC 310-10'!J262="","",' Impaired Loans ASC 310-10'!J262)</f>
        <v/>
      </c>
      <c r="K262" s="584" t="n"/>
      <c r="L262" s="578">
        <f>IFERROR(A262,"")</f>
        <v/>
      </c>
      <c r="M262" s="849">
        <f>IF(' Impaired Loans ASC 310-10'!A262="","",' Impaired Loans ASC 310-10'!K262)</f>
        <v/>
      </c>
      <c r="N262" s="580">
        <f>IF(' Impaired Loans ASC 310-10'!A262="","",' Impaired Loans ASC 310-10'!L262)</f>
        <v/>
      </c>
      <c r="O262" s="581">
        <f>IF(' Impaired Loans ASC 310-10'!A262="","",' Impaired Loans ASC 310-10'!M262)</f>
        <v/>
      </c>
      <c r="P262" s="582">
        <f>IF(' Impaired Loans ASC 310-10'!A262="","",' Impaired Loans ASC 310-10'!O262)</f>
        <v/>
      </c>
      <c r="Q262" s="583">
        <f>IF(' Impaired Loans ASC 310-10'!A262="","",' Impaired Loans ASC 310-10'!N262)</f>
        <v/>
      </c>
      <c r="R262" s="583">
        <f>IF(' Impaired Loans ASC 310-10'!A262="","",' Impaired Loans ASC 310-10'!P262)</f>
        <v/>
      </c>
      <c r="S262" s="583">
        <f>IF(' Impaired Loans ASC 310-10'!A262="","",' Impaired Loans ASC 310-10'!Q262)</f>
        <v/>
      </c>
    </row>
    <row r="263">
      <c r="A263" s="573">
        <f>IF(' Impaired Loans ASC 310-10'!A263="","",' Impaired Loans ASC 310-10'!A263)</f>
        <v/>
      </c>
      <c r="B263" s="573">
        <f>IF(' Impaired Loans ASC 310-10'!B263="","",' Impaired Loans ASC 310-10'!B263)</f>
        <v/>
      </c>
      <c r="C263" s="573">
        <f>IF(' Impaired Loans ASC 310-10'!C263="","",' Impaired Loans ASC 310-10'!C263)</f>
        <v/>
      </c>
      <c r="D263" s="573">
        <f>IF(' Impaired Loans ASC 310-10'!D263="","",' Impaired Loans ASC 310-10'!D263)</f>
        <v/>
      </c>
      <c r="E263" s="574">
        <f>IF(' Impaired Loans ASC 310-10'!E263="","",' Impaired Loans ASC 310-10'!E263)</f>
        <v/>
      </c>
      <c r="F263" s="575">
        <f>IF(' Impaired Loans ASC 310-10'!F263="","",' Impaired Loans ASC 310-10'!F263)</f>
        <v/>
      </c>
      <c r="G263" s="574">
        <f>IF(' Impaired Loans ASC 310-10'!G263="","",' Impaired Loans ASC 310-10'!G263)</f>
        <v/>
      </c>
      <c r="H263" s="574">
        <f>IF(' Impaired Loans ASC 310-10'!H263="","",' Impaired Loans ASC 310-10'!H263)</f>
        <v/>
      </c>
      <c r="I263" s="574">
        <f>IF(' Impaired Loans ASC 310-10'!I263="","",' Impaired Loans ASC 310-10'!I263)</f>
        <v/>
      </c>
      <c r="J263" s="574">
        <f>IF(' Impaired Loans ASC 310-10'!J263="","",' Impaired Loans ASC 310-10'!J263)</f>
        <v/>
      </c>
      <c r="K263" s="584" t="n"/>
      <c r="L263" s="578">
        <f>IFERROR(A263,"")</f>
        <v/>
      </c>
      <c r="M263" s="849">
        <f>IF(' Impaired Loans ASC 310-10'!A263="","",' Impaired Loans ASC 310-10'!K263)</f>
        <v/>
      </c>
      <c r="N263" s="580">
        <f>IF(' Impaired Loans ASC 310-10'!A263="","",' Impaired Loans ASC 310-10'!L263)</f>
        <v/>
      </c>
      <c r="O263" s="581">
        <f>IF(' Impaired Loans ASC 310-10'!A263="","",' Impaired Loans ASC 310-10'!M263)</f>
        <v/>
      </c>
      <c r="P263" s="582">
        <f>IF(' Impaired Loans ASC 310-10'!A263="","",' Impaired Loans ASC 310-10'!O263)</f>
        <v/>
      </c>
      <c r="Q263" s="583">
        <f>IF(' Impaired Loans ASC 310-10'!A263="","",' Impaired Loans ASC 310-10'!N263)</f>
        <v/>
      </c>
      <c r="R263" s="583">
        <f>IF(' Impaired Loans ASC 310-10'!A263="","",' Impaired Loans ASC 310-10'!P263)</f>
        <v/>
      </c>
      <c r="S263" s="583">
        <f>IF(' Impaired Loans ASC 310-10'!A263="","",' Impaired Loans ASC 310-10'!Q263)</f>
        <v/>
      </c>
    </row>
    <row r="264">
      <c r="A264" s="573">
        <f>IF(' Impaired Loans ASC 310-10'!A264="","",' Impaired Loans ASC 310-10'!A264)</f>
        <v/>
      </c>
      <c r="B264" s="573">
        <f>IF(' Impaired Loans ASC 310-10'!B264="","",' Impaired Loans ASC 310-10'!B264)</f>
        <v/>
      </c>
      <c r="C264" s="573">
        <f>IF(' Impaired Loans ASC 310-10'!C264="","",' Impaired Loans ASC 310-10'!C264)</f>
        <v/>
      </c>
      <c r="D264" s="573">
        <f>IF(' Impaired Loans ASC 310-10'!D264="","",' Impaired Loans ASC 310-10'!D264)</f>
        <v/>
      </c>
      <c r="E264" s="574">
        <f>IF(' Impaired Loans ASC 310-10'!E264="","",' Impaired Loans ASC 310-10'!E264)</f>
        <v/>
      </c>
      <c r="F264" s="575">
        <f>IF(' Impaired Loans ASC 310-10'!F264="","",' Impaired Loans ASC 310-10'!F264)</f>
        <v/>
      </c>
      <c r="G264" s="574">
        <f>IF(' Impaired Loans ASC 310-10'!G264="","",' Impaired Loans ASC 310-10'!G264)</f>
        <v/>
      </c>
      <c r="H264" s="574">
        <f>IF(' Impaired Loans ASC 310-10'!H264="","",' Impaired Loans ASC 310-10'!H264)</f>
        <v/>
      </c>
      <c r="I264" s="574">
        <f>IF(' Impaired Loans ASC 310-10'!I264="","",' Impaired Loans ASC 310-10'!I264)</f>
        <v/>
      </c>
      <c r="J264" s="574">
        <f>IF(' Impaired Loans ASC 310-10'!J264="","",' Impaired Loans ASC 310-10'!J264)</f>
        <v/>
      </c>
      <c r="K264" s="584" t="n"/>
      <c r="L264" s="578">
        <f>IFERROR(A264,"")</f>
        <v/>
      </c>
      <c r="M264" s="849">
        <f>IF(' Impaired Loans ASC 310-10'!A264="","",' Impaired Loans ASC 310-10'!K264)</f>
        <v/>
      </c>
      <c r="N264" s="580">
        <f>IF(' Impaired Loans ASC 310-10'!A264="","",' Impaired Loans ASC 310-10'!L264)</f>
        <v/>
      </c>
      <c r="O264" s="581">
        <f>IF(' Impaired Loans ASC 310-10'!A264="","",' Impaired Loans ASC 310-10'!M264)</f>
        <v/>
      </c>
      <c r="P264" s="582">
        <f>IF(' Impaired Loans ASC 310-10'!A264="","",' Impaired Loans ASC 310-10'!O264)</f>
        <v/>
      </c>
      <c r="Q264" s="583">
        <f>IF(' Impaired Loans ASC 310-10'!A264="","",' Impaired Loans ASC 310-10'!N264)</f>
        <v/>
      </c>
      <c r="R264" s="583">
        <f>IF(' Impaired Loans ASC 310-10'!A264="","",' Impaired Loans ASC 310-10'!P264)</f>
        <v/>
      </c>
      <c r="S264" s="583">
        <f>IF(' Impaired Loans ASC 310-10'!A264="","",' Impaired Loans ASC 310-10'!Q264)</f>
        <v/>
      </c>
    </row>
    <row r="265">
      <c r="A265" s="573">
        <f>IF(' Impaired Loans ASC 310-10'!A265="","",' Impaired Loans ASC 310-10'!A265)</f>
        <v/>
      </c>
      <c r="B265" s="573">
        <f>IF(' Impaired Loans ASC 310-10'!B265="","",' Impaired Loans ASC 310-10'!B265)</f>
        <v/>
      </c>
      <c r="C265" s="573">
        <f>IF(' Impaired Loans ASC 310-10'!C265="","",' Impaired Loans ASC 310-10'!C265)</f>
        <v/>
      </c>
      <c r="D265" s="573">
        <f>IF(' Impaired Loans ASC 310-10'!D265="","",' Impaired Loans ASC 310-10'!D265)</f>
        <v/>
      </c>
      <c r="E265" s="574">
        <f>IF(' Impaired Loans ASC 310-10'!E265="","",' Impaired Loans ASC 310-10'!E265)</f>
        <v/>
      </c>
      <c r="F265" s="575">
        <f>IF(' Impaired Loans ASC 310-10'!F265="","",' Impaired Loans ASC 310-10'!F265)</f>
        <v/>
      </c>
      <c r="G265" s="574">
        <f>IF(' Impaired Loans ASC 310-10'!G265="","",' Impaired Loans ASC 310-10'!G265)</f>
        <v/>
      </c>
      <c r="H265" s="574">
        <f>IF(' Impaired Loans ASC 310-10'!H265="","",' Impaired Loans ASC 310-10'!H265)</f>
        <v/>
      </c>
      <c r="I265" s="574">
        <f>IF(' Impaired Loans ASC 310-10'!I265="","",' Impaired Loans ASC 310-10'!I265)</f>
        <v/>
      </c>
      <c r="J265" s="574">
        <f>IF(' Impaired Loans ASC 310-10'!J265="","",' Impaired Loans ASC 310-10'!J265)</f>
        <v/>
      </c>
      <c r="K265" s="584" t="n"/>
      <c r="L265" s="578">
        <f>IFERROR(A265,"")</f>
        <v/>
      </c>
      <c r="M265" s="849">
        <f>IF(' Impaired Loans ASC 310-10'!A265="","",' Impaired Loans ASC 310-10'!K265)</f>
        <v/>
      </c>
      <c r="N265" s="580">
        <f>IF(' Impaired Loans ASC 310-10'!A265="","",' Impaired Loans ASC 310-10'!L265)</f>
        <v/>
      </c>
      <c r="O265" s="581">
        <f>IF(' Impaired Loans ASC 310-10'!A265="","",' Impaired Loans ASC 310-10'!M265)</f>
        <v/>
      </c>
      <c r="P265" s="582">
        <f>IF(' Impaired Loans ASC 310-10'!A265="","",' Impaired Loans ASC 310-10'!O265)</f>
        <v/>
      </c>
      <c r="Q265" s="583">
        <f>IF(' Impaired Loans ASC 310-10'!A265="","",' Impaired Loans ASC 310-10'!N265)</f>
        <v/>
      </c>
      <c r="R265" s="583">
        <f>IF(' Impaired Loans ASC 310-10'!A265="","",' Impaired Loans ASC 310-10'!P265)</f>
        <v/>
      </c>
      <c r="S265" s="583">
        <f>IF(' Impaired Loans ASC 310-10'!A265="","",' Impaired Loans ASC 310-10'!Q265)</f>
        <v/>
      </c>
    </row>
    <row r="266">
      <c r="A266" s="573">
        <f>IF(' Impaired Loans ASC 310-10'!A266="","",' Impaired Loans ASC 310-10'!A266)</f>
        <v/>
      </c>
      <c r="B266" s="573">
        <f>IF(' Impaired Loans ASC 310-10'!B266="","",' Impaired Loans ASC 310-10'!B266)</f>
        <v/>
      </c>
      <c r="C266" s="573">
        <f>IF(' Impaired Loans ASC 310-10'!C266="","",' Impaired Loans ASC 310-10'!C266)</f>
        <v/>
      </c>
      <c r="D266" s="573">
        <f>IF(' Impaired Loans ASC 310-10'!D266="","",' Impaired Loans ASC 310-10'!D266)</f>
        <v/>
      </c>
      <c r="E266" s="574">
        <f>IF(' Impaired Loans ASC 310-10'!E266="","",' Impaired Loans ASC 310-10'!E266)</f>
        <v/>
      </c>
      <c r="F266" s="575">
        <f>IF(' Impaired Loans ASC 310-10'!F266="","",' Impaired Loans ASC 310-10'!F266)</f>
        <v/>
      </c>
      <c r="G266" s="574">
        <f>IF(' Impaired Loans ASC 310-10'!G266="","",' Impaired Loans ASC 310-10'!G266)</f>
        <v/>
      </c>
      <c r="H266" s="574">
        <f>IF(' Impaired Loans ASC 310-10'!H266="","",' Impaired Loans ASC 310-10'!H266)</f>
        <v/>
      </c>
      <c r="I266" s="574">
        <f>IF(' Impaired Loans ASC 310-10'!I266="","",' Impaired Loans ASC 310-10'!I266)</f>
        <v/>
      </c>
      <c r="J266" s="574">
        <f>IF(' Impaired Loans ASC 310-10'!J266="","",' Impaired Loans ASC 310-10'!J266)</f>
        <v/>
      </c>
      <c r="K266" s="584" t="n"/>
      <c r="L266" s="578">
        <f>IFERROR(A266,"")</f>
        <v/>
      </c>
      <c r="M266" s="849">
        <f>IF(' Impaired Loans ASC 310-10'!A266="","",' Impaired Loans ASC 310-10'!K266)</f>
        <v/>
      </c>
      <c r="N266" s="580">
        <f>IF(' Impaired Loans ASC 310-10'!A266="","",' Impaired Loans ASC 310-10'!L266)</f>
        <v/>
      </c>
      <c r="O266" s="581">
        <f>IF(' Impaired Loans ASC 310-10'!A266="","",' Impaired Loans ASC 310-10'!M266)</f>
        <v/>
      </c>
      <c r="P266" s="582">
        <f>IF(' Impaired Loans ASC 310-10'!A266="","",' Impaired Loans ASC 310-10'!O266)</f>
        <v/>
      </c>
      <c r="Q266" s="583">
        <f>IF(' Impaired Loans ASC 310-10'!A266="","",' Impaired Loans ASC 310-10'!N266)</f>
        <v/>
      </c>
      <c r="R266" s="583">
        <f>IF(' Impaired Loans ASC 310-10'!A266="","",' Impaired Loans ASC 310-10'!P266)</f>
        <v/>
      </c>
      <c r="S266" s="583">
        <f>IF(' Impaired Loans ASC 310-10'!A266="","",' Impaired Loans ASC 310-10'!Q266)</f>
        <v/>
      </c>
    </row>
    <row r="267">
      <c r="A267" s="573">
        <f>IF(' Impaired Loans ASC 310-10'!A267="","",' Impaired Loans ASC 310-10'!A267)</f>
        <v/>
      </c>
      <c r="B267" s="573">
        <f>IF(' Impaired Loans ASC 310-10'!B267="","",' Impaired Loans ASC 310-10'!B267)</f>
        <v/>
      </c>
      <c r="C267" s="573">
        <f>IF(' Impaired Loans ASC 310-10'!C267="","",' Impaired Loans ASC 310-10'!C267)</f>
        <v/>
      </c>
      <c r="D267" s="573">
        <f>IF(' Impaired Loans ASC 310-10'!D267="","",' Impaired Loans ASC 310-10'!D267)</f>
        <v/>
      </c>
      <c r="E267" s="574">
        <f>IF(' Impaired Loans ASC 310-10'!E267="","",' Impaired Loans ASC 310-10'!E267)</f>
        <v/>
      </c>
      <c r="F267" s="575">
        <f>IF(' Impaired Loans ASC 310-10'!F267="","",' Impaired Loans ASC 310-10'!F267)</f>
        <v/>
      </c>
      <c r="G267" s="574">
        <f>IF(' Impaired Loans ASC 310-10'!G267="","",' Impaired Loans ASC 310-10'!G267)</f>
        <v/>
      </c>
      <c r="H267" s="574">
        <f>IF(' Impaired Loans ASC 310-10'!H267="","",' Impaired Loans ASC 310-10'!H267)</f>
        <v/>
      </c>
      <c r="I267" s="574">
        <f>IF(' Impaired Loans ASC 310-10'!I267="","",' Impaired Loans ASC 310-10'!I267)</f>
        <v/>
      </c>
      <c r="J267" s="574">
        <f>IF(' Impaired Loans ASC 310-10'!J267="","",' Impaired Loans ASC 310-10'!J267)</f>
        <v/>
      </c>
      <c r="K267" s="584" t="n"/>
      <c r="L267" s="578">
        <f>IFERROR(A267,"")</f>
        <v/>
      </c>
      <c r="M267" s="849">
        <f>IF(' Impaired Loans ASC 310-10'!A267="","",' Impaired Loans ASC 310-10'!K267)</f>
        <v/>
      </c>
      <c r="N267" s="580">
        <f>IF(' Impaired Loans ASC 310-10'!A267="","",' Impaired Loans ASC 310-10'!L267)</f>
        <v/>
      </c>
      <c r="O267" s="581">
        <f>IF(' Impaired Loans ASC 310-10'!A267="","",' Impaired Loans ASC 310-10'!M267)</f>
        <v/>
      </c>
      <c r="P267" s="582">
        <f>IF(' Impaired Loans ASC 310-10'!A267="","",' Impaired Loans ASC 310-10'!O267)</f>
        <v/>
      </c>
      <c r="Q267" s="583">
        <f>IF(' Impaired Loans ASC 310-10'!A267="","",' Impaired Loans ASC 310-10'!N267)</f>
        <v/>
      </c>
      <c r="R267" s="583">
        <f>IF(' Impaired Loans ASC 310-10'!A267="","",' Impaired Loans ASC 310-10'!P267)</f>
        <v/>
      </c>
      <c r="S267" s="583">
        <f>IF(' Impaired Loans ASC 310-10'!A267="","",' Impaired Loans ASC 310-10'!Q267)</f>
        <v/>
      </c>
    </row>
    <row r="268">
      <c r="A268" s="573">
        <f>IF(' Impaired Loans ASC 310-10'!A268="","",' Impaired Loans ASC 310-10'!A268)</f>
        <v/>
      </c>
      <c r="B268" s="573">
        <f>IF(' Impaired Loans ASC 310-10'!B268="","",' Impaired Loans ASC 310-10'!B268)</f>
        <v/>
      </c>
      <c r="C268" s="573">
        <f>IF(' Impaired Loans ASC 310-10'!C268="","",' Impaired Loans ASC 310-10'!C268)</f>
        <v/>
      </c>
      <c r="D268" s="573">
        <f>IF(' Impaired Loans ASC 310-10'!D268="","",' Impaired Loans ASC 310-10'!D268)</f>
        <v/>
      </c>
      <c r="E268" s="574">
        <f>IF(' Impaired Loans ASC 310-10'!E268="","",' Impaired Loans ASC 310-10'!E268)</f>
        <v/>
      </c>
      <c r="F268" s="575">
        <f>IF(' Impaired Loans ASC 310-10'!F268="","",' Impaired Loans ASC 310-10'!F268)</f>
        <v/>
      </c>
      <c r="G268" s="574">
        <f>IF(' Impaired Loans ASC 310-10'!G268="","",' Impaired Loans ASC 310-10'!G268)</f>
        <v/>
      </c>
      <c r="H268" s="574">
        <f>IF(' Impaired Loans ASC 310-10'!H268="","",' Impaired Loans ASC 310-10'!H268)</f>
        <v/>
      </c>
      <c r="I268" s="574">
        <f>IF(' Impaired Loans ASC 310-10'!I268="","",' Impaired Loans ASC 310-10'!I268)</f>
        <v/>
      </c>
      <c r="J268" s="574">
        <f>IF(' Impaired Loans ASC 310-10'!J268="","",' Impaired Loans ASC 310-10'!J268)</f>
        <v/>
      </c>
      <c r="K268" s="584" t="n"/>
      <c r="L268" s="578">
        <f>IFERROR(A268,"")</f>
        <v/>
      </c>
      <c r="M268" s="849">
        <f>IF(' Impaired Loans ASC 310-10'!A268="","",' Impaired Loans ASC 310-10'!K268)</f>
        <v/>
      </c>
      <c r="N268" s="580">
        <f>IF(' Impaired Loans ASC 310-10'!A268="","",' Impaired Loans ASC 310-10'!L268)</f>
        <v/>
      </c>
      <c r="O268" s="581">
        <f>IF(' Impaired Loans ASC 310-10'!A268="","",' Impaired Loans ASC 310-10'!M268)</f>
        <v/>
      </c>
      <c r="P268" s="582">
        <f>IF(' Impaired Loans ASC 310-10'!A268="","",' Impaired Loans ASC 310-10'!O268)</f>
        <v/>
      </c>
      <c r="Q268" s="583">
        <f>IF(' Impaired Loans ASC 310-10'!A268="","",' Impaired Loans ASC 310-10'!N268)</f>
        <v/>
      </c>
      <c r="R268" s="583">
        <f>IF(' Impaired Loans ASC 310-10'!A268="","",' Impaired Loans ASC 310-10'!P268)</f>
        <v/>
      </c>
      <c r="S268" s="583">
        <f>IF(' Impaired Loans ASC 310-10'!A268="","",' Impaired Loans ASC 310-10'!Q268)</f>
        <v/>
      </c>
    </row>
    <row r="269">
      <c r="A269" s="573">
        <f>IF(' Impaired Loans ASC 310-10'!A269="","",' Impaired Loans ASC 310-10'!A269)</f>
        <v/>
      </c>
      <c r="B269" s="573">
        <f>IF(' Impaired Loans ASC 310-10'!B269="","",' Impaired Loans ASC 310-10'!B269)</f>
        <v/>
      </c>
      <c r="C269" s="573">
        <f>IF(' Impaired Loans ASC 310-10'!C269="","",' Impaired Loans ASC 310-10'!C269)</f>
        <v/>
      </c>
      <c r="D269" s="573">
        <f>IF(' Impaired Loans ASC 310-10'!D269="","",' Impaired Loans ASC 310-10'!D269)</f>
        <v/>
      </c>
      <c r="E269" s="574">
        <f>IF(' Impaired Loans ASC 310-10'!E269="","",' Impaired Loans ASC 310-10'!E269)</f>
        <v/>
      </c>
      <c r="F269" s="575">
        <f>IF(' Impaired Loans ASC 310-10'!F269="","",' Impaired Loans ASC 310-10'!F269)</f>
        <v/>
      </c>
      <c r="G269" s="574">
        <f>IF(' Impaired Loans ASC 310-10'!G269="","",' Impaired Loans ASC 310-10'!G269)</f>
        <v/>
      </c>
      <c r="H269" s="574">
        <f>IF(' Impaired Loans ASC 310-10'!H269="","",' Impaired Loans ASC 310-10'!H269)</f>
        <v/>
      </c>
      <c r="I269" s="574">
        <f>IF(' Impaired Loans ASC 310-10'!I269="","",' Impaired Loans ASC 310-10'!I269)</f>
        <v/>
      </c>
      <c r="J269" s="574">
        <f>IF(' Impaired Loans ASC 310-10'!J269="","",' Impaired Loans ASC 310-10'!J269)</f>
        <v/>
      </c>
      <c r="K269" s="584" t="n"/>
      <c r="L269" s="578">
        <f>IFERROR(A269,"")</f>
        <v/>
      </c>
      <c r="M269" s="849">
        <f>IF(' Impaired Loans ASC 310-10'!A269="","",' Impaired Loans ASC 310-10'!K269)</f>
        <v/>
      </c>
      <c r="N269" s="580">
        <f>IF(' Impaired Loans ASC 310-10'!A269="","",' Impaired Loans ASC 310-10'!L269)</f>
        <v/>
      </c>
      <c r="O269" s="581">
        <f>IF(' Impaired Loans ASC 310-10'!A269="","",' Impaired Loans ASC 310-10'!M269)</f>
        <v/>
      </c>
      <c r="P269" s="582">
        <f>IF(' Impaired Loans ASC 310-10'!A269="","",' Impaired Loans ASC 310-10'!O269)</f>
        <v/>
      </c>
      <c r="Q269" s="583">
        <f>IF(' Impaired Loans ASC 310-10'!A269="","",' Impaired Loans ASC 310-10'!N269)</f>
        <v/>
      </c>
      <c r="R269" s="583">
        <f>IF(' Impaired Loans ASC 310-10'!A269="","",' Impaired Loans ASC 310-10'!P269)</f>
        <v/>
      </c>
      <c r="S269" s="583">
        <f>IF(' Impaired Loans ASC 310-10'!A269="","",' Impaired Loans ASC 310-10'!Q269)</f>
        <v/>
      </c>
    </row>
    <row r="270">
      <c r="A270" s="573">
        <f>IF(' Impaired Loans ASC 310-10'!A270="","",' Impaired Loans ASC 310-10'!A270)</f>
        <v/>
      </c>
      <c r="B270" s="573">
        <f>IF(' Impaired Loans ASC 310-10'!B270="","",' Impaired Loans ASC 310-10'!B270)</f>
        <v/>
      </c>
      <c r="C270" s="573">
        <f>IF(' Impaired Loans ASC 310-10'!C270="","",' Impaired Loans ASC 310-10'!C270)</f>
        <v/>
      </c>
      <c r="D270" s="573">
        <f>IF(' Impaired Loans ASC 310-10'!D270="","",' Impaired Loans ASC 310-10'!D270)</f>
        <v/>
      </c>
      <c r="E270" s="574">
        <f>IF(' Impaired Loans ASC 310-10'!E270="","",' Impaired Loans ASC 310-10'!E270)</f>
        <v/>
      </c>
      <c r="F270" s="575">
        <f>IF(' Impaired Loans ASC 310-10'!F270="","",' Impaired Loans ASC 310-10'!F270)</f>
        <v/>
      </c>
      <c r="G270" s="574">
        <f>IF(' Impaired Loans ASC 310-10'!G270="","",' Impaired Loans ASC 310-10'!G270)</f>
        <v/>
      </c>
      <c r="H270" s="574">
        <f>IF(' Impaired Loans ASC 310-10'!H270="","",' Impaired Loans ASC 310-10'!H270)</f>
        <v/>
      </c>
      <c r="I270" s="574">
        <f>IF(' Impaired Loans ASC 310-10'!I270="","",' Impaired Loans ASC 310-10'!I270)</f>
        <v/>
      </c>
      <c r="J270" s="574">
        <f>IF(' Impaired Loans ASC 310-10'!J270="","",' Impaired Loans ASC 310-10'!J270)</f>
        <v/>
      </c>
      <c r="K270" s="584" t="n"/>
      <c r="L270" s="578">
        <f>IFERROR(A270,"")</f>
        <v/>
      </c>
      <c r="M270" s="849">
        <f>IF(' Impaired Loans ASC 310-10'!A270="","",' Impaired Loans ASC 310-10'!K270)</f>
        <v/>
      </c>
      <c r="N270" s="580">
        <f>IF(' Impaired Loans ASC 310-10'!A270="","",' Impaired Loans ASC 310-10'!L270)</f>
        <v/>
      </c>
      <c r="O270" s="581">
        <f>IF(' Impaired Loans ASC 310-10'!A270="","",' Impaired Loans ASC 310-10'!M270)</f>
        <v/>
      </c>
      <c r="P270" s="582">
        <f>IF(' Impaired Loans ASC 310-10'!A270="","",' Impaired Loans ASC 310-10'!O270)</f>
        <v/>
      </c>
      <c r="Q270" s="583">
        <f>IF(' Impaired Loans ASC 310-10'!A270="","",' Impaired Loans ASC 310-10'!N270)</f>
        <v/>
      </c>
      <c r="R270" s="583">
        <f>IF(' Impaired Loans ASC 310-10'!A270="","",' Impaired Loans ASC 310-10'!P270)</f>
        <v/>
      </c>
      <c r="S270" s="583">
        <f>IF(' Impaired Loans ASC 310-10'!A270="","",' Impaired Loans ASC 310-10'!Q270)</f>
        <v/>
      </c>
    </row>
    <row r="271">
      <c r="A271" s="573">
        <f>IF(' Impaired Loans ASC 310-10'!A271="","",' Impaired Loans ASC 310-10'!A271)</f>
        <v/>
      </c>
      <c r="B271" s="573">
        <f>IF(' Impaired Loans ASC 310-10'!B271="","",' Impaired Loans ASC 310-10'!B271)</f>
        <v/>
      </c>
      <c r="C271" s="573">
        <f>IF(' Impaired Loans ASC 310-10'!C271="","",' Impaired Loans ASC 310-10'!C271)</f>
        <v/>
      </c>
      <c r="D271" s="573">
        <f>IF(' Impaired Loans ASC 310-10'!D271="","",' Impaired Loans ASC 310-10'!D271)</f>
        <v/>
      </c>
      <c r="E271" s="574">
        <f>IF(' Impaired Loans ASC 310-10'!E271="","",' Impaired Loans ASC 310-10'!E271)</f>
        <v/>
      </c>
      <c r="F271" s="575">
        <f>IF(' Impaired Loans ASC 310-10'!F271="","",' Impaired Loans ASC 310-10'!F271)</f>
        <v/>
      </c>
      <c r="G271" s="574">
        <f>IF(' Impaired Loans ASC 310-10'!G271="","",' Impaired Loans ASC 310-10'!G271)</f>
        <v/>
      </c>
      <c r="H271" s="574">
        <f>IF(' Impaired Loans ASC 310-10'!H271="","",' Impaired Loans ASC 310-10'!H271)</f>
        <v/>
      </c>
      <c r="I271" s="574">
        <f>IF(' Impaired Loans ASC 310-10'!I271="","",' Impaired Loans ASC 310-10'!I271)</f>
        <v/>
      </c>
      <c r="J271" s="574">
        <f>IF(' Impaired Loans ASC 310-10'!J271="","",' Impaired Loans ASC 310-10'!J271)</f>
        <v/>
      </c>
      <c r="K271" s="584" t="n"/>
      <c r="L271" s="578">
        <f>IFERROR(A271,"")</f>
        <v/>
      </c>
      <c r="M271" s="849">
        <f>IF(' Impaired Loans ASC 310-10'!A271="","",' Impaired Loans ASC 310-10'!K271)</f>
        <v/>
      </c>
      <c r="N271" s="580">
        <f>IF(' Impaired Loans ASC 310-10'!A271="","",' Impaired Loans ASC 310-10'!L271)</f>
        <v/>
      </c>
      <c r="O271" s="581">
        <f>IF(' Impaired Loans ASC 310-10'!A271="","",' Impaired Loans ASC 310-10'!M271)</f>
        <v/>
      </c>
      <c r="P271" s="582">
        <f>IF(' Impaired Loans ASC 310-10'!A271="","",' Impaired Loans ASC 310-10'!O271)</f>
        <v/>
      </c>
      <c r="Q271" s="583">
        <f>IF(' Impaired Loans ASC 310-10'!A271="","",' Impaired Loans ASC 310-10'!N271)</f>
        <v/>
      </c>
      <c r="R271" s="583">
        <f>IF(' Impaired Loans ASC 310-10'!A271="","",' Impaired Loans ASC 310-10'!P271)</f>
        <v/>
      </c>
      <c r="S271" s="583">
        <f>IF(' Impaired Loans ASC 310-10'!A271="","",' Impaired Loans ASC 310-10'!Q271)</f>
        <v/>
      </c>
    </row>
    <row r="272">
      <c r="A272" s="573">
        <f>IF(' Impaired Loans ASC 310-10'!A272="","",' Impaired Loans ASC 310-10'!A272)</f>
        <v/>
      </c>
      <c r="B272" s="573">
        <f>IF(' Impaired Loans ASC 310-10'!B272="","",' Impaired Loans ASC 310-10'!B272)</f>
        <v/>
      </c>
      <c r="C272" s="573">
        <f>IF(' Impaired Loans ASC 310-10'!C272="","",' Impaired Loans ASC 310-10'!C272)</f>
        <v/>
      </c>
      <c r="D272" s="573">
        <f>IF(' Impaired Loans ASC 310-10'!D272="","",' Impaired Loans ASC 310-10'!D272)</f>
        <v/>
      </c>
      <c r="E272" s="574">
        <f>IF(' Impaired Loans ASC 310-10'!E272="","",' Impaired Loans ASC 310-10'!E272)</f>
        <v/>
      </c>
      <c r="F272" s="575">
        <f>IF(' Impaired Loans ASC 310-10'!F272="","",' Impaired Loans ASC 310-10'!F272)</f>
        <v/>
      </c>
      <c r="G272" s="574">
        <f>IF(' Impaired Loans ASC 310-10'!G272="","",' Impaired Loans ASC 310-10'!G272)</f>
        <v/>
      </c>
      <c r="H272" s="574">
        <f>IF(' Impaired Loans ASC 310-10'!H272="","",' Impaired Loans ASC 310-10'!H272)</f>
        <v/>
      </c>
      <c r="I272" s="574">
        <f>IF(' Impaired Loans ASC 310-10'!I272="","",' Impaired Loans ASC 310-10'!I272)</f>
        <v/>
      </c>
      <c r="J272" s="574">
        <f>IF(' Impaired Loans ASC 310-10'!J272="","",' Impaired Loans ASC 310-10'!J272)</f>
        <v/>
      </c>
      <c r="K272" s="584" t="n"/>
      <c r="L272" s="578">
        <f>IFERROR(A272,"")</f>
        <v/>
      </c>
      <c r="M272" s="849">
        <f>IF(' Impaired Loans ASC 310-10'!A272="","",' Impaired Loans ASC 310-10'!K272)</f>
        <v/>
      </c>
      <c r="N272" s="580">
        <f>IF(' Impaired Loans ASC 310-10'!A272="","",' Impaired Loans ASC 310-10'!L272)</f>
        <v/>
      </c>
      <c r="O272" s="581">
        <f>IF(' Impaired Loans ASC 310-10'!A272="","",' Impaired Loans ASC 310-10'!M272)</f>
        <v/>
      </c>
      <c r="P272" s="582">
        <f>IF(' Impaired Loans ASC 310-10'!A272="","",' Impaired Loans ASC 310-10'!O272)</f>
        <v/>
      </c>
      <c r="Q272" s="583">
        <f>IF(' Impaired Loans ASC 310-10'!A272="","",' Impaired Loans ASC 310-10'!N272)</f>
        <v/>
      </c>
      <c r="R272" s="583">
        <f>IF(' Impaired Loans ASC 310-10'!A272="","",' Impaired Loans ASC 310-10'!P272)</f>
        <v/>
      </c>
      <c r="S272" s="583">
        <f>IF(' Impaired Loans ASC 310-10'!A272="","",' Impaired Loans ASC 310-10'!Q272)</f>
        <v/>
      </c>
    </row>
    <row r="273">
      <c r="A273" s="573">
        <f>IF(' Impaired Loans ASC 310-10'!A273="","",' Impaired Loans ASC 310-10'!A273)</f>
        <v/>
      </c>
      <c r="B273" s="573">
        <f>IF(' Impaired Loans ASC 310-10'!B273="","",' Impaired Loans ASC 310-10'!B273)</f>
        <v/>
      </c>
      <c r="C273" s="573">
        <f>IF(' Impaired Loans ASC 310-10'!C273="","",' Impaired Loans ASC 310-10'!C273)</f>
        <v/>
      </c>
      <c r="D273" s="573">
        <f>IF(' Impaired Loans ASC 310-10'!D273="","",' Impaired Loans ASC 310-10'!D273)</f>
        <v/>
      </c>
      <c r="E273" s="574">
        <f>IF(' Impaired Loans ASC 310-10'!E273="","",' Impaired Loans ASC 310-10'!E273)</f>
        <v/>
      </c>
      <c r="F273" s="575">
        <f>IF(' Impaired Loans ASC 310-10'!F273="","",' Impaired Loans ASC 310-10'!F273)</f>
        <v/>
      </c>
      <c r="G273" s="574">
        <f>IF(' Impaired Loans ASC 310-10'!G273="","",' Impaired Loans ASC 310-10'!G273)</f>
        <v/>
      </c>
      <c r="H273" s="574">
        <f>IF(' Impaired Loans ASC 310-10'!H273="","",' Impaired Loans ASC 310-10'!H273)</f>
        <v/>
      </c>
      <c r="I273" s="574">
        <f>IF(' Impaired Loans ASC 310-10'!I273="","",' Impaired Loans ASC 310-10'!I273)</f>
        <v/>
      </c>
      <c r="J273" s="574">
        <f>IF(' Impaired Loans ASC 310-10'!J273="","",' Impaired Loans ASC 310-10'!J273)</f>
        <v/>
      </c>
      <c r="K273" s="584" t="n"/>
      <c r="L273" s="578">
        <f>IFERROR(A273,"")</f>
        <v/>
      </c>
      <c r="M273" s="849">
        <f>IF(' Impaired Loans ASC 310-10'!A273="","",' Impaired Loans ASC 310-10'!K273)</f>
        <v/>
      </c>
      <c r="N273" s="580">
        <f>IF(' Impaired Loans ASC 310-10'!A273="","",' Impaired Loans ASC 310-10'!L273)</f>
        <v/>
      </c>
      <c r="O273" s="581">
        <f>IF(' Impaired Loans ASC 310-10'!A273="","",' Impaired Loans ASC 310-10'!M273)</f>
        <v/>
      </c>
      <c r="P273" s="582">
        <f>IF(' Impaired Loans ASC 310-10'!A273="","",' Impaired Loans ASC 310-10'!O273)</f>
        <v/>
      </c>
      <c r="Q273" s="583">
        <f>IF(' Impaired Loans ASC 310-10'!A273="","",' Impaired Loans ASC 310-10'!N273)</f>
        <v/>
      </c>
      <c r="R273" s="583">
        <f>IF(' Impaired Loans ASC 310-10'!A273="","",' Impaired Loans ASC 310-10'!P273)</f>
        <v/>
      </c>
      <c r="S273" s="583">
        <f>IF(' Impaired Loans ASC 310-10'!A273="","",' Impaired Loans ASC 310-10'!Q273)</f>
        <v/>
      </c>
    </row>
    <row r="274">
      <c r="A274" s="573">
        <f>IF(' Impaired Loans ASC 310-10'!A274="","",' Impaired Loans ASC 310-10'!A274)</f>
        <v/>
      </c>
      <c r="B274" s="573">
        <f>IF(' Impaired Loans ASC 310-10'!B274="","",' Impaired Loans ASC 310-10'!B274)</f>
        <v/>
      </c>
      <c r="C274" s="573">
        <f>IF(' Impaired Loans ASC 310-10'!C274="","",' Impaired Loans ASC 310-10'!C274)</f>
        <v/>
      </c>
      <c r="D274" s="573">
        <f>IF(' Impaired Loans ASC 310-10'!D274="","",' Impaired Loans ASC 310-10'!D274)</f>
        <v/>
      </c>
      <c r="E274" s="574">
        <f>IF(' Impaired Loans ASC 310-10'!E274="","",' Impaired Loans ASC 310-10'!E274)</f>
        <v/>
      </c>
      <c r="F274" s="575">
        <f>IF(' Impaired Loans ASC 310-10'!F274="","",' Impaired Loans ASC 310-10'!F274)</f>
        <v/>
      </c>
      <c r="G274" s="574">
        <f>IF(' Impaired Loans ASC 310-10'!G274="","",' Impaired Loans ASC 310-10'!G274)</f>
        <v/>
      </c>
      <c r="H274" s="574">
        <f>IF(' Impaired Loans ASC 310-10'!H274="","",' Impaired Loans ASC 310-10'!H274)</f>
        <v/>
      </c>
      <c r="I274" s="574">
        <f>IF(' Impaired Loans ASC 310-10'!I274="","",' Impaired Loans ASC 310-10'!I274)</f>
        <v/>
      </c>
      <c r="J274" s="574">
        <f>IF(' Impaired Loans ASC 310-10'!J274="","",' Impaired Loans ASC 310-10'!J274)</f>
        <v/>
      </c>
      <c r="K274" s="584" t="n"/>
      <c r="L274" s="578">
        <f>IFERROR(A274,"")</f>
        <v/>
      </c>
      <c r="M274" s="849">
        <f>IF(' Impaired Loans ASC 310-10'!A274="","",' Impaired Loans ASC 310-10'!K274)</f>
        <v/>
      </c>
      <c r="N274" s="580">
        <f>IF(' Impaired Loans ASC 310-10'!A274="","",' Impaired Loans ASC 310-10'!L274)</f>
        <v/>
      </c>
      <c r="O274" s="581">
        <f>IF(' Impaired Loans ASC 310-10'!A274="","",' Impaired Loans ASC 310-10'!M274)</f>
        <v/>
      </c>
      <c r="P274" s="582">
        <f>IF(' Impaired Loans ASC 310-10'!A274="","",' Impaired Loans ASC 310-10'!O274)</f>
        <v/>
      </c>
      <c r="Q274" s="583">
        <f>IF(' Impaired Loans ASC 310-10'!A274="","",' Impaired Loans ASC 310-10'!N274)</f>
        <v/>
      </c>
      <c r="R274" s="583">
        <f>IF(' Impaired Loans ASC 310-10'!A274="","",' Impaired Loans ASC 310-10'!P274)</f>
        <v/>
      </c>
      <c r="S274" s="583">
        <f>IF(' Impaired Loans ASC 310-10'!A274="","",' Impaired Loans ASC 310-10'!Q274)</f>
        <v/>
      </c>
    </row>
    <row r="275">
      <c r="A275" s="573">
        <f>IF(' Impaired Loans ASC 310-10'!A275="","",' Impaired Loans ASC 310-10'!A275)</f>
        <v/>
      </c>
      <c r="B275" s="573">
        <f>IF(' Impaired Loans ASC 310-10'!B275="","",' Impaired Loans ASC 310-10'!B275)</f>
        <v/>
      </c>
      <c r="C275" s="573">
        <f>IF(' Impaired Loans ASC 310-10'!C275="","",' Impaired Loans ASC 310-10'!C275)</f>
        <v/>
      </c>
      <c r="D275" s="573">
        <f>IF(' Impaired Loans ASC 310-10'!D275="","",' Impaired Loans ASC 310-10'!D275)</f>
        <v/>
      </c>
      <c r="E275" s="574">
        <f>IF(' Impaired Loans ASC 310-10'!E275="","",' Impaired Loans ASC 310-10'!E275)</f>
        <v/>
      </c>
      <c r="F275" s="575">
        <f>IF(' Impaired Loans ASC 310-10'!F275="","",' Impaired Loans ASC 310-10'!F275)</f>
        <v/>
      </c>
      <c r="G275" s="574">
        <f>IF(' Impaired Loans ASC 310-10'!G275="","",' Impaired Loans ASC 310-10'!G275)</f>
        <v/>
      </c>
      <c r="H275" s="574">
        <f>IF(' Impaired Loans ASC 310-10'!H275="","",' Impaired Loans ASC 310-10'!H275)</f>
        <v/>
      </c>
      <c r="I275" s="574">
        <f>IF(' Impaired Loans ASC 310-10'!I275="","",' Impaired Loans ASC 310-10'!I275)</f>
        <v/>
      </c>
      <c r="J275" s="574">
        <f>IF(' Impaired Loans ASC 310-10'!J275="","",' Impaired Loans ASC 310-10'!J275)</f>
        <v/>
      </c>
      <c r="K275" s="584" t="n"/>
      <c r="L275" s="578">
        <f>IFERROR(A275,"")</f>
        <v/>
      </c>
      <c r="M275" s="849">
        <f>IF(' Impaired Loans ASC 310-10'!A275="","",' Impaired Loans ASC 310-10'!K275)</f>
        <v/>
      </c>
      <c r="N275" s="580">
        <f>IF(' Impaired Loans ASC 310-10'!A275="","",' Impaired Loans ASC 310-10'!L275)</f>
        <v/>
      </c>
      <c r="O275" s="581">
        <f>IF(' Impaired Loans ASC 310-10'!A275="","",' Impaired Loans ASC 310-10'!M275)</f>
        <v/>
      </c>
      <c r="P275" s="582">
        <f>IF(' Impaired Loans ASC 310-10'!A275="","",' Impaired Loans ASC 310-10'!O275)</f>
        <v/>
      </c>
      <c r="Q275" s="583">
        <f>IF(' Impaired Loans ASC 310-10'!A275="","",' Impaired Loans ASC 310-10'!N275)</f>
        <v/>
      </c>
      <c r="R275" s="583">
        <f>IF(' Impaired Loans ASC 310-10'!A275="","",' Impaired Loans ASC 310-10'!P275)</f>
        <v/>
      </c>
      <c r="S275" s="583">
        <f>IF(' Impaired Loans ASC 310-10'!A275="","",' Impaired Loans ASC 310-10'!Q275)</f>
        <v/>
      </c>
    </row>
    <row r="276">
      <c r="A276" s="573">
        <f>IF(' Impaired Loans ASC 310-10'!A276="","",' Impaired Loans ASC 310-10'!A276)</f>
        <v/>
      </c>
      <c r="B276" s="573">
        <f>IF(' Impaired Loans ASC 310-10'!B276="","",' Impaired Loans ASC 310-10'!B276)</f>
        <v/>
      </c>
      <c r="C276" s="573">
        <f>IF(' Impaired Loans ASC 310-10'!C276="","",' Impaired Loans ASC 310-10'!C276)</f>
        <v/>
      </c>
      <c r="D276" s="573">
        <f>IF(' Impaired Loans ASC 310-10'!D276="","",' Impaired Loans ASC 310-10'!D276)</f>
        <v/>
      </c>
      <c r="E276" s="574">
        <f>IF(' Impaired Loans ASC 310-10'!E276="","",' Impaired Loans ASC 310-10'!E276)</f>
        <v/>
      </c>
      <c r="F276" s="575">
        <f>IF(' Impaired Loans ASC 310-10'!F276="","",' Impaired Loans ASC 310-10'!F276)</f>
        <v/>
      </c>
      <c r="G276" s="574">
        <f>IF(' Impaired Loans ASC 310-10'!G276="","",' Impaired Loans ASC 310-10'!G276)</f>
        <v/>
      </c>
      <c r="H276" s="574">
        <f>IF(' Impaired Loans ASC 310-10'!H276="","",' Impaired Loans ASC 310-10'!H276)</f>
        <v/>
      </c>
      <c r="I276" s="574">
        <f>IF(' Impaired Loans ASC 310-10'!I276="","",' Impaired Loans ASC 310-10'!I276)</f>
        <v/>
      </c>
      <c r="J276" s="574">
        <f>IF(' Impaired Loans ASC 310-10'!J276="","",' Impaired Loans ASC 310-10'!J276)</f>
        <v/>
      </c>
      <c r="K276" s="584" t="n"/>
      <c r="L276" s="578">
        <f>IFERROR(A276,"")</f>
        <v/>
      </c>
      <c r="M276" s="849">
        <f>IF(' Impaired Loans ASC 310-10'!A276="","",' Impaired Loans ASC 310-10'!K276)</f>
        <v/>
      </c>
      <c r="N276" s="580">
        <f>IF(' Impaired Loans ASC 310-10'!A276="","",' Impaired Loans ASC 310-10'!L276)</f>
        <v/>
      </c>
      <c r="O276" s="581">
        <f>IF(' Impaired Loans ASC 310-10'!A276="","",' Impaired Loans ASC 310-10'!M276)</f>
        <v/>
      </c>
      <c r="P276" s="582">
        <f>IF(' Impaired Loans ASC 310-10'!A276="","",' Impaired Loans ASC 310-10'!O276)</f>
        <v/>
      </c>
      <c r="Q276" s="583">
        <f>IF(' Impaired Loans ASC 310-10'!A276="","",' Impaired Loans ASC 310-10'!N276)</f>
        <v/>
      </c>
      <c r="R276" s="583">
        <f>IF(' Impaired Loans ASC 310-10'!A276="","",' Impaired Loans ASC 310-10'!P276)</f>
        <v/>
      </c>
      <c r="S276" s="583">
        <f>IF(' Impaired Loans ASC 310-10'!A276="","",' Impaired Loans ASC 310-10'!Q276)</f>
        <v/>
      </c>
    </row>
    <row r="277">
      <c r="A277" s="573">
        <f>IF(' Impaired Loans ASC 310-10'!A277="","",' Impaired Loans ASC 310-10'!A277)</f>
        <v/>
      </c>
      <c r="B277" s="573">
        <f>IF(' Impaired Loans ASC 310-10'!B277="","",' Impaired Loans ASC 310-10'!B277)</f>
        <v/>
      </c>
      <c r="C277" s="573">
        <f>IF(' Impaired Loans ASC 310-10'!C277="","",' Impaired Loans ASC 310-10'!C277)</f>
        <v/>
      </c>
      <c r="D277" s="573">
        <f>IF(' Impaired Loans ASC 310-10'!D277="","",' Impaired Loans ASC 310-10'!D277)</f>
        <v/>
      </c>
      <c r="E277" s="574">
        <f>IF(' Impaired Loans ASC 310-10'!E277="","",' Impaired Loans ASC 310-10'!E277)</f>
        <v/>
      </c>
      <c r="F277" s="575">
        <f>IF(' Impaired Loans ASC 310-10'!F277="","",' Impaired Loans ASC 310-10'!F277)</f>
        <v/>
      </c>
      <c r="G277" s="574">
        <f>IF(' Impaired Loans ASC 310-10'!G277="","",' Impaired Loans ASC 310-10'!G277)</f>
        <v/>
      </c>
      <c r="H277" s="574">
        <f>IF(' Impaired Loans ASC 310-10'!H277="","",' Impaired Loans ASC 310-10'!H277)</f>
        <v/>
      </c>
      <c r="I277" s="574">
        <f>IF(' Impaired Loans ASC 310-10'!I277="","",' Impaired Loans ASC 310-10'!I277)</f>
        <v/>
      </c>
      <c r="J277" s="574">
        <f>IF(' Impaired Loans ASC 310-10'!J277="","",' Impaired Loans ASC 310-10'!J277)</f>
        <v/>
      </c>
      <c r="K277" s="584" t="n"/>
      <c r="L277" s="578">
        <f>IFERROR(A277,"")</f>
        <v/>
      </c>
      <c r="M277" s="849">
        <f>IF(' Impaired Loans ASC 310-10'!A277="","",' Impaired Loans ASC 310-10'!K277)</f>
        <v/>
      </c>
      <c r="N277" s="580">
        <f>IF(' Impaired Loans ASC 310-10'!A277="","",' Impaired Loans ASC 310-10'!L277)</f>
        <v/>
      </c>
      <c r="O277" s="581">
        <f>IF(' Impaired Loans ASC 310-10'!A277="","",' Impaired Loans ASC 310-10'!M277)</f>
        <v/>
      </c>
      <c r="P277" s="582">
        <f>IF(' Impaired Loans ASC 310-10'!A277="","",' Impaired Loans ASC 310-10'!O277)</f>
        <v/>
      </c>
      <c r="Q277" s="583">
        <f>IF(' Impaired Loans ASC 310-10'!A277="","",' Impaired Loans ASC 310-10'!N277)</f>
        <v/>
      </c>
      <c r="R277" s="583">
        <f>IF(' Impaired Loans ASC 310-10'!A277="","",' Impaired Loans ASC 310-10'!P277)</f>
        <v/>
      </c>
      <c r="S277" s="583">
        <f>IF(' Impaired Loans ASC 310-10'!A277="","",' Impaired Loans ASC 310-10'!Q277)</f>
        <v/>
      </c>
    </row>
    <row r="278">
      <c r="A278" s="573">
        <f>IF(' Impaired Loans ASC 310-10'!A278="","",' Impaired Loans ASC 310-10'!A278)</f>
        <v/>
      </c>
      <c r="B278" s="573">
        <f>IF(' Impaired Loans ASC 310-10'!B278="","",' Impaired Loans ASC 310-10'!B278)</f>
        <v/>
      </c>
      <c r="C278" s="573">
        <f>IF(' Impaired Loans ASC 310-10'!C278="","",' Impaired Loans ASC 310-10'!C278)</f>
        <v/>
      </c>
      <c r="D278" s="573">
        <f>IF(' Impaired Loans ASC 310-10'!D278="","",' Impaired Loans ASC 310-10'!D278)</f>
        <v/>
      </c>
      <c r="E278" s="574">
        <f>IF(' Impaired Loans ASC 310-10'!E278="","",' Impaired Loans ASC 310-10'!E278)</f>
        <v/>
      </c>
      <c r="F278" s="575">
        <f>IF(' Impaired Loans ASC 310-10'!F278="","",' Impaired Loans ASC 310-10'!F278)</f>
        <v/>
      </c>
      <c r="G278" s="574">
        <f>IF(' Impaired Loans ASC 310-10'!G278="","",' Impaired Loans ASC 310-10'!G278)</f>
        <v/>
      </c>
      <c r="H278" s="574">
        <f>IF(' Impaired Loans ASC 310-10'!H278="","",' Impaired Loans ASC 310-10'!H278)</f>
        <v/>
      </c>
      <c r="I278" s="574">
        <f>IF(' Impaired Loans ASC 310-10'!I278="","",' Impaired Loans ASC 310-10'!I278)</f>
        <v/>
      </c>
      <c r="J278" s="574">
        <f>IF(' Impaired Loans ASC 310-10'!J278="","",' Impaired Loans ASC 310-10'!J278)</f>
        <v/>
      </c>
      <c r="K278" s="584" t="n"/>
      <c r="L278" s="578">
        <f>IFERROR(A278,"")</f>
        <v/>
      </c>
      <c r="M278" s="849">
        <f>IF(' Impaired Loans ASC 310-10'!A278="","",' Impaired Loans ASC 310-10'!K278)</f>
        <v/>
      </c>
      <c r="N278" s="580">
        <f>IF(' Impaired Loans ASC 310-10'!A278="","",' Impaired Loans ASC 310-10'!L278)</f>
        <v/>
      </c>
      <c r="O278" s="581">
        <f>IF(' Impaired Loans ASC 310-10'!A278="","",' Impaired Loans ASC 310-10'!M278)</f>
        <v/>
      </c>
      <c r="P278" s="582">
        <f>IF(' Impaired Loans ASC 310-10'!A278="","",' Impaired Loans ASC 310-10'!O278)</f>
        <v/>
      </c>
      <c r="Q278" s="583">
        <f>IF(' Impaired Loans ASC 310-10'!A278="","",' Impaired Loans ASC 310-10'!N278)</f>
        <v/>
      </c>
      <c r="R278" s="583">
        <f>IF(' Impaired Loans ASC 310-10'!A278="","",' Impaired Loans ASC 310-10'!P278)</f>
        <v/>
      </c>
      <c r="S278" s="583">
        <f>IF(' Impaired Loans ASC 310-10'!A278="","",' Impaired Loans ASC 310-10'!Q278)</f>
        <v/>
      </c>
    </row>
    <row r="279">
      <c r="A279" s="573">
        <f>IF(' Impaired Loans ASC 310-10'!A279="","",' Impaired Loans ASC 310-10'!A279)</f>
        <v/>
      </c>
      <c r="B279" s="573">
        <f>IF(' Impaired Loans ASC 310-10'!B279="","",' Impaired Loans ASC 310-10'!B279)</f>
        <v/>
      </c>
      <c r="C279" s="573">
        <f>IF(' Impaired Loans ASC 310-10'!C279="","",' Impaired Loans ASC 310-10'!C279)</f>
        <v/>
      </c>
      <c r="D279" s="573">
        <f>IF(' Impaired Loans ASC 310-10'!D279="","",' Impaired Loans ASC 310-10'!D279)</f>
        <v/>
      </c>
      <c r="E279" s="574">
        <f>IF(' Impaired Loans ASC 310-10'!E279="","",' Impaired Loans ASC 310-10'!E279)</f>
        <v/>
      </c>
      <c r="F279" s="575">
        <f>IF(' Impaired Loans ASC 310-10'!F279="","",' Impaired Loans ASC 310-10'!F279)</f>
        <v/>
      </c>
      <c r="G279" s="574">
        <f>IF(' Impaired Loans ASC 310-10'!G279="","",' Impaired Loans ASC 310-10'!G279)</f>
        <v/>
      </c>
      <c r="H279" s="574">
        <f>IF(' Impaired Loans ASC 310-10'!H279="","",' Impaired Loans ASC 310-10'!H279)</f>
        <v/>
      </c>
      <c r="I279" s="574">
        <f>IF(' Impaired Loans ASC 310-10'!I279="","",' Impaired Loans ASC 310-10'!I279)</f>
        <v/>
      </c>
      <c r="J279" s="574">
        <f>IF(' Impaired Loans ASC 310-10'!J279="","",' Impaired Loans ASC 310-10'!J279)</f>
        <v/>
      </c>
      <c r="K279" s="584" t="n"/>
      <c r="L279" s="578">
        <f>IFERROR(A279,"")</f>
        <v/>
      </c>
      <c r="M279" s="849">
        <f>IF(' Impaired Loans ASC 310-10'!A279="","",' Impaired Loans ASC 310-10'!K279)</f>
        <v/>
      </c>
      <c r="N279" s="580">
        <f>IF(' Impaired Loans ASC 310-10'!A279="","",' Impaired Loans ASC 310-10'!L279)</f>
        <v/>
      </c>
      <c r="O279" s="581">
        <f>IF(' Impaired Loans ASC 310-10'!A279="","",' Impaired Loans ASC 310-10'!M279)</f>
        <v/>
      </c>
      <c r="P279" s="582">
        <f>IF(' Impaired Loans ASC 310-10'!A279="","",' Impaired Loans ASC 310-10'!O279)</f>
        <v/>
      </c>
      <c r="Q279" s="583">
        <f>IF(' Impaired Loans ASC 310-10'!A279="","",' Impaired Loans ASC 310-10'!N279)</f>
        <v/>
      </c>
      <c r="R279" s="583">
        <f>IF(' Impaired Loans ASC 310-10'!A279="","",' Impaired Loans ASC 310-10'!P279)</f>
        <v/>
      </c>
      <c r="S279" s="583">
        <f>IF(' Impaired Loans ASC 310-10'!A279="","",' Impaired Loans ASC 310-10'!Q279)</f>
        <v/>
      </c>
    </row>
    <row r="280">
      <c r="A280" s="573">
        <f>IF(' Impaired Loans ASC 310-10'!A280="","",' Impaired Loans ASC 310-10'!A280)</f>
        <v/>
      </c>
      <c r="B280" s="573">
        <f>IF(' Impaired Loans ASC 310-10'!B280="","",' Impaired Loans ASC 310-10'!B280)</f>
        <v/>
      </c>
      <c r="C280" s="573">
        <f>IF(' Impaired Loans ASC 310-10'!C280="","",' Impaired Loans ASC 310-10'!C280)</f>
        <v/>
      </c>
      <c r="D280" s="573">
        <f>IF(' Impaired Loans ASC 310-10'!D280="","",' Impaired Loans ASC 310-10'!D280)</f>
        <v/>
      </c>
      <c r="E280" s="574">
        <f>IF(' Impaired Loans ASC 310-10'!E280="","",' Impaired Loans ASC 310-10'!E280)</f>
        <v/>
      </c>
      <c r="F280" s="575">
        <f>IF(' Impaired Loans ASC 310-10'!F280="","",' Impaired Loans ASC 310-10'!F280)</f>
        <v/>
      </c>
      <c r="G280" s="574">
        <f>IF(' Impaired Loans ASC 310-10'!G280="","",' Impaired Loans ASC 310-10'!G280)</f>
        <v/>
      </c>
      <c r="H280" s="574">
        <f>IF(' Impaired Loans ASC 310-10'!H280="","",' Impaired Loans ASC 310-10'!H280)</f>
        <v/>
      </c>
      <c r="I280" s="574">
        <f>IF(' Impaired Loans ASC 310-10'!I280="","",' Impaired Loans ASC 310-10'!I280)</f>
        <v/>
      </c>
      <c r="J280" s="574">
        <f>IF(' Impaired Loans ASC 310-10'!J280="","",' Impaired Loans ASC 310-10'!J280)</f>
        <v/>
      </c>
      <c r="K280" s="584" t="n"/>
      <c r="L280" s="578">
        <f>IFERROR(A280,"")</f>
        <v/>
      </c>
      <c r="M280" s="849">
        <f>IF(' Impaired Loans ASC 310-10'!A280="","",' Impaired Loans ASC 310-10'!K280)</f>
        <v/>
      </c>
      <c r="N280" s="580">
        <f>IF(' Impaired Loans ASC 310-10'!A280="","",' Impaired Loans ASC 310-10'!L280)</f>
        <v/>
      </c>
      <c r="O280" s="581">
        <f>IF(' Impaired Loans ASC 310-10'!A280="","",' Impaired Loans ASC 310-10'!M280)</f>
        <v/>
      </c>
      <c r="P280" s="582">
        <f>IF(' Impaired Loans ASC 310-10'!A280="","",' Impaired Loans ASC 310-10'!O280)</f>
        <v/>
      </c>
      <c r="Q280" s="583">
        <f>IF(' Impaired Loans ASC 310-10'!A280="","",' Impaired Loans ASC 310-10'!N280)</f>
        <v/>
      </c>
      <c r="R280" s="583">
        <f>IF(' Impaired Loans ASC 310-10'!A280="","",' Impaired Loans ASC 310-10'!P280)</f>
        <v/>
      </c>
      <c r="S280" s="583">
        <f>IF(' Impaired Loans ASC 310-10'!A280="","",' Impaired Loans ASC 310-10'!Q280)</f>
        <v/>
      </c>
    </row>
    <row r="281">
      <c r="A281" s="573">
        <f>IF(' Impaired Loans ASC 310-10'!A281="","",' Impaired Loans ASC 310-10'!A281)</f>
        <v/>
      </c>
      <c r="B281" s="573">
        <f>IF(' Impaired Loans ASC 310-10'!B281="","",' Impaired Loans ASC 310-10'!B281)</f>
        <v/>
      </c>
      <c r="C281" s="573">
        <f>IF(' Impaired Loans ASC 310-10'!C281="","",' Impaired Loans ASC 310-10'!C281)</f>
        <v/>
      </c>
      <c r="D281" s="573">
        <f>IF(' Impaired Loans ASC 310-10'!D281="","",' Impaired Loans ASC 310-10'!D281)</f>
        <v/>
      </c>
      <c r="E281" s="574">
        <f>IF(' Impaired Loans ASC 310-10'!E281="","",' Impaired Loans ASC 310-10'!E281)</f>
        <v/>
      </c>
      <c r="F281" s="575">
        <f>IF(' Impaired Loans ASC 310-10'!F281="","",' Impaired Loans ASC 310-10'!F281)</f>
        <v/>
      </c>
      <c r="G281" s="574">
        <f>IF(' Impaired Loans ASC 310-10'!G281="","",' Impaired Loans ASC 310-10'!G281)</f>
        <v/>
      </c>
      <c r="H281" s="574">
        <f>IF(' Impaired Loans ASC 310-10'!H281="","",' Impaired Loans ASC 310-10'!H281)</f>
        <v/>
      </c>
      <c r="I281" s="574">
        <f>IF(' Impaired Loans ASC 310-10'!I281="","",' Impaired Loans ASC 310-10'!I281)</f>
        <v/>
      </c>
      <c r="J281" s="574">
        <f>IF(' Impaired Loans ASC 310-10'!J281="","",' Impaired Loans ASC 310-10'!J281)</f>
        <v/>
      </c>
      <c r="K281" s="584" t="n"/>
      <c r="L281" s="578">
        <f>IFERROR(A281,"")</f>
        <v/>
      </c>
      <c r="M281" s="849">
        <f>IF(' Impaired Loans ASC 310-10'!A281="","",' Impaired Loans ASC 310-10'!K281)</f>
        <v/>
      </c>
      <c r="N281" s="580">
        <f>IF(' Impaired Loans ASC 310-10'!A281="","",' Impaired Loans ASC 310-10'!L281)</f>
        <v/>
      </c>
      <c r="O281" s="581">
        <f>IF(' Impaired Loans ASC 310-10'!A281="","",' Impaired Loans ASC 310-10'!M281)</f>
        <v/>
      </c>
      <c r="P281" s="582">
        <f>IF(' Impaired Loans ASC 310-10'!A281="","",' Impaired Loans ASC 310-10'!O281)</f>
        <v/>
      </c>
      <c r="Q281" s="583">
        <f>IF(' Impaired Loans ASC 310-10'!A281="","",' Impaired Loans ASC 310-10'!N281)</f>
        <v/>
      </c>
      <c r="R281" s="583">
        <f>IF(' Impaired Loans ASC 310-10'!A281="","",' Impaired Loans ASC 310-10'!P281)</f>
        <v/>
      </c>
      <c r="S281" s="583">
        <f>IF(' Impaired Loans ASC 310-10'!A281="","",' Impaired Loans ASC 310-10'!Q281)</f>
        <v/>
      </c>
    </row>
    <row r="282">
      <c r="A282" s="573">
        <f>IF(' Impaired Loans ASC 310-10'!A282="","",' Impaired Loans ASC 310-10'!A282)</f>
        <v/>
      </c>
      <c r="B282" s="573">
        <f>IF(' Impaired Loans ASC 310-10'!B282="","",' Impaired Loans ASC 310-10'!B282)</f>
        <v/>
      </c>
      <c r="C282" s="573">
        <f>IF(' Impaired Loans ASC 310-10'!C282="","",' Impaired Loans ASC 310-10'!C282)</f>
        <v/>
      </c>
      <c r="D282" s="573">
        <f>IF(' Impaired Loans ASC 310-10'!D282="","",' Impaired Loans ASC 310-10'!D282)</f>
        <v/>
      </c>
      <c r="E282" s="574">
        <f>IF(' Impaired Loans ASC 310-10'!E282="","",' Impaired Loans ASC 310-10'!E282)</f>
        <v/>
      </c>
      <c r="F282" s="575">
        <f>IF(' Impaired Loans ASC 310-10'!F282="","",' Impaired Loans ASC 310-10'!F282)</f>
        <v/>
      </c>
      <c r="G282" s="574">
        <f>IF(' Impaired Loans ASC 310-10'!G282="","",' Impaired Loans ASC 310-10'!G282)</f>
        <v/>
      </c>
      <c r="H282" s="574">
        <f>IF(' Impaired Loans ASC 310-10'!H282="","",' Impaired Loans ASC 310-10'!H282)</f>
        <v/>
      </c>
      <c r="I282" s="574">
        <f>IF(' Impaired Loans ASC 310-10'!I282="","",' Impaired Loans ASC 310-10'!I282)</f>
        <v/>
      </c>
      <c r="J282" s="574">
        <f>IF(' Impaired Loans ASC 310-10'!J282="","",' Impaired Loans ASC 310-10'!J282)</f>
        <v/>
      </c>
      <c r="K282" s="584" t="n"/>
      <c r="L282" s="578">
        <f>IFERROR(A282,"")</f>
        <v/>
      </c>
      <c r="M282" s="849">
        <f>IF(' Impaired Loans ASC 310-10'!A282="","",' Impaired Loans ASC 310-10'!K282)</f>
        <v/>
      </c>
      <c r="N282" s="580">
        <f>IF(' Impaired Loans ASC 310-10'!A282="","",' Impaired Loans ASC 310-10'!L282)</f>
        <v/>
      </c>
      <c r="O282" s="581">
        <f>IF(' Impaired Loans ASC 310-10'!A282="","",' Impaired Loans ASC 310-10'!M282)</f>
        <v/>
      </c>
      <c r="P282" s="582">
        <f>IF(' Impaired Loans ASC 310-10'!A282="","",' Impaired Loans ASC 310-10'!O282)</f>
        <v/>
      </c>
      <c r="Q282" s="583">
        <f>IF(' Impaired Loans ASC 310-10'!A282="","",' Impaired Loans ASC 310-10'!N282)</f>
        <v/>
      </c>
      <c r="R282" s="583">
        <f>IF(' Impaired Loans ASC 310-10'!A282="","",' Impaired Loans ASC 310-10'!P282)</f>
        <v/>
      </c>
      <c r="S282" s="583">
        <f>IF(' Impaired Loans ASC 310-10'!A282="","",' Impaired Loans ASC 310-10'!Q282)</f>
        <v/>
      </c>
    </row>
    <row r="283">
      <c r="A283" s="573">
        <f>IF(' Impaired Loans ASC 310-10'!A283="","",' Impaired Loans ASC 310-10'!A283)</f>
        <v/>
      </c>
      <c r="B283" s="573">
        <f>IF(' Impaired Loans ASC 310-10'!B283="","",' Impaired Loans ASC 310-10'!B283)</f>
        <v/>
      </c>
      <c r="C283" s="573">
        <f>IF(' Impaired Loans ASC 310-10'!C283="","",' Impaired Loans ASC 310-10'!C283)</f>
        <v/>
      </c>
      <c r="D283" s="573">
        <f>IF(' Impaired Loans ASC 310-10'!D283="","",' Impaired Loans ASC 310-10'!D283)</f>
        <v/>
      </c>
      <c r="E283" s="574">
        <f>IF(' Impaired Loans ASC 310-10'!E283="","",' Impaired Loans ASC 310-10'!E283)</f>
        <v/>
      </c>
      <c r="F283" s="575">
        <f>IF(' Impaired Loans ASC 310-10'!F283="","",' Impaired Loans ASC 310-10'!F283)</f>
        <v/>
      </c>
      <c r="G283" s="574">
        <f>IF(' Impaired Loans ASC 310-10'!G283="","",' Impaired Loans ASC 310-10'!G283)</f>
        <v/>
      </c>
      <c r="H283" s="574">
        <f>IF(' Impaired Loans ASC 310-10'!H283="","",' Impaired Loans ASC 310-10'!H283)</f>
        <v/>
      </c>
      <c r="I283" s="574">
        <f>IF(' Impaired Loans ASC 310-10'!I283="","",' Impaired Loans ASC 310-10'!I283)</f>
        <v/>
      </c>
      <c r="J283" s="574">
        <f>IF(' Impaired Loans ASC 310-10'!J283="","",' Impaired Loans ASC 310-10'!J283)</f>
        <v/>
      </c>
      <c r="K283" s="584" t="n"/>
      <c r="L283" s="578">
        <f>IFERROR(A283,"")</f>
        <v/>
      </c>
      <c r="M283" s="849">
        <f>IF(' Impaired Loans ASC 310-10'!A283="","",' Impaired Loans ASC 310-10'!K283)</f>
        <v/>
      </c>
      <c r="N283" s="580">
        <f>IF(' Impaired Loans ASC 310-10'!A283="","",' Impaired Loans ASC 310-10'!L283)</f>
        <v/>
      </c>
      <c r="O283" s="581">
        <f>IF(' Impaired Loans ASC 310-10'!A283="","",' Impaired Loans ASC 310-10'!M283)</f>
        <v/>
      </c>
      <c r="P283" s="582">
        <f>IF(' Impaired Loans ASC 310-10'!A283="","",' Impaired Loans ASC 310-10'!O283)</f>
        <v/>
      </c>
      <c r="Q283" s="583">
        <f>IF(' Impaired Loans ASC 310-10'!A283="","",' Impaired Loans ASC 310-10'!N283)</f>
        <v/>
      </c>
      <c r="R283" s="583">
        <f>IF(' Impaired Loans ASC 310-10'!A283="","",' Impaired Loans ASC 310-10'!P283)</f>
        <v/>
      </c>
      <c r="S283" s="583">
        <f>IF(' Impaired Loans ASC 310-10'!A283="","",' Impaired Loans ASC 310-10'!Q283)</f>
        <v/>
      </c>
    </row>
    <row r="284">
      <c r="A284" s="573">
        <f>IF(' Impaired Loans ASC 310-10'!A284="","",' Impaired Loans ASC 310-10'!A284)</f>
        <v/>
      </c>
      <c r="B284" s="573">
        <f>IF(' Impaired Loans ASC 310-10'!B284="","",' Impaired Loans ASC 310-10'!B284)</f>
        <v/>
      </c>
      <c r="C284" s="573">
        <f>IF(' Impaired Loans ASC 310-10'!C284="","",' Impaired Loans ASC 310-10'!C284)</f>
        <v/>
      </c>
      <c r="D284" s="573">
        <f>IF(' Impaired Loans ASC 310-10'!D284="","",' Impaired Loans ASC 310-10'!D284)</f>
        <v/>
      </c>
      <c r="E284" s="574">
        <f>IF(' Impaired Loans ASC 310-10'!E284="","",' Impaired Loans ASC 310-10'!E284)</f>
        <v/>
      </c>
      <c r="F284" s="575">
        <f>IF(' Impaired Loans ASC 310-10'!F284="","",' Impaired Loans ASC 310-10'!F284)</f>
        <v/>
      </c>
      <c r="G284" s="574">
        <f>IF(' Impaired Loans ASC 310-10'!G284="","",' Impaired Loans ASC 310-10'!G284)</f>
        <v/>
      </c>
      <c r="H284" s="574">
        <f>IF(' Impaired Loans ASC 310-10'!H284="","",' Impaired Loans ASC 310-10'!H284)</f>
        <v/>
      </c>
      <c r="I284" s="574">
        <f>IF(' Impaired Loans ASC 310-10'!I284="","",' Impaired Loans ASC 310-10'!I284)</f>
        <v/>
      </c>
      <c r="J284" s="574">
        <f>IF(' Impaired Loans ASC 310-10'!J284="","",' Impaired Loans ASC 310-10'!J284)</f>
        <v/>
      </c>
      <c r="K284" s="584" t="n"/>
      <c r="L284" s="578">
        <f>IFERROR(A284,"")</f>
        <v/>
      </c>
      <c r="M284" s="849">
        <f>IF(' Impaired Loans ASC 310-10'!A284="","",' Impaired Loans ASC 310-10'!K284)</f>
        <v/>
      </c>
      <c r="N284" s="580">
        <f>IF(' Impaired Loans ASC 310-10'!A284="","",' Impaired Loans ASC 310-10'!L284)</f>
        <v/>
      </c>
      <c r="O284" s="581">
        <f>IF(' Impaired Loans ASC 310-10'!A284="","",' Impaired Loans ASC 310-10'!M284)</f>
        <v/>
      </c>
      <c r="P284" s="582">
        <f>IF(' Impaired Loans ASC 310-10'!A284="","",' Impaired Loans ASC 310-10'!O284)</f>
        <v/>
      </c>
      <c r="Q284" s="583">
        <f>IF(' Impaired Loans ASC 310-10'!A284="","",' Impaired Loans ASC 310-10'!N284)</f>
        <v/>
      </c>
      <c r="R284" s="583">
        <f>IF(' Impaired Loans ASC 310-10'!A284="","",' Impaired Loans ASC 310-10'!P284)</f>
        <v/>
      </c>
      <c r="S284" s="583">
        <f>IF(' Impaired Loans ASC 310-10'!A284="","",' Impaired Loans ASC 310-10'!Q284)</f>
        <v/>
      </c>
    </row>
    <row r="285">
      <c r="A285" s="573">
        <f>IF(' Impaired Loans ASC 310-10'!A285="","",' Impaired Loans ASC 310-10'!A285)</f>
        <v/>
      </c>
      <c r="B285" s="573">
        <f>IF(' Impaired Loans ASC 310-10'!B285="","",' Impaired Loans ASC 310-10'!B285)</f>
        <v/>
      </c>
      <c r="C285" s="573">
        <f>IF(' Impaired Loans ASC 310-10'!C285="","",' Impaired Loans ASC 310-10'!C285)</f>
        <v/>
      </c>
      <c r="D285" s="573">
        <f>IF(' Impaired Loans ASC 310-10'!D285="","",' Impaired Loans ASC 310-10'!D285)</f>
        <v/>
      </c>
      <c r="E285" s="574">
        <f>IF(' Impaired Loans ASC 310-10'!E285="","",' Impaired Loans ASC 310-10'!E285)</f>
        <v/>
      </c>
      <c r="F285" s="575">
        <f>IF(' Impaired Loans ASC 310-10'!F285="","",' Impaired Loans ASC 310-10'!F285)</f>
        <v/>
      </c>
      <c r="G285" s="574">
        <f>IF(' Impaired Loans ASC 310-10'!G285="","",' Impaired Loans ASC 310-10'!G285)</f>
        <v/>
      </c>
      <c r="H285" s="574">
        <f>IF(' Impaired Loans ASC 310-10'!H285="","",' Impaired Loans ASC 310-10'!H285)</f>
        <v/>
      </c>
      <c r="I285" s="574">
        <f>IF(' Impaired Loans ASC 310-10'!I285="","",' Impaired Loans ASC 310-10'!I285)</f>
        <v/>
      </c>
      <c r="J285" s="574">
        <f>IF(' Impaired Loans ASC 310-10'!J285="","",' Impaired Loans ASC 310-10'!J285)</f>
        <v/>
      </c>
      <c r="K285" s="584" t="n"/>
      <c r="L285" s="578">
        <f>IFERROR(A285,"")</f>
        <v/>
      </c>
      <c r="M285" s="849">
        <f>IF(' Impaired Loans ASC 310-10'!A285="","",' Impaired Loans ASC 310-10'!K285)</f>
        <v/>
      </c>
      <c r="N285" s="580">
        <f>IF(' Impaired Loans ASC 310-10'!A285="","",' Impaired Loans ASC 310-10'!L285)</f>
        <v/>
      </c>
      <c r="O285" s="581">
        <f>IF(' Impaired Loans ASC 310-10'!A285="","",' Impaired Loans ASC 310-10'!M285)</f>
        <v/>
      </c>
      <c r="P285" s="582">
        <f>IF(' Impaired Loans ASC 310-10'!A285="","",' Impaired Loans ASC 310-10'!O285)</f>
        <v/>
      </c>
      <c r="Q285" s="583">
        <f>IF(' Impaired Loans ASC 310-10'!A285="","",' Impaired Loans ASC 310-10'!N285)</f>
        <v/>
      </c>
      <c r="R285" s="583">
        <f>IF(' Impaired Loans ASC 310-10'!A285="","",' Impaired Loans ASC 310-10'!P285)</f>
        <v/>
      </c>
      <c r="S285" s="583">
        <f>IF(' Impaired Loans ASC 310-10'!A285="","",' Impaired Loans ASC 310-10'!Q285)</f>
        <v/>
      </c>
    </row>
    <row r="286">
      <c r="A286" s="573">
        <f>IF(' Impaired Loans ASC 310-10'!A286="","",' Impaired Loans ASC 310-10'!A286)</f>
        <v/>
      </c>
      <c r="B286" s="573">
        <f>IF(' Impaired Loans ASC 310-10'!B286="","",' Impaired Loans ASC 310-10'!B286)</f>
        <v/>
      </c>
      <c r="C286" s="573">
        <f>IF(' Impaired Loans ASC 310-10'!C286="","",' Impaired Loans ASC 310-10'!C286)</f>
        <v/>
      </c>
      <c r="D286" s="573">
        <f>IF(' Impaired Loans ASC 310-10'!D286="","",' Impaired Loans ASC 310-10'!D286)</f>
        <v/>
      </c>
      <c r="E286" s="574">
        <f>IF(' Impaired Loans ASC 310-10'!E286="","",' Impaired Loans ASC 310-10'!E286)</f>
        <v/>
      </c>
      <c r="F286" s="575">
        <f>IF(' Impaired Loans ASC 310-10'!F286="","",' Impaired Loans ASC 310-10'!F286)</f>
        <v/>
      </c>
      <c r="G286" s="574">
        <f>IF(' Impaired Loans ASC 310-10'!G286="","",' Impaired Loans ASC 310-10'!G286)</f>
        <v/>
      </c>
      <c r="H286" s="574">
        <f>IF(' Impaired Loans ASC 310-10'!H286="","",' Impaired Loans ASC 310-10'!H286)</f>
        <v/>
      </c>
      <c r="I286" s="574">
        <f>IF(' Impaired Loans ASC 310-10'!I286="","",' Impaired Loans ASC 310-10'!I286)</f>
        <v/>
      </c>
      <c r="J286" s="574">
        <f>IF(' Impaired Loans ASC 310-10'!J286="","",' Impaired Loans ASC 310-10'!J286)</f>
        <v/>
      </c>
      <c r="K286" s="584" t="n"/>
      <c r="L286" s="578">
        <f>IFERROR(A286,"")</f>
        <v/>
      </c>
      <c r="M286" s="849">
        <f>IF(' Impaired Loans ASC 310-10'!A286="","",' Impaired Loans ASC 310-10'!K286)</f>
        <v/>
      </c>
      <c r="N286" s="580">
        <f>IF(' Impaired Loans ASC 310-10'!A286="","",' Impaired Loans ASC 310-10'!L286)</f>
        <v/>
      </c>
      <c r="O286" s="581">
        <f>IF(' Impaired Loans ASC 310-10'!A286="","",' Impaired Loans ASC 310-10'!M286)</f>
        <v/>
      </c>
      <c r="P286" s="582">
        <f>IF(' Impaired Loans ASC 310-10'!A286="","",' Impaired Loans ASC 310-10'!O286)</f>
        <v/>
      </c>
      <c r="Q286" s="583">
        <f>IF(' Impaired Loans ASC 310-10'!A286="","",' Impaired Loans ASC 310-10'!N286)</f>
        <v/>
      </c>
      <c r="R286" s="583">
        <f>IF(' Impaired Loans ASC 310-10'!A286="","",' Impaired Loans ASC 310-10'!P286)</f>
        <v/>
      </c>
      <c r="S286" s="583">
        <f>IF(' Impaired Loans ASC 310-10'!A286="","",' Impaired Loans ASC 310-10'!Q286)</f>
        <v/>
      </c>
    </row>
    <row r="287">
      <c r="A287" s="573">
        <f>IF(' Impaired Loans ASC 310-10'!A287="","",' Impaired Loans ASC 310-10'!A287)</f>
        <v/>
      </c>
      <c r="B287" s="573">
        <f>IF(' Impaired Loans ASC 310-10'!B287="","",' Impaired Loans ASC 310-10'!B287)</f>
        <v/>
      </c>
      <c r="C287" s="573">
        <f>IF(' Impaired Loans ASC 310-10'!C287="","",' Impaired Loans ASC 310-10'!C287)</f>
        <v/>
      </c>
      <c r="D287" s="573">
        <f>IF(' Impaired Loans ASC 310-10'!D287="","",' Impaired Loans ASC 310-10'!D287)</f>
        <v/>
      </c>
      <c r="E287" s="574">
        <f>IF(' Impaired Loans ASC 310-10'!E287="","",' Impaired Loans ASC 310-10'!E287)</f>
        <v/>
      </c>
      <c r="F287" s="575">
        <f>IF(' Impaired Loans ASC 310-10'!F287="","",' Impaired Loans ASC 310-10'!F287)</f>
        <v/>
      </c>
      <c r="G287" s="574">
        <f>IF(' Impaired Loans ASC 310-10'!G287="","",' Impaired Loans ASC 310-10'!G287)</f>
        <v/>
      </c>
      <c r="H287" s="574">
        <f>IF(' Impaired Loans ASC 310-10'!H287="","",' Impaired Loans ASC 310-10'!H287)</f>
        <v/>
      </c>
      <c r="I287" s="574">
        <f>IF(' Impaired Loans ASC 310-10'!I287="","",' Impaired Loans ASC 310-10'!I287)</f>
        <v/>
      </c>
      <c r="J287" s="574">
        <f>IF(' Impaired Loans ASC 310-10'!J287="","",' Impaired Loans ASC 310-10'!J287)</f>
        <v/>
      </c>
      <c r="K287" s="584" t="n"/>
      <c r="L287" s="578">
        <f>IFERROR(A287,"")</f>
        <v/>
      </c>
      <c r="M287" s="849">
        <f>IF(' Impaired Loans ASC 310-10'!A287="","",' Impaired Loans ASC 310-10'!K287)</f>
        <v/>
      </c>
      <c r="N287" s="580">
        <f>IF(' Impaired Loans ASC 310-10'!A287="","",' Impaired Loans ASC 310-10'!L287)</f>
        <v/>
      </c>
      <c r="O287" s="581">
        <f>IF(' Impaired Loans ASC 310-10'!A287="","",' Impaired Loans ASC 310-10'!M287)</f>
        <v/>
      </c>
      <c r="P287" s="582">
        <f>IF(' Impaired Loans ASC 310-10'!A287="","",' Impaired Loans ASC 310-10'!O287)</f>
        <v/>
      </c>
      <c r="Q287" s="583">
        <f>IF(' Impaired Loans ASC 310-10'!A287="","",' Impaired Loans ASC 310-10'!N287)</f>
        <v/>
      </c>
      <c r="R287" s="583">
        <f>IF(' Impaired Loans ASC 310-10'!A287="","",' Impaired Loans ASC 310-10'!P287)</f>
        <v/>
      </c>
      <c r="S287" s="583">
        <f>IF(' Impaired Loans ASC 310-10'!A287="","",' Impaired Loans ASC 310-10'!Q287)</f>
        <v/>
      </c>
    </row>
    <row r="288">
      <c r="A288" s="573">
        <f>IF(' Impaired Loans ASC 310-10'!A288="","",' Impaired Loans ASC 310-10'!A288)</f>
        <v/>
      </c>
      <c r="B288" s="573">
        <f>IF(' Impaired Loans ASC 310-10'!B288="","",' Impaired Loans ASC 310-10'!B288)</f>
        <v/>
      </c>
      <c r="C288" s="573">
        <f>IF(' Impaired Loans ASC 310-10'!C288="","",' Impaired Loans ASC 310-10'!C288)</f>
        <v/>
      </c>
      <c r="D288" s="573">
        <f>IF(' Impaired Loans ASC 310-10'!D288="","",' Impaired Loans ASC 310-10'!D288)</f>
        <v/>
      </c>
      <c r="E288" s="574">
        <f>IF(' Impaired Loans ASC 310-10'!E288="","",' Impaired Loans ASC 310-10'!E288)</f>
        <v/>
      </c>
      <c r="F288" s="575">
        <f>IF(' Impaired Loans ASC 310-10'!F288="","",' Impaired Loans ASC 310-10'!F288)</f>
        <v/>
      </c>
      <c r="G288" s="574">
        <f>IF(' Impaired Loans ASC 310-10'!G288="","",' Impaired Loans ASC 310-10'!G288)</f>
        <v/>
      </c>
      <c r="H288" s="574">
        <f>IF(' Impaired Loans ASC 310-10'!H288="","",' Impaired Loans ASC 310-10'!H288)</f>
        <v/>
      </c>
      <c r="I288" s="574">
        <f>IF(' Impaired Loans ASC 310-10'!I288="","",' Impaired Loans ASC 310-10'!I288)</f>
        <v/>
      </c>
      <c r="J288" s="574">
        <f>IF(' Impaired Loans ASC 310-10'!J288="","",' Impaired Loans ASC 310-10'!J288)</f>
        <v/>
      </c>
      <c r="K288" s="584" t="n"/>
      <c r="L288" s="578">
        <f>IFERROR(A288,"")</f>
        <v/>
      </c>
      <c r="M288" s="849">
        <f>IF(' Impaired Loans ASC 310-10'!A288="","",' Impaired Loans ASC 310-10'!K288)</f>
        <v/>
      </c>
      <c r="N288" s="580">
        <f>IF(' Impaired Loans ASC 310-10'!A288="","",' Impaired Loans ASC 310-10'!L288)</f>
        <v/>
      </c>
      <c r="O288" s="581">
        <f>IF(' Impaired Loans ASC 310-10'!A288="","",' Impaired Loans ASC 310-10'!M288)</f>
        <v/>
      </c>
      <c r="P288" s="582">
        <f>IF(' Impaired Loans ASC 310-10'!A288="","",' Impaired Loans ASC 310-10'!O288)</f>
        <v/>
      </c>
      <c r="Q288" s="583">
        <f>IF(' Impaired Loans ASC 310-10'!A288="","",' Impaired Loans ASC 310-10'!N288)</f>
        <v/>
      </c>
      <c r="R288" s="583">
        <f>IF(' Impaired Loans ASC 310-10'!A288="","",' Impaired Loans ASC 310-10'!P288)</f>
        <v/>
      </c>
      <c r="S288" s="583">
        <f>IF(' Impaired Loans ASC 310-10'!A288="","",' Impaired Loans ASC 310-10'!Q288)</f>
        <v/>
      </c>
    </row>
    <row r="289">
      <c r="A289" s="573">
        <f>IF(' Impaired Loans ASC 310-10'!A289="","",' Impaired Loans ASC 310-10'!A289)</f>
        <v/>
      </c>
      <c r="B289" s="573">
        <f>IF(' Impaired Loans ASC 310-10'!B289="","",' Impaired Loans ASC 310-10'!B289)</f>
        <v/>
      </c>
      <c r="C289" s="573">
        <f>IF(' Impaired Loans ASC 310-10'!C289="","",' Impaired Loans ASC 310-10'!C289)</f>
        <v/>
      </c>
      <c r="D289" s="573">
        <f>IF(' Impaired Loans ASC 310-10'!D289="","",' Impaired Loans ASC 310-10'!D289)</f>
        <v/>
      </c>
      <c r="E289" s="574">
        <f>IF(' Impaired Loans ASC 310-10'!E289="","",' Impaired Loans ASC 310-10'!E289)</f>
        <v/>
      </c>
      <c r="F289" s="575">
        <f>IF(' Impaired Loans ASC 310-10'!F289="","",' Impaired Loans ASC 310-10'!F289)</f>
        <v/>
      </c>
      <c r="G289" s="574">
        <f>IF(' Impaired Loans ASC 310-10'!G289="","",' Impaired Loans ASC 310-10'!G289)</f>
        <v/>
      </c>
      <c r="H289" s="574">
        <f>IF(' Impaired Loans ASC 310-10'!H289="","",' Impaired Loans ASC 310-10'!H289)</f>
        <v/>
      </c>
      <c r="I289" s="574">
        <f>IF(' Impaired Loans ASC 310-10'!I289="","",' Impaired Loans ASC 310-10'!I289)</f>
        <v/>
      </c>
      <c r="J289" s="574">
        <f>IF(' Impaired Loans ASC 310-10'!J289="","",' Impaired Loans ASC 310-10'!J289)</f>
        <v/>
      </c>
      <c r="K289" s="584" t="n"/>
      <c r="L289" s="578">
        <f>IFERROR(A289,"")</f>
        <v/>
      </c>
      <c r="M289" s="849">
        <f>IF(' Impaired Loans ASC 310-10'!A289="","",' Impaired Loans ASC 310-10'!K289)</f>
        <v/>
      </c>
      <c r="N289" s="580">
        <f>IF(' Impaired Loans ASC 310-10'!A289="","",' Impaired Loans ASC 310-10'!L289)</f>
        <v/>
      </c>
      <c r="O289" s="581">
        <f>IF(' Impaired Loans ASC 310-10'!A289="","",' Impaired Loans ASC 310-10'!M289)</f>
        <v/>
      </c>
      <c r="P289" s="582">
        <f>IF(' Impaired Loans ASC 310-10'!A289="","",' Impaired Loans ASC 310-10'!O289)</f>
        <v/>
      </c>
      <c r="Q289" s="583">
        <f>IF(' Impaired Loans ASC 310-10'!A289="","",' Impaired Loans ASC 310-10'!N289)</f>
        <v/>
      </c>
      <c r="R289" s="583">
        <f>IF(' Impaired Loans ASC 310-10'!A289="","",' Impaired Loans ASC 310-10'!P289)</f>
        <v/>
      </c>
      <c r="S289" s="583">
        <f>IF(' Impaired Loans ASC 310-10'!A289="","",' Impaired Loans ASC 310-10'!Q289)</f>
        <v/>
      </c>
    </row>
    <row r="290">
      <c r="A290" s="573">
        <f>IF(' Impaired Loans ASC 310-10'!A290="","",' Impaired Loans ASC 310-10'!A290)</f>
        <v/>
      </c>
      <c r="B290" s="573">
        <f>IF(' Impaired Loans ASC 310-10'!B290="","",' Impaired Loans ASC 310-10'!B290)</f>
        <v/>
      </c>
      <c r="C290" s="573">
        <f>IF(' Impaired Loans ASC 310-10'!C290="","",' Impaired Loans ASC 310-10'!C290)</f>
        <v/>
      </c>
      <c r="D290" s="573">
        <f>IF(' Impaired Loans ASC 310-10'!D290="","",' Impaired Loans ASC 310-10'!D290)</f>
        <v/>
      </c>
      <c r="E290" s="574">
        <f>IF(' Impaired Loans ASC 310-10'!E290="","",' Impaired Loans ASC 310-10'!E290)</f>
        <v/>
      </c>
      <c r="F290" s="575">
        <f>IF(' Impaired Loans ASC 310-10'!F290="","",' Impaired Loans ASC 310-10'!F290)</f>
        <v/>
      </c>
      <c r="G290" s="574">
        <f>IF(' Impaired Loans ASC 310-10'!G290="","",' Impaired Loans ASC 310-10'!G290)</f>
        <v/>
      </c>
      <c r="H290" s="574">
        <f>IF(' Impaired Loans ASC 310-10'!H290="","",' Impaired Loans ASC 310-10'!H290)</f>
        <v/>
      </c>
      <c r="I290" s="574">
        <f>IF(' Impaired Loans ASC 310-10'!I290="","",' Impaired Loans ASC 310-10'!I290)</f>
        <v/>
      </c>
      <c r="J290" s="574">
        <f>IF(' Impaired Loans ASC 310-10'!J290="","",' Impaired Loans ASC 310-10'!J290)</f>
        <v/>
      </c>
      <c r="K290" s="584" t="n"/>
      <c r="L290" s="578">
        <f>IFERROR(A290,"")</f>
        <v/>
      </c>
      <c r="M290" s="849">
        <f>IF(' Impaired Loans ASC 310-10'!A290="","",' Impaired Loans ASC 310-10'!K290)</f>
        <v/>
      </c>
      <c r="N290" s="580">
        <f>IF(' Impaired Loans ASC 310-10'!A290="","",' Impaired Loans ASC 310-10'!L290)</f>
        <v/>
      </c>
      <c r="O290" s="581">
        <f>IF(' Impaired Loans ASC 310-10'!A290="","",' Impaired Loans ASC 310-10'!M290)</f>
        <v/>
      </c>
      <c r="P290" s="582">
        <f>IF(' Impaired Loans ASC 310-10'!A290="","",' Impaired Loans ASC 310-10'!O290)</f>
        <v/>
      </c>
      <c r="Q290" s="583">
        <f>IF(' Impaired Loans ASC 310-10'!A290="","",' Impaired Loans ASC 310-10'!N290)</f>
        <v/>
      </c>
      <c r="R290" s="583">
        <f>IF(' Impaired Loans ASC 310-10'!A290="","",' Impaired Loans ASC 310-10'!P290)</f>
        <v/>
      </c>
      <c r="S290" s="583">
        <f>IF(' Impaired Loans ASC 310-10'!A290="","",' Impaired Loans ASC 310-10'!Q290)</f>
        <v/>
      </c>
    </row>
    <row r="291">
      <c r="A291" s="573">
        <f>IF(' Impaired Loans ASC 310-10'!A291="","",' Impaired Loans ASC 310-10'!A291)</f>
        <v/>
      </c>
      <c r="B291" s="573">
        <f>IF(' Impaired Loans ASC 310-10'!B291="","",' Impaired Loans ASC 310-10'!B291)</f>
        <v/>
      </c>
      <c r="C291" s="573">
        <f>IF(' Impaired Loans ASC 310-10'!C291="","",' Impaired Loans ASC 310-10'!C291)</f>
        <v/>
      </c>
      <c r="D291" s="573">
        <f>IF(' Impaired Loans ASC 310-10'!D291="","",' Impaired Loans ASC 310-10'!D291)</f>
        <v/>
      </c>
      <c r="E291" s="574">
        <f>IF(' Impaired Loans ASC 310-10'!E291="","",' Impaired Loans ASC 310-10'!E291)</f>
        <v/>
      </c>
      <c r="F291" s="575">
        <f>IF(' Impaired Loans ASC 310-10'!F291="","",' Impaired Loans ASC 310-10'!F291)</f>
        <v/>
      </c>
      <c r="G291" s="574">
        <f>IF(' Impaired Loans ASC 310-10'!G291="","",' Impaired Loans ASC 310-10'!G291)</f>
        <v/>
      </c>
      <c r="H291" s="574">
        <f>IF(' Impaired Loans ASC 310-10'!H291="","",' Impaired Loans ASC 310-10'!H291)</f>
        <v/>
      </c>
      <c r="I291" s="574">
        <f>IF(' Impaired Loans ASC 310-10'!I291="","",' Impaired Loans ASC 310-10'!I291)</f>
        <v/>
      </c>
      <c r="J291" s="574">
        <f>IF(' Impaired Loans ASC 310-10'!J291="","",' Impaired Loans ASC 310-10'!J291)</f>
        <v/>
      </c>
      <c r="K291" s="584" t="n"/>
      <c r="L291" s="578">
        <f>IFERROR(A291,"")</f>
        <v/>
      </c>
      <c r="M291" s="849">
        <f>IF(' Impaired Loans ASC 310-10'!A291="","",' Impaired Loans ASC 310-10'!K291)</f>
        <v/>
      </c>
      <c r="N291" s="580">
        <f>IF(' Impaired Loans ASC 310-10'!A291="","",' Impaired Loans ASC 310-10'!L291)</f>
        <v/>
      </c>
      <c r="O291" s="581">
        <f>IF(' Impaired Loans ASC 310-10'!A291="","",' Impaired Loans ASC 310-10'!M291)</f>
        <v/>
      </c>
      <c r="P291" s="582">
        <f>IF(' Impaired Loans ASC 310-10'!A291="","",' Impaired Loans ASC 310-10'!O291)</f>
        <v/>
      </c>
      <c r="Q291" s="583">
        <f>IF(' Impaired Loans ASC 310-10'!A291="","",' Impaired Loans ASC 310-10'!N291)</f>
        <v/>
      </c>
      <c r="R291" s="583">
        <f>IF(' Impaired Loans ASC 310-10'!A291="","",' Impaired Loans ASC 310-10'!P291)</f>
        <v/>
      </c>
      <c r="S291" s="583">
        <f>IF(' Impaired Loans ASC 310-10'!A291="","",' Impaired Loans ASC 310-10'!Q291)</f>
        <v/>
      </c>
    </row>
    <row r="292">
      <c r="A292" s="573">
        <f>IF(' Impaired Loans ASC 310-10'!A292="","",' Impaired Loans ASC 310-10'!A292)</f>
        <v/>
      </c>
      <c r="B292" s="573">
        <f>IF(' Impaired Loans ASC 310-10'!B292="","",' Impaired Loans ASC 310-10'!B292)</f>
        <v/>
      </c>
      <c r="C292" s="573">
        <f>IF(' Impaired Loans ASC 310-10'!C292="","",' Impaired Loans ASC 310-10'!C292)</f>
        <v/>
      </c>
      <c r="D292" s="573">
        <f>IF(' Impaired Loans ASC 310-10'!D292="","",' Impaired Loans ASC 310-10'!D292)</f>
        <v/>
      </c>
      <c r="E292" s="574">
        <f>IF(' Impaired Loans ASC 310-10'!E292="","",' Impaired Loans ASC 310-10'!E292)</f>
        <v/>
      </c>
      <c r="F292" s="575">
        <f>IF(' Impaired Loans ASC 310-10'!F292="","",' Impaired Loans ASC 310-10'!F292)</f>
        <v/>
      </c>
      <c r="G292" s="574">
        <f>IF(' Impaired Loans ASC 310-10'!G292="","",' Impaired Loans ASC 310-10'!G292)</f>
        <v/>
      </c>
      <c r="H292" s="574">
        <f>IF(' Impaired Loans ASC 310-10'!H292="","",' Impaired Loans ASC 310-10'!H292)</f>
        <v/>
      </c>
      <c r="I292" s="574">
        <f>IF(' Impaired Loans ASC 310-10'!I292="","",' Impaired Loans ASC 310-10'!I292)</f>
        <v/>
      </c>
      <c r="J292" s="574">
        <f>IF(' Impaired Loans ASC 310-10'!J292="","",' Impaired Loans ASC 310-10'!J292)</f>
        <v/>
      </c>
      <c r="K292" s="584" t="n"/>
      <c r="L292" s="578">
        <f>IFERROR(A292,"")</f>
        <v/>
      </c>
      <c r="M292" s="849">
        <f>IF(' Impaired Loans ASC 310-10'!A292="","",' Impaired Loans ASC 310-10'!K292)</f>
        <v/>
      </c>
      <c r="N292" s="580">
        <f>IF(' Impaired Loans ASC 310-10'!A292="","",' Impaired Loans ASC 310-10'!L292)</f>
        <v/>
      </c>
      <c r="O292" s="581">
        <f>IF(' Impaired Loans ASC 310-10'!A292="","",' Impaired Loans ASC 310-10'!M292)</f>
        <v/>
      </c>
      <c r="P292" s="582">
        <f>IF(' Impaired Loans ASC 310-10'!A292="","",' Impaired Loans ASC 310-10'!O292)</f>
        <v/>
      </c>
      <c r="Q292" s="583">
        <f>IF(' Impaired Loans ASC 310-10'!A292="","",' Impaired Loans ASC 310-10'!N292)</f>
        <v/>
      </c>
      <c r="R292" s="583">
        <f>IF(' Impaired Loans ASC 310-10'!A292="","",' Impaired Loans ASC 310-10'!P292)</f>
        <v/>
      </c>
      <c r="S292" s="583">
        <f>IF(' Impaired Loans ASC 310-10'!A292="","",' Impaired Loans ASC 310-10'!Q292)</f>
        <v/>
      </c>
    </row>
    <row r="293">
      <c r="A293" s="573">
        <f>IF(' Impaired Loans ASC 310-10'!A293="","",' Impaired Loans ASC 310-10'!A293)</f>
        <v/>
      </c>
      <c r="B293" s="573">
        <f>IF(' Impaired Loans ASC 310-10'!B293="","",' Impaired Loans ASC 310-10'!B293)</f>
        <v/>
      </c>
      <c r="C293" s="573">
        <f>IF(' Impaired Loans ASC 310-10'!C293="","",' Impaired Loans ASC 310-10'!C293)</f>
        <v/>
      </c>
      <c r="D293" s="573">
        <f>IF(' Impaired Loans ASC 310-10'!D293="","",' Impaired Loans ASC 310-10'!D293)</f>
        <v/>
      </c>
      <c r="E293" s="574">
        <f>IF(' Impaired Loans ASC 310-10'!E293="","",' Impaired Loans ASC 310-10'!E293)</f>
        <v/>
      </c>
      <c r="F293" s="575">
        <f>IF(' Impaired Loans ASC 310-10'!F293="","",' Impaired Loans ASC 310-10'!F293)</f>
        <v/>
      </c>
      <c r="G293" s="574">
        <f>IF(' Impaired Loans ASC 310-10'!G293="","",' Impaired Loans ASC 310-10'!G293)</f>
        <v/>
      </c>
      <c r="H293" s="574">
        <f>IF(' Impaired Loans ASC 310-10'!H293="","",' Impaired Loans ASC 310-10'!H293)</f>
        <v/>
      </c>
      <c r="I293" s="574">
        <f>IF(' Impaired Loans ASC 310-10'!I293="","",' Impaired Loans ASC 310-10'!I293)</f>
        <v/>
      </c>
      <c r="J293" s="574">
        <f>IF(' Impaired Loans ASC 310-10'!J293="","",' Impaired Loans ASC 310-10'!J293)</f>
        <v/>
      </c>
      <c r="K293" s="584" t="n"/>
      <c r="L293" s="578">
        <f>IFERROR(A293,"")</f>
        <v/>
      </c>
      <c r="M293" s="849">
        <f>IF(' Impaired Loans ASC 310-10'!A293="","",' Impaired Loans ASC 310-10'!K293)</f>
        <v/>
      </c>
      <c r="N293" s="580">
        <f>IF(' Impaired Loans ASC 310-10'!A293="","",' Impaired Loans ASC 310-10'!L293)</f>
        <v/>
      </c>
      <c r="O293" s="581">
        <f>IF(' Impaired Loans ASC 310-10'!A293="","",' Impaired Loans ASC 310-10'!M293)</f>
        <v/>
      </c>
      <c r="P293" s="582">
        <f>IF(' Impaired Loans ASC 310-10'!A293="","",' Impaired Loans ASC 310-10'!O293)</f>
        <v/>
      </c>
      <c r="Q293" s="583">
        <f>IF(' Impaired Loans ASC 310-10'!A293="","",' Impaired Loans ASC 310-10'!N293)</f>
        <v/>
      </c>
      <c r="R293" s="583">
        <f>IF(' Impaired Loans ASC 310-10'!A293="","",' Impaired Loans ASC 310-10'!P293)</f>
        <v/>
      </c>
      <c r="S293" s="583">
        <f>IF(' Impaired Loans ASC 310-10'!A293="","",' Impaired Loans ASC 310-10'!Q293)</f>
        <v/>
      </c>
    </row>
    <row r="294">
      <c r="A294" s="573">
        <f>IF(' Impaired Loans ASC 310-10'!A294="","",' Impaired Loans ASC 310-10'!A294)</f>
        <v/>
      </c>
      <c r="B294" s="573">
        <f>IF(' Impaired Loans ASC 310-10'!B294="","",' Impaired Loans ASC 310-10'!B294)</f>
        <v/>
      </c>
      <c r="C294" s="573">
        <f>IF(' Impaired Loans ASC 310-10'!C294="","",' Impaired Loans ASC 310-10'!C294)</f>
        <v/>
      </c>
      <c r="D294" s="573">
        <f>IF(' Impaired Loans ASC 310-10'!D294="","",' Impaired Loans ASC 310-10'!D294)</f>
        <v/>
      </c>
      <c r="E294" s="574">
        <f>IF(' Impaired Loans ASC 310-10'!E294="","",' Impaired Loans ASC 310-10'!E294)</f>
        <v/>
      </c>
      <c r="F294" s="575">
        <f>IF(' Impaired Loans ASC 310-10'!F294="","",' Impaired Loans ASC 310-10'!F294)</f>
        <v/>
      </c>
      <c r="G294" s="574">
        <f>IF(' Impaired Loans ASC 310-10'!G294="","",' Impaired Loans ASC 310-10'!G294)</f>
        <v/>
      </c>
      <c r="H294" s="574">
        <f>IF(' Impaired Loans ASC 310-10'!H294="","",' Impaired Loans ASC 310-10'!H294)</f>
        <v/>
      </c>
      <c r="I294" s="574">
        <f>IF(' Impaired Loans ASC 310-10'!I294="","",' Impaired Loans ASC 310-10'!I294)</f>
        <v/>
      </c>
      <c r="J294" s="574">
        <f>IF(' Impaired Loans ASC 310-10'!J294="","",' Impaired Loans ASC 310-10'!J294)</f>
        <v/>
      </c>
      <c r="K294" s="584" t="n"/>
      <c r="L294" s="578">
        <f>IFERROR(A294,"")</f>
        <v/>
      </c>
      <c r="M294" s="849">
        <f>IF(' Impaired Loans ASC 310-10'!A294="","",' Impaired Loans ASC 310-10'!K294)</f>
        <v/>
      </c>
      <c r="N294" s="580">
        <f>IF(' Impaired Loans ASC 310-10'!A294="","",' Impaired Loans ASC 310-10'!L294)</f>
        <v/>
      </c>
      <c r="O294" s="581">
        <f>IF(' Impaired Loans ASC 310-10'!A294="","",' Impaired Loans ASC 310-10'!M294)</f>
        <v/>
      </c>
      <c r="P294" s="582">
        <f>IF(' Impaired Loans ASC 310-10'!A294="","",' Impaired Loans ASC 310-10'!O294)</f>
        <v/>
      </c>
      <c r="Q294" s="583">
        <f>IF(' Impaired Loans ASC 310-10'!A294="","",' Impaired Loans ASC 310-10'!N294)</f>
        <v/>
      </c>
      <c r="R294" s="583">
        <f>IF(' Impaired Loans ASC 310-10'!A294="","",' Impaired Loans ASC 310-10'!P294)</f>
        <v/>
      </c>
      <c r="S294" s="583">
        <f>IF(' Impaired Loans ASC 310-10'!A294="","",' Impaired Loans ASC 310-10'!Q294)</f>
        <v/>
      </c>
    </row>
    <row r="295">
      <c r="A295" s="573">
        <f>IF(' Impaired Loans ASC 310-10'!A295="","",' Impaired Loans ASC 310-10'!A295)</f>
        <v/>
      </c>
      <c r="B295" s="573">
        <f>IF(' Impaired Loans ASC 310-10'!B295="","",' Impaired Loans ASC 310-10'!B295)</f>
        <v/>
      </c>
      <c r="C295" s="573">
        <f>IF(' Impaired Loans ASC 310-10'!C295="","",' Impaired Loans ASC 310-10'!C295)</f>
        <v/>
      </c>
      <c r="D295" s="573">
        <f>IF(' Impaired Loans ASC 310-10'!D295="","",' Impaired Loans ASC 310-10'!D295)</f>
        <v/>
      </c>
      <c r="E295" s="574">
        <f>IF(' Impaired Loans ASC 310-10'!E295="","",' Impaired Loans ASC 310-10'!E295)</f>
        <v/>
      </c>
      <c r="F295" s="575">
        <f>IF(' Impaired Loans ASC 310-10'!F295="","",' Impaired Loans ASC 310-10'!F295)</f>
        <v/>
      </c>
      <c r="G295" s="574">
        <f>IF(' Impaired Loans ASC 310-10'!G295="","",' Impaired Loans ASC 310-10'!G295)</f>
        <v/>
      </c>
      <c r="H295" s="574">
        <f>IF(' Impaired Loans ASC 310-10'!H295="","",' Impaired Loans ASC 310-10'!H295)</f>
        <v/>
      </c>
      <c r="I295" s="574">
        <f>IF(' Impaired Loans ASC 310-10'!I295="","",' Impaired Loans ASC 310-10'!I295)</f>
        <v/>
      </c>
      <c r="J295" s="574">
        <f>IF(' Impaired Loans ASC 310-10'!J295="","",' Impaired Loans ASC 310-10'!J295)</f>
        <v/>
      </c>
      <c r="K295" s="584" t="n"/>
      <c r="L295" s="578">
        <f>IFERROR(A295,"")</f>
        <v/>
      </c>
      <c r="M295" s="849">
        <f>IF(' Impaired Loans ASC 310-10'!A295="","",' Impaired Loans ASC 310-10'!K295)</f>
        <v/>
      </c>
      <c r="N295" s="580">
        <f>IF(' Impaired Loans ASC 310-10'!A295="","",' Impaired Loans ASC 310-10'!L295)</f>
        <v/>
      </c>
      <c r="O295" s="581">
        <f>IF(' Impaired Loans ASC 310-10'!A295="","",' Impaired Loans ASC 310-10'!M295)</f>
        <v/>
      </c>
      <c r="P295" s="582">
        <f>IF(' Impaired Loans ASC 310-10'!A295="","",' Impaired Loans ASC 310-10'!O295)</f>
        <v/>
      </c>
      <c r="Q295" s="583">
        <f>IF(' Impaired Loans ASC 310-10'!A295="","",' Impaired Loans ASC 310-10'!N295)</f>
        <v/>
      </c>
      <c r="R295" s="583">
        <f>IF(' Impaired Loans ASC 310-10'!A295="","",' Impaired Loans ASC 310-10'!P295)</f>
        <v/>
      </c>
      <c r="S295" s="583">
        <f>IF(' Impaired Loans ASC 310-10'!A295="","",' Impaired Loans ASC 310-10'!Q295)</f>
        <v/>
      </c>
    </row>
    <row r="296">
      <c r="A296" s="573">
        <f>IF(' Impaired Loans ASC 310-10'!A296="","",' Impaired Loans ASC 310-10'!A296)</f>
        <v/>
      </c>
      <c r="B296" s="573">
        <f>IF(' Impaired Loans ASC 310-10'!B296="","",' Impaired Loans ASC 310-10'!B296)</f>
        <v/>
      </c>
      <c r="C296" s="573">
        <f>IF(' Impaired Loans ASC 310-10'!C296="","",' Impaired Loans ASC 310-10'!C296)</f>
        <v/>
      </c>
      <c r="D296" s="573">
        <f>IF(' Impaired Loans ASC 310-10'!D296="","",' Impaired Loans ASC 310-10'!D296)</f>
        <v/>
      </c>
      <c r="E296" s="574">
        <f>IF(' Impaired Loans ASC 310-10'!E296="","",' Impaired Loans ASC 310-10'!E296)</f>
        <v/>
      </c>
      <c r="F296" s="575">
        <f>IF(' Impaired Loans ASC 310-10'!F296="","",' Impaired Loans ASC 310-10'!F296)</f>
        <v/>
      </c>
      <c r="G296" s="574">
        <f>IF(' Impaired Loans ASC 310-10'!G296="","",' Impaired Loans ASC 310-10'!G296)</f>
        <v/>
      </c>
      <c r="H296" s="574">
        <f>IF(' Impaired Loans ASC 310-10'!H296="","",' Impaired Loans ASC 310-10'!H296)</f>
        <v/>
      </c>
      <c r="I296" s="574">
        <f>IF(' Impaired Loans ASC 310-10'!I296="","",' Impaired Loans ASC 310-10'!I296)</f>
        <v/>
      </c>
      <c r="J296" s="574">
        <f>IF(' Impaired Loans ASC 310-10'!J296="","",' Impaired Loans ASC 310-10'!J296)</f>
        <v/>
      </c>
      <c r="K296" s="584" t="n"/>
      <c r="L296" s="578">
        <f>IFERROR(A296,"")</f>
        <v/>
      </c>
      <c r="M296" s="849">
        <f>IF(' Impaired Loans ASC 310-10'!A296="","",' Impaired Loans ASC 310-10'!K296)</f>
        <v/>
      </c>
      <c r="N296" s="580">
        <f>IF(' Impaired Loans ASC 310-10'!A296="","",' Impaired Loans ASC 310-10'!L296)</f>
        <v/>
      </c>
      <c r="O296" s="581">
        <f>IF(' Impaired Loans ASC 310-10'!A296="","",' Impaired Loans ASC 310-10'!M296)</f>
        <v/>
      </c>
      <c r="P296" s="582">
        <f>IF(' Impaired Loans ASC 310-10'!A296="","",' Impaired Loans ASC 310-10'!O296)</f>
        <v/>
      </c>
      <c r="Q296" s="583">
        <f>IF(' Impaired Loans ASC 310-10'!A296="","",' Impaired Loans ASC 310-10'!N296)</f>
        <v/>
      </c>
      <c r="R296" s="583">
        <f>IF(' Impaired Loans ASC 310-10'!A296="","",' Impaired Loans ASC 310-10'!P296)</f>
        <v/>
      </c>
      <c r="S296" s="583">
        <f>IF(' Impaired Loans ASC 310-10'!A296="","",' Impaired Loans ASC 310-10'!Q296)</f>
        <v/>
      </c>
    </row>
    <row r="297">
      <c r="A297" s="573">
        <f>IF(' Impaired Loans ASC 310-10'!A297="","",' Impaired Loans ASC 310-10'!A297)</f>
        <v/>
      </c>
      <c r="B297" s="573">
        <f>IF(' Impaired Loans ASC 310-10'!B297="","",' Impaired Loans ASC 310-10'!B297)</f>
        <v/>
      </c>
      <c r="C297" s="573">
        <f>IF(' Impaired Loans ASC 310-10'!C297="","",' Impaired Loans ASC 310-10'!C297)</f>
        <v/>
      </c>
      <c r="D297" s="573">
        <f>IF(' Impaired Loans ASC 310-10'!D297="","",' Impaired Loans ASC 310-10'!D297)</f>
        <v/>
      </c>
      <c r="E297" s="574">
        <f>IF(' Impaired Loans ASC 310-10'!E297="","",' Impaired Loans ASC 310-10'!E297)</f>
        <v/>
      </c>
      <c r="F297" s="575">
        <f>IF(' Impaired Loans ASC 310-10'!F297="","",' Impaired Loans ASC 310-10'!F297)</f>
        <v/>
      </c>
      <c r="G297" s="574">
        <f>IF(' Impaired Loans ASC 310-10'!G297="","",' Impaired Loans ASC 310-10'!G297)</f>
        <v/>
      </c>
      <c r="H297" s="574">
        <f>IF(' Impaired Loans ASC 310-10'!H297="","",' Impaired Loans ASC 310-10'!H297)</f>
        <v/>
      </c>
      <c r="I297" s="574">
        <f>IF(' Impaired Loans ASC 310-10'!I297="","",' Impaired Loans ASC 310-10'!I297)</f>
        <v/>
      </c>
      <c r="J297" s="574">
        <f>IF(' Impaired Loans ASC 310-10'!J297="","",' Impaired Loans ASC 310-10'!J297)</f>
        <v/>
      </c>
      <c r="K297" s="584" t="n"/>
      <c r="L297" s="578">
        <f>IFERROR(A297,"")</f>
        <v/>
      </c>
      <c r="M297" s="849">
        <f>IF(' Impaired Loans ASC 310-10'!A297="","",' Impaired Loans ASC 310-10'!K297)</f>
        <v/>
      </c>
      <c r="N297" s="580">
        <f>IF(' Impaired Loans ASC 310-10'!A297="","",' Impaired Loans ASC 310-10'!L297)</f>
        <v/>
      </c>
      <c r="O297" s="581">
        <f>IF(' Impaired Loans ASC 310-10'!A297="","",' Impaired Loans ASC 310-10'!M297)</f>
        <v/>
      </c>
      <c r="P297" s="582">
        <f>IF(' Impaired Loans ASC 310-10'!A297="","",' Impaired Loans ASC 310-10'!O297)</f>
        <v/>
      </c>
      <c r="Q297" s="583">
        <f>IF(' Impaired Loans ASC 310-10'!A297="","",' Impaired Loans ASC 310-10'!N297)</f>
        <v/>
      </c>
      <c r="R297" s="583">
        <f>IF(' Impaired Loans ASC 310-10'!A297="","",' Impaired Loans ASC 310-10'!P297)</f>
        <v/>
      </c>
      <c r="S297" s="583">
        <f>IF(' Impaired Loans ASC 310-10'!A297="","",' Impaired Loans ASC 310-10'!Q297)</f>
        <v/>
      </c>
    </row>
    <row r="298">
      <c r="A298" s="573">
        <f>IF(' Impaired Loans ASC 310-10'!A298="","",' Impaired Loans ASC 310-10'!A298)</f>
        <v/>
      </c>
      <c r="B298" s="573">
        <f>IF(' Impaired Loans ASC 310-10'!B298="","",' Impaired Loans ASC 310-10'!B298)</f>
        <v/>
      </c>
      <c r="C298" s="573">
        <f>IF(' Impaired Loans ASC 310-10'!C298="","",' Impaired Loans ASC 310-10'!C298)</f>
        <v/>
      </c>
      <c r="D298" s="573">
        <f>IF(' Impaired Loans ASC 310-10'!D298="","",' Impaired Loans ASC 310-10'!D298)</f>
        <v/>
      </c>
      <c r="E298" s="574">
        <f>IF(' Impaired Loans ASC 310-10'!E298="","",' Impaired Loans ASC 310-10'!E298)</f>
        <v/>
      </c>
      <c r="F298" s="575">
        <f>IF(' Impaired Loans ASC 310-10'!F298="","",' Impaired Loans ASC 310-10'!F298)</f>
        <v/>
      </c>
      <c r="G298" s="574">
        <f>IF(' Impaired Loans ASC 310-10'!G298="","",' Impaired Loans ASC 310-10'!G298)</f>
        <v/>
      </c>
      <c r="H298" s="574">
        <f>IF(' Impaired Loans ASC 310-10'!H298="","",' Impaired Loans ASC 310-10'!H298)</f>
        <v/>
      </c>
      <c r="I298" s="574">
        <f>IF(' Impaired Loans ASC 310-10'!I298="","",' Impaired Loans ASC 310-10'!I298)</f>
        <v/>
      </c>
      <c r="J298" s="574">
        <f>IF(' Impaired Loans ASC 310-10'!J298="","",' Impaired Loans ASC 310-10'!J298)</f>
        <v/>
      </c>
      <c r="K298" s="584" t="n"/>
      <c r="L298" s="578">
        <f>IFERROR(A298,"")</f>
        <v/>
      </c>
      <c r="M298" s="849">
        <f>IF(' Impaired Loans ASC 310-10'!A298="","",' Impaired Loans ASC 310-10'!K298)</f>
        <v/>
      </c>
      <c r="N298" s="580">
        <f>IF(' Impaired Loans ASC 310-10'!A298="","",' Impaired Loans ASC 310-10'!L298)</f>
        <v/>
      </c>
      <c r="O298" s="581">
        <f>IF(' Impaired Loans ASC 310-10'!A298="","",' Impaired Loans ASC 310-10'!M298)</f>
        <v/>
      </c>
      <c r="P298" s="582">
        <f>IF(' Impaired Loans ASC 310-10'!A298="","",' Impaired Loans ASC 310-10'!O298)</f>
        <v/>
      </c>
      <c r="Q298" s="583">
        <f>IF(' Impaired Loans ASC 310-10'!A298="","",' Impaired Loans ASC 310-10'!N298)</f>
        <v/>
      </c>
      <c r="R298" s="583">
        <f>IF(' Impaired Loans ASC 310-10'!A298="","",' Impaired Loans ASC 310-10'!P298)</f>
        <v/>
      </c>
      <c r="S298" s="583">
        <f>IF(' Impaired Loans ASC 310-10'!A298="","",' Impaired Loans ASC 310-10'!Q298)</f>
        <v/>
      </c>
    </row>
    <row r="299">
      <c r="A299" s="573">
        <f>IF(' Impaired Loans ASC 310-10'!A299="","",' Impaired Loans ASC 310-10'!A299)</f>
        <v/>
      </c>
      <c r="B299" s="573">
        <f>IF(' Impaired Loans ASC 310-10'!B299="","",' Impaired Loans ASC 310-10'!B299)</f>
        <v/>
      </c>
      <c r="C299" s="573">
        <f>IF(' Impaired Loans ASC 310-10'!C299="","",' Impaired Loans ASC 310-10'!C299)</f>
        <v/>
      </c>
      <c r="D299" s="573">
        <f>IF(' Impaired Loans ASC 310-10'!D299="","",' Impaired Loans ASC 310-10'!D299)</f>
        <v/>
      </c>
      <c r="E299" s="574">
        <f>IF(' Impaired Loans ASC 310-10'!E299="","",' Impaired Loans ASC 310-10'!E299)</f>
        <v/>
      </c>
      <c r="F299" s="575">
        <f>IF(' Impaired Loans ASC 310-10'!F299="","",' Impaired Loans ASC 310-10'!F299)</f>
        <v/>
      </c>
      <c r="G299" s="574">
        <f>IF(' Impaired Loans ASC 310-10'!G299="","",' Impaired Loans ASC 310-10'!G299)</f>
        <v/>
      </c>
      <c r="H299" s="574">
        <f>IF(' Impaired Loans ASC 310-10'!H299="","",' Impaired Loans ASC 310-10'!H299)</f>
        <v/>
      </c>
      <c r="I299" s="574">
        <f>IF(' Impaired Loans ASC 310-10'!I299="","",' Impaired Loans ASC 310-10'!I299)</f>
        <v/>
      </c>
      <c r="J299" s="574">
        <f>IF(' Impaired Loans ASC 310-10'!J299="","",' Impaired Loans ASC 310-10'!J299)</f>
        <v/>
      </c>
      <c r="K299" s="584" t="n"/>
      <c r="L299" s="578">
        <f>IFERROR(A299,"")</f>
        <v/>
      </c>
      <c r="M299" s="849">
        <f>IF(' Impaired Loans ASC 310-10'!A299="","",' Impaired Loans ASC 310-10'!K299)</f>
        <v/>
      </c>
      <c r="N299" s="580">
        <f>IF(' Impaired Loans ASC 310-10'!A299="","",' Impaired Loans ASC 310-10'!L299)</f>
        <v/>
      </c>
      <c r="O299" s="581">
        <f>IF(' Impaired Loans ASC 310-10'!A299="","",' Impaired Loans ASC 310-10'!M299)</f>
        <v/>
      </c>
      <c r="P299" s="582">
        <f>IF(' Impaired Loans ASC 310-10'!A299="","",' Impaired Loans ASC 310-10'!O299)</f>
        <v/>
      </c>
      <c r="Q299" s="583">
        <f>IF(' Impaired Loans ASC 310-10'!A299="","",' Impaired Loans ASC 310-10'!N299)</f>
        <v/>
      </c>
      <c r="R299" s="583">
        <f>IF(' Impaired Loans ASC 310-10'!A299="","",' Impaired Loans ASC 310-10'!P299)</f>
        <v/>
      </c>
      <c r="S299" s="583">
        <f>IF(' Impaired Loans ASC 310-10'!A299="","",' Impaired Loans ASC 310-10'!Q299)</f>
        <v/>
      </c>
    </row>
    <row r="300">
      <c r="A300" s="573">
        <f>IF(' Impaired Loans ASC 310-10'!A300="","",' Impaired Loans ASC 310-10'!A300)</f>
        <v/>
      </c>
      <c r="B300" s="573">
        <f>IF(' Impaired Loans ASC 310-10'!B300="","",' Impaired Loans ASC 310-10'!B300)</f>
        <v/>
      </c>
      <c r="C300" s="573">
        <f>IF(' Impaired Loans ASC 310-10'!C300="","",' Impaired Loans ASC 310-10'!C300)</f>
        <v/>
      </c>
      <c r="D300" s="573">
        <f>IF(' Impaired Loans ASC 310-10'!D300="","",' Impaired Loans ASC 310-10'!D300)</f>
        <v/>
      </c>
      <c r="E300" s="574">
        <f>IF(' Impaired Loans ASC 310-10'!E300="","",' Impaired Loans ASC 310-10'!E300)</f>
        <v/>
      </c>
      <c r="F300" s="575">
        <f>IF(' Impaired Loans ASC 310-10'!F300="","",' Impaired Loans ASC 310-10'!F300)</f>
        <v/>
      </c>
      <c r="G300" s="574">
        <f>IF(' Impaired Loans ASC 310-10'!G300="","",' Impaired Loans ASC 310-10'!G300)</f>
        <v/>
      </c>
      <c r="H300" s="574">
        <f>IF(' Impaired Loans ASC 310-10'!H300="","",' Impaired Loans ASC 310-10'!H300)</f>
        <v/>
      </c>
      <c r="I300" s="574">
        <f>IF(' Impaired Loans ASC 310-10'!I300="","",' Impaired Loans ASC 310-10'!I300)</f>
        <v/>
      </c>
      <c r="J300" s="574">
        <f>IF(' Impaired Loans ASC 310-10'!J300="","",' Impaired Loans ASC 310-10'!J300)</f>
        <v/>
      </c>
      <c r="K300" s="584" t="n"/>
      <c r="L300" s="578">
        <f>IFERROR(A300,"")</f>
        <v/>
      </c>
      <c r="M300" s="849">
        <f>IF(' Impaired Loans ASC 310-10'!A300="","",' Impaired Loans ASC 310-10'!K300)</f>
        <v/>
      </c>
      <c r="N300" s="580">
        <f>IF(' Impaired Loans ASC 310-10'!A300="","",' Impaired Loans ASC 310-10'!L300)</f>
        <v/>
      </c>
      <c r="O300" s="581">
        <f>IF(' Impaired Loans ASC 310-10'!A300="","",' Impaired Loans ASC 310-10'!M300)</f>
        <v/>
      </c>
      <c r="P300" s="582">
        <f>IF(' Impaired Loans ASC 310-10'!A300="","",' Impaired Loans ASC 310-10'!O300)</f>
        <v/>
      </c>
      <c r="Q300" s="583">
        <f>IF(' Impaired Loans ASC 310-10'!A300="","",' Impaired Loans ASC 310-10'!N300)</f>
        <v/>
      </c>
      <c r="R300" s="583">
        <f>IF(' Impaired Loans ASC 310-10'!A300="","",' Impaired Loans ASC 310-10'!P300)</f>
        <v/>
      </c>
      <c r="S300" s="583">
        <f>IF(' Impaired Loans ASC 310-10'!A300="","",' Impaired Loans ASC 310-10'!Q300)</f>
        <v/>
      </c>
    </row>
    <row r="301">
      <c r="A301" s="573">
        <f>IF(' Impaired Loans ASC 310-10'!A301="","",' Impaired Loans ASC 310-10'!A301)</f>
        <v/>
      </c>
      <c r="B301" s="573">
        <f>IF(' Impaired Loans ASC 310-10'!B301="","",' Impaired Loans ASC 310-10'!B301)</f>
        <v/>
      </c>
      <c r="C301" s="573">
        <f>IF(' Impaired Loans ASC 310-10'!C301="","",' Impaired Loans ASC 310-10'!C301)</f>
        <v/>
      </c>
      <c r="D301" s="573">
        <f>IF(' Impaired Loans ASC 310-10'!D301="","",' Impaired Loans ASC 310-10'!D301)</f>
        <v/>
      </c>
      <c r="E301" s="574">
        <f>IF(' Impaired Loans ASC 310-10'!E301="","",' Impaired Loans ASC 310-10'!E301)</f>
        <v/>
      </c>
      <c r="F301" s="575">
        <f>IF(' Impaired Loans ASC 310-10'!F301="","",' Impaired Loans ASC 310-10'!F301)</f>
        <v/>
      </c>
      <c r="G301" s="574">
        <f>IF(' Impaired Loans ASC 310-10'!G301="","",' Impaired Loans ASC 310-10'!G301)</f>
        <v/>
      </c>
      <c r="H301" s="574">
        <f>IF(' Impaired Loans ASC 310-10'!H301="","",' Impaired Loans ASC 310-10'!H301)</f>
        <v/>
      </c>
      <c r="I301" s="574">
        <f>IF(' Impaired Loans ASC 310-10'!I301="","",' Impaired Loans ASC 310-10'!I301)</f>
        <v/>
      </c>
      <c r="J301" s="574">
        <f>IF(' Impaired Loans ASC 310-10'!J301="","",' Impaired Loans ASC 310-10'!J301)</f>
        <v/>
      </c>
      <c r="K301" s="584" t="n"/>
      <c r="L301" s="578">
        <f>IFERROR(A301,"")</f>
        <v/>
      </c>
      <c r="M301" s="849">
        <f>IF(' Impaired Loans ASC 310-10'!A301="","",' Impaired Loans ASC 310-10'!K301)</f>
        <v/>
      </c>
      <c r="N301" s="580">
        <f>IF(' Impaired Loans ASC 310-10'!A301="","",' Impaired Loans ASC 310-10'!L301)</f>
        <v/>
      </c>
      <c r="O301" s="581">
        <f>IF(' Impaired Loans ASC 310-10'!A301="","",' Impaired Loans ASC 310-10'!M301)</f>
        <v/>
      </c>
      <c r="P301" s="582">
        <f>IF(' Impaired Loans ASC 310-10'!A301="","",' Impaired Loans ASC 310-10'!O301)</f>
        <v/>
      </c>
      <c r="Q301" s="583">
        <f>IF(' Impaired Loans ASC 310-10'!A301="","",' Impaired Loans ASC 310-10'!N301)</f>
        <v/>
      </c>
      <c r="R301" s="583">
        <f>IF(' Impaired Loans ASC 310-10'!A301="","",' Impaired Loans ASC 310-10'!P301)</f>
        <v/>
      </c>
      <c r="S301" s="583">
        <f>IF(' Impaired Loans ASC 310-10'!A301="","",' Impaired Loans ASC 310-10'!Q301)</f>
        <v/>
      </c>
    </row>
    <row r="302">
      <c r="A302" s="573">
        <f>IF(' Impaired Loans ASC 310-10'!A302="","",' Impaired Loans ASC 310-10'!A302)</f>
        <v/>
      </c>
      <c r="B302" s="573">
        <f>IF(' Impaired Loans ASC 310-10'!B302="","",' Impaired Loans ASC 310-10'!B302)</f>
        <v/>
      </c>
      <c r="C302" s="573">
        <f>IF(' Impaired Loans ASC 310-10'!C302="","",' Impaired Loans ASC 310-10'!C302)</f>
        <v/>
      </c>
      <c r="D302" s="573">
        <f>IF(' Impaired Loans ASC 310-10'!D302="","",' Impaired Loans ASC 310-10'!D302)</f>
        <v/>
      </c>
      <c r="E302" s="574">
        <f>IF(' Impaired Loans ASC 310-10'!E302="","",' Impaired Loans ASC 310-10'!E302)</f>
        <v/>
      </c>
      <c r="F302" s="575">
        <f>IF(' Impaired Loans ASC 310-10'!F302="","",' Impaired Loans ASC 310-10'!F302)</f>
        <v/>
      </c>
      <c r="G302" s="574">
        <f>IF(' Impaired Loans ASC 310-10'!G302="","",' Impaired Loans ASC 310-10'!G302)</f>
        <v/>
      </c>
      <c r="H302" s="574">
        <f>IF(' Impaired Loans ASC 310-10'!H302="","",' Impaired Loans ASC 310-10'!H302)</f>
        <v/>
      </c>
      <c r="I302" s="574">
        <f>IF(' Impaired Loans ASC 310-10'!I302="","",' Impaired Loans ASC 310-10'!I302)</f>
        <v/>
      </c>
      <c r="J302" s="574">
        <f>IF(' Impaired Loans ASC 310-10'!J302="","",' Impaired Loans ASC 310-10'!J302)</f>
        <v/>
      </c>
      <c r="K302" s="584" t="n"/>
      <c r="L302" s="578">
        <f>IFERROR(A302,"")</f>
        <v/>
      </c>
      <c r="M302" s="849">
        <f>IF(' Impaired Loans ASC 310-10'!A302="","",' Impaired Loans ASC 310-10'!K302)</f>
        <v/>
      </c>
      <c r="N302" s="580">
        <f>IF(' Impaired Loans ASC 310-10'!A302="","",' Impaired Loans ASC 310-10'!L302)</f>
        <v/>
      </c>
      <c r="O302" s="581">
        <f>IF(' Impaired Loans ASC 310-10'!A302="","",' Impaired Loans ASC 310-10'!M302)</f>
        <v/>
      </c>
      <c r="P302" s="582">
        <f>IF(' Impaired Loans ASC 310-10'!A302="","",' Impaired Loans ASC 310-10'!O302)</f>
        <v/>
      </c>
      <c r="Q302" s="583">
        <f>IF(' Impaired Loans ASC 310-10'!A302="","",' Impaired Loans ASC 310-10'!N302)</f>
        <v/>
      </c>
      <c r="R302" s="583">
        <f>IF(' Impaired Loans ASC 310-10'!A302="","",' Impaired Loans ASC 310-10'!P302)</f>
        <v/>
      </c>
      <c r="S302" s="583">
        <f>IF(' Impaired Loans ASC 310-10'!A302="","",' Impaired Loans ASC 310-10'!Q302)</f>
        <v/>
      </c>
    </row>
    <row r="303">
      <c r="A303" s="573">
        <f>IF(' Impaired Loans ASC 310-10'!A303="","",' Impaired Loans ASC 310-10'!A303)</f>
        <v/>
      </c>
      <c r="B303" s="573">
        <f>IF(' Impaired Loans ASC 310-10'!B303="","",' Impaired Loans ASC 310-10'!B303)</f>
        <v/>
      </c>
      <c r="C303" s="573">
        <f>IF(' Impaired Loans ASC 310-10'!C303="","",' Impaired Loans ASC 310-10'!C303)</f>
        <v/>
      </c>
      <c r="D303" s="573">
        <f>IF(' Impaired Loans ASC 310-10'!D303="","",' Impaired Loans ASC 310-10'!D303)</f>
        <v/>
      </c>
      <c r="E303" s="574">
        <f>IF(' Impaired Loans ASC 310-10'!E303="","",' Impaired Loans ASC 310-10'!E303)</f>
        <v/>
      </c>
      <c r="F303" s="575">
        <f>IF(' Impaired Loans ASC 310-10'!F303="","",' Impaired Loans ASC 310-10'!F303)</f>
        <v/>
      </c>
      <c r="G303" s="574">
        <f>IF(' Impaired Loans ASC 310-10'!G303="","",' Impaired Loans ASC 310-10'!G303)</f>
        <v/>
      </c>
      <c r="H303" s="574">
        <f>IF(' Impaired Loans ASC 310-10'!H303="","",' Impaired Loans ASC 310-10'!H303)</f>
        <v/>
      </c>
      <c r="I303" s="574">
        <f>IF(' Impaired Loans ASC 310-10'!I303="","",' Impaired Loans ASC 310-10'!I303)</f>
        <v/>
      </c>
      <c r="J303" s="574">
        <f>IF(' Impaired Loans ASC 310-10'!J303="","",' Impaired Loans ASC 310-10'!J303)</f>
        <v/>
      </c>
      <c r="K303" s="584" t="n"/>
      <c r="L303" s="578">
        <f>IFERROR(A303,"")</f>
        <v/>
      </c>
      <c r="M303" s="849">
        <f>IF(' Impaired Loans ASC 310-10'!A303="","",' Impaired Loans ASC 310-10'!K303)</f>
        <v/>
      </c>
      <c r="N303" s="580">
        <f>IF(' Impaired Loans ASC 310-10'!A303="","",' Impaired Loans ASC 310-10'!L303)</f>
        <v/>
      </c>
      <c r="O303" s="581">
        <f>IF(' Impaired Loans ASC 310-10'!A303="","",' Impaired Loans ASC 310-10'!M303)</f>
        <v/>
      </c>
      <c r="P303" s="582">
        <f>IF(' Impaired Loans ASC 310-10'!A303="","",' Impaired Loans ASC 310-10'!O303)</f>
        <v/>
      </c>
      <c r="Q303" s="583">
        <f>IF(' Impaired Loans ASC 310-10'!A303="","",' Impaired Loans ASC 310-10'!N303)</f>
        <v/>
      </c>
      <c r="R303" s="583">
        <f>IF(' Impaired Loans ASC 310-10'!A303="","",' Impaired Loans ASC 310-10'!P303)</f>
        <v/>
      </c>
      <c r="S303" s="583">
        <f>IF(' Impaired Loans ASC 310-10'!A303="","",' Impaired Loans ASC 310-10'!Q303)</f>
        <v/>
      </c>
    </row>
    <row r="304">
      <c r="A304" s="573">
        <f>IF(' Impaired Loans ASC 310-10'!A304="","",' Impaired Loans ASC 310-10'!A304)</f>
        <v/>
      </c>
      <c r="B304" s="573">
        <f>IF(' Impaired Loans ASC 310-10'!B304="","",' Impaired Loans ASC 310-10'!B304)</f>
        <v/>
      </c>
      <c r="C304" s="573">
        <f>IF(' Impaired Loans ASC 310-10'!C304="","",' Impaired Loans ASC 310-10'!C304)</f>
        <v/>
      </c>
      <c r="D304" s="573">
        <f>IF(' Impaired Loans ASC 310-10'!D304="","",' Impaired Loans ASC 310-10'!D304)</f>
        <v/>
      </c>
      <c r="E304" s="574">
        <f>IF(' Impaired Loans ASC 310-10'!E304="","",' Impaired Loans ASC 310-10'!E304)</f>
        <v/>
      </c>
      <c r="F304" s="575">
        <f>IF(' Impaired Loans ASC 310-10'!F304="","",' Impaired Loans ASC 310-10'!F304)</f>
        <v/>
      </c>
      <c r="G304" s="574">
        <f>IF(' Impaired Loans ASC 310-10'!G304="","",' Impaired Loans ASC 310-10'!G304)</f>
        <v/>
      </c>
      <c r="H304" s="574">
        <f>IF(' Impaired Loans ASC 310-10'!H304="","",' Impaired Loans ASC 310-10'!H304)</f>
        <v/>
      </c>
      <c r="I304" s="574">
        <f>IF(' Impaired Loans ASC 310-10'!I304="","",' Impaired Loans ASC 310-10'!I304)</f>
        <v/>
      </c>
      <c r="J304" s="574">
        <f>IF(' Impaired Loans ASC 310-10'!J304="","",' Impaired Loans ASC 310-10'!J304)</f>
        <v/>
      </c>
      <c r="K304" s="584" t="n"/>
      <c r="L304" s="578">
        <f>IFERROR(A304,"")</f>
        <v/>
      </c>
      <c r="M304" s="849">
        <f>IF(' Impaired Loans ASC 310-10'!A304="","",' Impaired Loans ASC 310-10'!K304)</f>
        <v/>
      </c>
      <c r="N304" s="580">
        <f>IF(' Impaired Loans ASC 310-10'!A304="","",' Impaired Loans ASC 310-10'!L304)</f>
        <v/>
      </c>
      <c r="O304" s="581">
        <f>IF(' Impaired Loans ASC 310-10'!A304="","",' Impaired Loans ASC 310-10'!M304)</f>
        <v/>
      </c>
      <c r="P304" s="582">
        <f>IF(' Impaired Loans ASC 310-10'!A304="","",' Impaired Loans ASC 310-10'!O304)</f>
        <v/>
      </c>
      <c r="Q304" s="583">
        <f>IF(' Impaired Loans ASC 310-10'!A304="","",' Impaired Loans ASC 310-10'!N304)</f>
        <v/>
      </c>
      <c r="R304" s="583">
        <f>IF(' Impaired Loans ASC 310-10'!A304="","",' Impaired Loans ASC 310-10'!P304)</f>
        <v/>
      </c>
      <c r="S304" s="583">
        <f>IF(' Impaired Loans ASC 310-10'!A304="","",' Impaired Loans ASC 310-10'!Q304)</f>
        <v/>
      </c>
    </row>
    <row r="305">
      <c r="A305" s="573">
        <f>IF(' Impaired Loans ASC 310-10'!A305="","",' Impaired Loans ASC 310-10'!A305)</f>
        <v/>
      </c>
      <c r="B305" s="573">
        <f>IF(' Impaired Loans ASC 310-10'!B305="","",' Impaired Loans ASC 310-10'!B305)</f>
        <v/>
      </c>
      <c r="C305" s="573">
        <f>IF(' Impaired Loans ASC 310-10'!C305="","",' Impaired Loans ASC 310-10'!C305)</f>
        <v/>
      </c>
      <c r="D305" s="573">
        <f>IF(' Impaired Loans ASC 310-10'!D305="","",' Impaired Loans ASC 310-10'!D305)</f>
        <v/>
      </c>
      <c r="E305" s="574">
        <f>IF(' Impaired Loans ASC 310-10'!E305="","",' Impaired Loans ASC 310-10'!E305)</f>
        <v/>
      </c>
      <c r="F305" s="575">
        <f>IF(' Impaired Loans ASC 310-10'!F305="","",' Impaired Loans ASC 310-10'!F305)</f>
        <v/>
      </c>
      <c r="G305" s="574">
        <f>IF(' Impaired Loans ASC 310-10'!G305="","",' Impaired Loans ASC 310-10'!G305)</f>
        <v/>
      </c>
      <c r="H305" s="574">
        <f>IF(' Impaired Loans ASC 310-10'!H305="","",' Impaired Loans ASC 310-10'!H305)</f>
        <v/>
      </c>
      <c r="I305" s="574">
        <f>IF(' Impaired Loans ASC 310-10'!I305="","",' Impaired Loans ASC 310-10'!I305)</f>
        <v/>
      </c>
      <c r="J305" s="574">
        <f>IF(' Impaired Loans ASC 310-10'!J305="","",' Impaired Loans ASC 310-10'!J305)</f>
        <v/>
      </c>
      <c r="K305" s="584" t="n"/>
      <c r="L305" s="578">
        <f>IFERROR(A305,"")</f>
        <v/>
      </c>
      <c r="M305" s="849">
        <f>IF(' Impaired Loans ASC 310-10'!A305="","",' Impaired Loans ASC 310-10'!K305)</f>
        <v/>
      </c>
      <c r="N305" s="580">
        <f>IF(' Impaired Loans ASC 310-10'!A305="","",' Impaired Loans ASC 310-10'!L305)</f>
        <v/>
      </c>
      <c r="O305" s="581">
        <f>IF(' Impaired Loans ASC 310-10'!A305="","",' Impaired Loans ASC 310-10'!M305)</f>
        <v/>
      </c>
      <c r="P305" s="582">
        <f>IF(' Impaired Loans ASC 310-10'!A305="","",' Impaired Loans ASC 310-10'!O305)</f>
        <v/>
      </c>
      <c r="Q305" s="583">
        <f>IF(' Impaired Loans ASC 310-10'!A305="","",' Impaired Loans ASC 310-10'!N305)</f>
        <v/>
      </c>
      <c r="R305" s="583">
        <f>IF(' Impaired Loans ASC 310-10'!A305="","",' Impaired Loans ASC 310-10'!P305)</f>
        <v/>
      </c>
      <c r="S305" s="583">
        <f>IF(' Impaired Loans ASC 310-10'!A305="","",' Impaired Loans ASC 310-10'!Q305)</f>
        <v/>
      </c>
    </row>
    <row r="306">
      <c r="A306" s="573">
        <f>IF(' Impaired Loans ASC 310-10'!A306="","",' Impaired Loans ASC 310-10'!A306)</f>
        <v/>
      </c>
      <c r="B306" s="573">
        <f>IF(' Impaired Loans ASC 310-10'!B306="","",' Impaired Loans ASC 310-10'!B306)</f>
        <v/>
      </c>
      <c r="C306" s="573">
        <f>IF(' Impaired Loans ASC 310-10'!C306="","",' Impaired Loans ASC 310-10'!C306)</f>
        <v/>
      </c>
      <c r="D306" s="573">
        <f>IF(' Impaired Loans ASC 310-10'!D306="","",' Impaired Loans ASC 310-10'!D306)</f>
        <v/>
      </c>
      <c r="E306" s="574">
        <f>IF(' Impaired Loans ASC 310-10'!E306="","",' Impaired Loans ASC 310-10'!E306)</f>
        <v/>
      </c>
      <c r="F306" s="575">
        <f>IF(' Impaired Loans ASC 310-10'!F306="","",' Impaired Loans ASC 310-10'!F306)</f>
        <v/>
      </c>
      <c r="G306" s="574">
        <f>IF(' Impaired Loans ASC 310-10'!G306="","",' Impaired Loans ASC 310-10'!G306)</f>
        <v/>
      </c>
      <c r="H306" s="574">
        <f>IF(' Impaired Loans ASC 310-10'!H306="","",' Impaired Loans ASC 310-10'!H306)</f>
        <v/>
      </c>
      <c r="I306" s="574">
        <f>IF(' Impaired Loans ASC 310-10'!I306="","",' Impaired Loans ASC 310-10'!I306)</f>
        <v/>
      </c>
      <c r="J306" s="574">
        <f>IF(' Impaired Loans ASC 310-10'!J306="","",' Impaired Loans ASC 310-10'!J306)</f>
        <v/>
      </c>
      <c r="K306" s="584" t="n"/>
      <c r="L306" s="578">
        <f>IFERROR(A306,"")</f>
        <v/>
      </c>
      <c r="M306" s="849">
        <f>IF(' Impaired Loans ASC 310-10'!A306="","",' Impaired Loans ASC 310-10'!K306)</f>
        <v/>
      </c>
      <c r="N306" s="580">
        <f>IF(' Impaired Loans ASC 310-10'!A306="","",' Impaired Loans ASC 310-10'!L306)</f>
        <v/>
      </c>
      <c r="O306" s="581">
        <f>IF(' Impaired Loans ASC 310-10'!A306="","",' Impaired Loans ASC 310-10'!M306)</f>
        <v/>
      </c>
      <c r="P306" s="582">
        <f>IF(' Impaired Loans ASC 310-10'!A306="","",' Impaired Loans ASC 310-10'!O306)</f>
        <v/>
      </c>
      <c r="Q306" s="583">
        <f>IF(' Impaired Loans ASC 310-10'!A306="","",' Impaired Loans ASC 310-10'!N306)</f>
        <v/>
      </c>
      <c r="R306" s="583">
        <f>IF(' Impaired Loans ASC 310-10'!A306="","",' Impaired Loans ASC 310-10'!P306)</f>
        <v/>
      </c>
      <c r="S306" s="583">
        <f>IF(' Impaired Loans ASC 310-10'!A306="","",' Impaired Loans ASC 310-10'!Q306)</f>
        <v/>
      </c>
    </row>
    <row r="307">
      <c r="A307" s="573">
        <f>IF(' Impaired Loans ASC 310-10'!A307="","",' Impaired Loans ASC 310-10'!A307)</f>
        <v/>
      </c>
      <c r="B307" s="573">
        <f>IF(' Impaired Loans ASC 310-10'!B307="","",' Impaired Loans ASC 310-10'!B307)</f>
        <v/>
      </c>
      <c r="C307" s="573">
        <f>IF(' Impaired Loans ASC 310-10'!C307="","",' Impaired Loans ASC 310-10'!C307)</f>
        <v/>
      </c>
      <c r="D307" s="573">
        <f>IF(' Impaired Loans ASC 310-10'!D307="","",' Impaired Loans ASC 310-10'!D307)</f>
        <v/>
      </c>
      <c r="E307" s="574">
        <f>IF(' Impaired Loans ASC 310-10'!E307="","",' Impaired Loans ASC 310-10'!E307)</f>
        <v/>
      </c>
      <c r="F307" s="575">
        <f>IF(' Impaired Loans ASC 310-10'!F307="","",' Impaired Loans ASC 310-10'!F307)</f>
        <v/>
      </c>
      <c r="G307" s="574">
        <f>IF(' Impaired Loans ASC 310-10'!G307="","",' Impaired Loans ASC 310-10'!G307)</f>
        <v/>
      </c>
      <c r="H307" s="574">
        <f>IF(' Impaired Loans ASC 310-10'!H307="","",' Impaired Loans ASC 310-10'!H307)</f>
        <v/>
      </c>
      <c r="I307" s="574">
        <f>IF(' Impaired Loans ASC 310-10'!I307="","",' Impaired Loans ASC 310-10'!I307)</f>
        <v/>
      </c>
      <c r="J307" s="574">
        <f>IF(' Impaired Loans ASC 310-10'!J307="","",' Impaired Loans ASC 310-10'!J307)</f>
        <v/>
      </c>
      <c r="K307" s="584" t="n"/>
      <c r="L307" s="578">
        <f>IFERROR(A307,"")</f>
        <v/>
      </c>
      <c r="M307" s="849">
        <f>IF(' Impaired Loans ASC 310-10'!A307="","",' Impaired Loans ASC 310-10'!K307)</f>
        <v/>
      </c>
      <c r="N307" s="580">
        <f>IF(' Impaired Loans ASC 310-10'!A307="","",' Impaired Loans ASC 310-10'!L307)</f>
        <v/>
      </c>
      <c r="O307" s="581">
        <f>IF(' Impaired Loans ASC 310-10'!A307="","",' Impaired Loans ASC 310-10'!M307)</f>
        <v/>
      </c>
      <c r="P307" s="582">
        <f>IF(' Impaired Loans ASC 310-10'!A307="","",' Impaired Loans ASC 310-10'!O307)</f>
        <v/>
      </c>
      <c r="Q307" s="583">
        <f>IF(' Impaired Loans ASC 310-10'!A307="","",' Impaired Loans ASC 310-10'!N307)</f>
        <v/>
      </c>
      <c r="R307" s="583">
        <f>IF(' Impaired Loans ASC 310-10'!A307="","",' Impaired Loans ASC 310-10'!P307)</f>
        <v/>
      </c>
      <c r="S307" s="583">
        <f>IF(' Impaired Loans ASC 310-10'!A307="","",' Impaired Loans ASC 310-10'!Q307)</f>
        <v/>
      </c>
    </row>
    <row r="308">
      <c r="A308" s="573">
        <f>IF(' Impaired Loans ASC 310-10'!A308="","",' Impaired Loans ASC 310-10'!A308)</f>
        <v/>
      </c>
      <c r="B308" s="573">
        <f>IF(' Impaired Loans ASC 310-10'!B308="","",' Impaired Loans ASC 310-10'!B308)</f>
        <v/>
      </c>
      <c r="C308" s="573">
        <f>IF(' Impaired Loans ASC 310-10'!C308="","",' Impaired Loans ASC 310-10'!C308)</f>
        <v/>
      </c>
      <c r="D308" s="573">
        <f>IF(' Impaired Loans ASC 310-10'!D308="","",' Impaired Loans ASC 310-10'!D308)</f>
        <v/>
      </c>
      <c r="E308" s="574">
        <f>IF(' Impaired Loans ASC 310-10'!E308="","",' Impaired Loans ASC 310-10'!E308)</f>
        <v/>
      </c>
      <c r="F308" s="575">
        <f>IF(' Impaired Loans ASC 310-10'!F308="","",' Impaired Loans ASC 310-10'!F308)</f>
        <v/>
      </c>
      <c r="G308" s="574">
        <f>IF(' Impaired Loans ASC 310-10'!G308="","",' Impaired Loans ASC 310-10'!G308)</f>
        <v/>
      </c>
      <c r="H308" s="574">
        <f>IF(' Impaired Loans ASC 310-10'!H308="","",' Impaired Loans ASC 310-10'!H308)</f>
        <v/>
      </c>
      <c r="I308" s="574">
        <f>IF(' Impaired Loans ASC 310-10'!I308="","",' Impaired Loans ASC 310-10'!I308)</f>
        <v/>
      </c>
      <c r="J308" s="574">
        <f>IF(' Impaired Loans ASC 310-10'!J308="","",' Impaired Loans ASC 310-10'!J308)</f>
        <v/>
      </c>
      <c r="K308" s="584" t="n"/>
      <c r="L308" s="578">
        <f>IFERROR(A308,"")</f>
        <v/>
      </c>
      <c r="M308" s="849">
        <f>IF(' Impaired Loans ASC 310-10'!A308="","",' Impaired Loans ASC 310-10'!K308)</f>
        <v/>
      </c>
      <c r="N308" s="580">
        <f>IF(' Impaired Loans ASC 310-10'!A308="","",' Impaired Loans ASC 310-10'!L308)</f>
        <v/>
      </c>
      <c r="O308" s="581">
        <f>IF(' Impaired Loans ASC 310-10'!A308="","",' Impaired Loans ASC 310-10'!M308)</f>
        <v/>
      </c>
      <c r="P308" s="582">
        <f>IF(' Impaired Loans ASC 310-10'!A308="","",' Impaired Loans ASC 310-10'!O308)</f>
        <v/>
      </c>
      <c r="Q308" s="583">
        <f>IF(' Impaired Loans ASC 310-10'!A308="","",' Impaired Loans ASC 310-10'!N308)</f>
        <v/>
      </c>
      <c r="R308" s="583">
        <f>IF(' Impaired Loans ASC 310-10'!A308="","",' Impaired Loans ASC 310-10'!P308)</f>
        <v/>
      </c>
      <c r="S308" s="583">
        <f>IF(' Impaired Loans ASC 310-10'!A308="","",' Impaired Loans ASC 310-10'!Q308)</f>
        <v/>
      </c>
    </row>
    <row r="309">
      <c r="A309" s="573">
        <f>IF(' Impaired Loans ASC 310-10'!A309="","",' Impaired Loans ASC 310-10'!A309)</f>
        <v/>
      </c>
      <c r="B309" s="573">
        <f>IF(' Impaired Loans ASC 310-10'!B309="","",' Impaired Loans ASC 310-10'!B309)</f>
        <v/>
      </c>
      <c r="C309" s="573">
        <f>IF(' Impaired Loans ASC 310-10'!C309="","",' Impaired Loans ASC 310-10'!C309)</f>
        <v/>
      </c>
      <c r="D309" s="573">
        <f>IF(' Impaired Loans ASC 310-10'!D309="","",' Impaired Loans ASC 310-10'!D309)</f>
        <v/>
      </c>
      <c r="E309" s="574">
        <f>IF(' Impaired Loans ASC 310-10'!E309="","",' Impaired Loans ASC 310-10'!E309)</f>
        <v/>
      </c>
      <c r="F309" s="575">
        <f>IF(' Impaired Loans ASC 310-10'!F309="","",' Impaired Loans ASC 310-10'!F309)</f>
        <v/>
      </c>
      <c r="G309" s="574">
        <f>IF(' Impaired Loans ASC 310-10'!G309="","",' Impaired Loans ASC 310-10'!G309)</f>
        <v/>
      </c>
      <c r="H309" s="574">
        <f>IF(' Impaired Loans ASC 310-10'!H309="","",' Impaired Loans ASC 310-10'!H309)</f>
        <v/>
      </c>
      <c r="I309" s="574">
        <f>IF(' Impaired Loans ASC 310-10'!I309="","",' Impaired Loans ASC 310-10'!I309)</f>
        <v/>
      </c>
      <c r="J309" s="574">
        <f>IF(' Impaired Loans ASC 310-10'!J309="","",' Impaired Loans ASC 310-10'!J309)</f>
        <v/>
      </c>
      <c r="K309" s="584" t="n"/>
      <c r="L309" s="578">
        <f>IFERROR(A309,"")</f>
        <v/>
      </c>
      <c r="M309" s="849">
        <f>IF(' Impaired Loans ASC 310-10'!A309="","",' Impaired Loans ASC 310-10'!K309)</f>
        <v/>
      </c>
      <c r="N309" s="580">
        <f>IF(' Impaired Loans ASC 310-10'!A309="","",' Impaired Loans ASC 310-10'!L309)</f>
        <v/>
      </c>
      <c r="O309" s="581">
        <f>IF(' Impaired Loans ASC 310-10'!A309="","",' Impaired Loans ASC 310-10'!M309)</f>
        <v/>
      </c>
      <c r="P309" s="582">
        <f>IF(' Impaired Loans ASC 310-10'!A309="","",' Impaired Loans ASC 310-10'!O309)</f>
        <v/>
      </c>
      <c r="Q309" s="583">
        <f>IF(' Impaired Loans ASC 310-10'!A309="","",' Impaired Loans ASC 310-10'!N309)</f>
        <v/>
      </c>
      <c r="R309" s="583">
        <f>IF(' Impaired Loans ASC 310-10'!A309="","",' Impaired Loans ASC 310-10'!P309)</f>
        <v/>
      </c>
      <c r="S309" s="583">
        <f>IF(' Impaired Loans ASC 310-10'!A309="","",' Impaired Loans ASC 310-10'!Q309)</f>
        <v/>
      </c>
    </row>
    <row r="310">
      <c r="A310" s="573">
        <f>IF(' Impaired Loans ASC 310-10'!A310="","",' Impaired Loans ASC 310-10'!A310)</f>
        <v/>
      </c>
      <c r="B310" s="573">
        <f>IF(' Impaired Loans ASC 310-10'!B310="","",' Impaired Loans ASC 310-10'!B310)</f>
        <v/>
      </c>
      <c r="C310" s="573">
        <f>IF(' Impaired Loans ASC 310-10'!C310="","",' Impaired Loans ASC 310-10'!C310)</f>
        <v/>
      </c>
      <c r="D310" s="573">
        <f>IF(' Impaired Loans ASC 310-10'!D310="","",' Impaired Loans ASC 310-10'!D310)</f>
        <v/>
      </c>
      <c r="E310" s="574">
        <f>IF(' Impaired Loans ASC 310-10'!E310="","",' Impaired Loans ASC 310-10'!E310)</f>
        <v/>
      </c>
      <c r="F310" s="575">
        <f>IF(' Impaired Loans ASC 310-10'!F310="","",' Impaired Loans ASC 310-10'!F310)</f>
        <v/>
      </c>
      <c r="G310" s="574">
        <f>IF(' Impaired Loans ASC 310-10'!G310="","",' Impaired Loans ASC 310-10'!G310)</f>
        <v/>
      </c>
      <c r="H310" s="574">
        <f>IF(' Impaired Loans ASC 310-10'!H310="","",' Impaired Loans ASC 310-10'!H310)</f>
        <v/>
      </c>
      <c r="I310" s="574">
        <f>IF(' Impaired Loans ASC 310-10'!I310="","",' Impaired Loans ASC 310-10'!I310)</f>
        <v/>
      </c>
      <c r="J310" s="574">
        <f>IF(' Impaired Loans ASC 310-10'!J310="","",' Impaired Loans ASC 310-10'!J310)</f>
        <v/>
      </c>
      <c r="K310" s="584" t="n"/>
      <c r="L310" s="578">
        <f>IFERROR(A310,"")</f>
        <v/>
      </c>
      <c r="M310" s="849">
        <f>IF(' Impaired Loans ASC 310-10'!A310="","",' Impaired Loans ASC 310-10'!K310)</f>
        <v/>
      </c>
      <c r="N310" s="580">
        <f>IF(' Impaired Loans ASC 310-10'!A310="","",' Impaired Loans ASC 310-10'!L310)</f>
        <v/>
      </c>
      <c r="O310" s="581">
        <f>IF(' Impaired Loans ASC 310-10'!A310="","",' Impaired Loans ASC 310-10'!M310)</f>
        <v/>
      </c>
      <c r="P310" s="582">
        <f>IF(' Impaired Loans ASC 310-10'!A310="","",' Impaired Loans ASC 310-10'!O310)</f>
        <v/>
      </c>
      <c r="Q310" s="583">
        <f>IF(' Impaired Loans ASC 310-10'!A310="","",' Impaired Loans ASC 310-10'!N310)</f>
        <v/>
      </c>
      <c r="R310" s="583">
        <f>IF(' Impaired Loans ASC 310-10'!A310="","",' Impaired Loans ASC 310-10'!P310)</f>
        <v/>
      </c>
      <c r="S310" s="583">
        <f>IF(' Impaired Loans ASC 310-10'!A310="","",' Impaired Loans ASC 310-10'!Q310)</f>
        <v/>
      </c>
    </row>
    <row r="311">
      <c r="A311" s="573">
        <f>IF(' Impaired Loans ASC 310-10'!A311="","",' Impaired Loans ASC 310-10'!A311)</f>
        <v/>
      </c>
      <c r="B311" s="573">
        <f>IF(' Impaired Loans ASC 310-10'!B311="","",' Impaired Loans ASC 310-10'!B311)</f>
        <v/>
      </c>
      <c r="C311" s="573">
        <f>IF(' Impaired Loans ASC 310-10'!C311="","",' Impaired Loans ASC 310-10'!C311)</f>
        <v/>
      </c>
      <c r="D311" s="573">
        <f>IF(' Impaired Loans ASC 310-10'!D311="","",' Impaired Loans ASC 310-10'!D311)</f>
        <v/>
      </c>
      <c r="E311" s="574">
        <f>IF(' Impaired Loans ASC 310-10'!E311="","",' Impaired Loans ASC 310-10'!E311)</f>
        <v/>
      </c>
      <c r="F311" s="575">
        <f>IF(' Impaired Loans ASC 310-10'!F311="","",' Impaired Loans ASC 310-10'!F311)</f>
        <v/>
      </c>
      <c r="G311" s="574">
        <f>IF(' Impaired Loans ASC 310-10'!G311="","",' Impaired Loans ASC 310-10'!G311)</f>
        <v/>
      </c>
      <c r="H311" s="574">
        <f>IF(' Impaired Loans ASC 310-10'!H311="","",' Impaired Loans ASC 310-10'!H311)</f>
        <v/>
      </c>
      <c r="I311" s="574">
        <f>IF(' Impaired Loans ASC 310-10'!I311="","",' Impaired Loans ASC 310-10'!I311)</f>
        <v/>
      </c>
      <c r="J311" s="574">
        <f>IF(' Impaired Loans ASC 310-10'!J311="","",' Impaired Loans ASC 310-10'!J311)</f>
        <v/>
      </c>
      <c r="K311" s="584" t="n"/>
      <c r="L311" s="578">
        <f>IFERROR(A311,"")</f>
        <v/>
      </c>
      <c r="M311" s="849">
        <f>IF(' Impaired Loans ASC 310-10'!A311="","",' Impaired Loans ASC 310-10'!K311)</f>
        <v/>
      </c>
      <c r="N311" s="580">
        <f>IF(' Impaired Loans ASC 310-10'!A311="","",' Impaired Loans ASC 310-10'!L311)</f>
        <v/>
      </c>
      <c r="O311" s="581">
        <f>IF(' Impaired Loans ASC 310-10'!A311="","",' Impaired Loans ASC 310-10'!M311)</f>
        <v/>
      </c>
      <c r="P311" s="582">
        <f>IF(' Impaired Loans ASC 310-10'!A311="","",' Impaired Loans ASC 310-10'!O311)</f>
        <v/>
      </c>
      <c r="Q311" s="583">
        <f>IF(' Impaired Loans ASC 310-10'!A311="","",' Impaired Loans ASC 310-10'!N311)</f>
        <v/>
      </c>
      <c r="R311" s="583">
        <f>IF(' Impaired Loans ASC 310-10'!A311="","",' Impaired Loans ASC 310-10'!P311)</f>
        <v/>
      </c>
      <c r="S311" s="583">
        <f>IF(' Impaired Loans ASC 310-10'!A311="","",' Impaired Loans ASC 310-10'!Q311)</f>
        <v/>
      </c>
    </row>
    <row r="312">
      <c r="A312" s="573">
        <f>IF(' Impaired Loans ASC 310-10'!A312="","",' Impaired Loans ASC 310-10'!A312)</f>
        <v/>
      </c>
      <c r="B312" s="573">
        <f>IF(' Impaired Loans ASC 310-10'!B312="","",' Impaired Loans ASC 310-10'!B312)</f>
        <v/>
      </c>
      <c r="C312" s="573">
        <f>IF(' Impaired Loans ASC 310-10'!C312="","",' Impaired Loans ASC 310-10'!C312)</f>
        <v/>
      </c>
      <c r="D312" s="573">
        <f>IF(' Impaired Loans ASC 310-10'!D312="","",' Impaired Loans ASC 310-10'!D312)</f>
        <v/>
      </c>
      <c r="E312" s="574">
        <f>IF(' Impaired Loans ASC 310-10'!E312="","",' Impaired Loans ASC 310-10'!E312)</f>
        <v/>
      </c>
      <c r="F312" s="575">
        <f>IF(' Impaired Loans ASC 310-10'!F312="","",' Impaired Loans ASC 310-10'!F312)</f>
        <v/>
      </c>
      <c r="G312" s="574">
        <f>IF(' Impaired Loans ASC 310-10'!G312="","",' Impaired Loans ASC 310-10'!G312)</f>
        <v/>
      </c>
      <c r="H312" s="574">
        <f>IF(' Impaired Loans ASC 310-10'!H312="","",' Impaired Loans ASC 310-10'!H312)</f>
        <v/>
      </c>
      <c r="I312" s="574">
        <f>IF(' Impaired Loans ASC 310-10'!I312="","",' Impaired Loans ASC 310-10'!I312)</f>
        <v/>
      </c>
      <c r="J312" s="574">
        <f>IF(' Impaired Loans ASC 310-10'!J312="","",' Impaired Loans ASC 310-10'!J312)</f>
        <v/>
      </c>
      <c r="K312" s="584" t="n"/>
      <c r="L312" s="578">
        <f>IFERROR(A312,"")</f>
        <v/>
      </c>
      <c r="M312" s="849">
        <f>IF(' Impaired Loans ASC 310-10'!A312="","",' Impaired Loans ASC 310-10'!K312)</f>
        <v/>
      </c>
      <c r="N312" s="580">
        <f>IF(' Impaired Loans ASC 310-10'!A312="","",' Impaired Loans ASC 310-10'!L312)</f>
        <v/>
      </c>
      <c r="O312" s="581">
        <f>IF(' Impaired Loans ASC 310-10'!A312="","",' Impaired Loans ASC 310-10'!M312)</f>
        <v/>
      </c>
      <c r="P312" s="582">
        <f>IF(' Impaired Loans ASC 310-10'!A312="","",' Impaired Loans ASC 310-10'!O312)</f>
        <v/>
      </c>
      <c r="Q312" s="583">
        <f>IF(' Impaired Loans ASC 310-10'!A312="","",' Impaired Loans ASC 310-10'!N312)</f>
        <v/>
      </c>
      <c r="R312" s="583">
        <f>IF(' Impaired Loans ASC 310-10'!A312="","",' Impaired Loans ASC 310-10'!P312)</f>
        <v/>
      </c>
      <c r="S312" s="583">
        <f>IF(' Impaired Loans ASC 310-10'!A312="","",' Impaired Loans ASC 310-10'!Q312)</f>
        <v/>
      </c>
    </row>
    <row r="313">
      <c r="A313" s="573">
        <f>IF(' Impaired Loans ASC 310-10'!A313="","",' Impaired Loans ASC 310-10'!A313)</f>
        <v/>
      </c>
      <c r="B313" s="573">
        <f>IF(' Impaired Loans ASC 310-10'!B313="","",' Impaired Loans ASC 310-10'!B313)</f>
        <v/>
      </c>
      <c r="C313" s="573">
        <f>IF(' Impaired Loans ASC 310-10'!C313="","",' Impaired Loans ASC 310-10'!C313)</f>
        <v/>
      </c>
      <c r="D313" s="573">
        <f>IF(' Impaired Loans ASC 310-10'!D313="","",' Impaired Loans ASC 310-10'!D313)</f>
        <v/>
      </c>
      <c r="E313" s="574">
        <f>IF(' Impaired Loans ASC 310-10'!E313="","",' Impaired Loans ASC 310-10'!E313)</f>
        <v/>
      </c>
      <c r="F313" s="575">
        <f>IF(' Impaired Loans ASC 310-10'!F313="","",' Impaired Loans ASC 310-10'!F313)</f>
        <v/>
      </c>
      <c r="G313" s="574">
        <f>IF(' Impaired Loans ASC 310-10'!G313="","",' Impaired Loans ASC 310-10'!G313)</f>
        <v/>
      </c>
      <c r="H313" s="574">
        <f>IF(' Impaired Loans ASC 310-10'!H313="","",' Impaired Loans ASC 310-10'!H313)</f>
        <v/>
      </c>
      <c r="I313" s="574">
        <f>IF(' Impaired Loans ASC 310-10'!I313="","",' Impaired Loans ASC 310-10'!I313)</f>
        <v/>
      </c>
      <c r="J313" s="574">
        <f>IF(' Impaired Loans ASC 310-10'!J313="","",' Impaired Loans ASC 310-10'!J313)</f>
        <v/>
      </c>
      <c r="K313" s="584" t="n"/>
      <c r="L313" s="578">
        <f>IFERROR(A313,"")</f>
        <v/>
      </c>
      <c r="M313" s="849">
        <f>IF(' Impaired Loans ASC 310-10'!A313="","",' Impaired Loans ASC 310-10'!K313)</f>
        <v/>
      </c>
      <c r="N313" s="580">
        <f>IF(' Impaired Loans ASC 310-10'!A313="","",' Impaired Loans ASC 310-10'!L313)</f>
        <v/>
      </c>
      <c r="O313" s="581">
        <f>IF(' Impaired Loans ASC 310-10'!A313="","",' Impaired Loans ASC 310-10'!M313)</f>
        <v/>
      </c>
      <c r="P313" s="582">
        <f>IF(' Impaired Loans ASC 310-10'!A313="","",' Impaired Loans ASC 310-10'!O313)</f>
        <v/>
      </c>
      <c r="Q313" s="583">
        <f>IF(' Impaired Loans ASC 310-10'!A313="","",' Impaired Loans ASC 310-10'!N313)</f>
        <v/>
      </c>
      <c r="R313" s="583">
        <f>IF(' Impaired Loans ASC 310-10'!A313="","",' Impaired Loans ASC 310-10'!P313)</f>
        <v/>
      </c>
      <c r="S313" s="583">
        <f>IF(' Impaired Loans ASC 310-10'!A313="","",' Impaired Loans ASC 310-10'!Q313)</f>
        <v/>
      </c>
    </row>
    <row r="314">
      <c r="A314" s="573">
        <f>IF(' Impaired Loans ASC 310-10'!A314="","",' Impaired Loans ASC 310-10'!A314)</f>
        <v/>
      </c>
      <c r="B314" s="573">
        <f>IF(' Impaired Loans ASC 310-10'!B314="","",' Impaired Loans ASC 310-10'!B314)</f>
        <v/>
      </c>
      <c r="C314" s="573">
        <f>IF(' Impaired Loans ASC 310-10'!C314="","",' Impaired Loans ASC 310-10'!C314)</f>
        <v/>
      </c>
      <c r="D314" s="573">
        <f>IF(' Impaired Loans ASC 310-10'!D314="","",' Impaired Loans ASC 310-10'!D314)</f>
        <v/>
      </c>
      <c r="E314" s="574">
        <f>IF(' Impaired Loans ASC 310-10'!E314="","",' Impaired Loans ASC 310-10'!E314)</f>
        <v/>
      </c>
      <c r="F314" s="575">
        <f>IF(' Impaired Loans ASC 310-10'!F314="","",' Impaired Loans ASC 310-10'!F314)</f>
        <v/>
      </c>
      <c r="G314" s="574">
        <f>IF(' Impaired Loans ASC 310-10'!G314="","",' Impaired Loans ASC 310-10'!G314)</f>
        <v/>
      </c>
      <c r="H314" s="574">
        <f>IF(' Impaired Loans ASC 310-10'!H314="","",' Impaired Loans ASC 310-10'!H314)</f>
        <v/>
      </c>
      <c r="I314" s="574">
        <f>IF(' Impaired Loans ASC 310-10'!I314="","",' Impaired Loans ASC 310-10'!I314)</f>
        <v/>
      </c>
      <c r="J314" s="574">
        <f>IF(' Impaired Loans ASC 310-10'!J314="","",' Impaired Loans ASC 310-10'!J314)</f>
        <v/>
      </c>
      <c r="K314" s="584" t="n"/>
      <c r="L314" s="578">
        <f>IFERROR(A314,"")</f>
        <v/>
      </c>
      <c r="M314" s="849">
        <f>IF(' Impaired Loans ASC 310-10'!A314="","",' Impaired Loans ASC 310-10'!K314)</f>
        <v/>
      </c>
      <c r="N314" s="580">
        <f>IF(' Impaired Loans ASC 310-10'!A314="","",' Impaired Loans ASC 310-10'!L314)</f>
        <v/>
      </c>
      <c r="O314" s="581">
        <f>IF(' Impaired Loans ASC 310-10'!A314="","",' Impaired Loans ASC 310-10'!M314)</f>
        <v/>
      </c>
      <c r="P314" s="582">
        <f>IF(' Impaired Loans ASC 310-10'!A314="","",' Impaired Loans ASC 310-10'!O314)</f>
        <v/>
      </c>
      <c r="Q314" s="583">
        <f>IF(' Impaired Loans ASC 310-10'!A314="","",' Impaired Loans ASC 310-10'!N314)</f>
        <v/>
      </c>
      <c r="R314" s="583">
        <f>IF(' Impaired Loans ASC 310-10'!A314="","",' Impaired Loans ASC 310-10'!P314)</f>
        <v/>
      </c>
      <c r="S314" s="583">
        <f>IF(' Impaired Loans ASC 310-10'!A314="","",' Impaired Loans ASC 310-10'!Q314)</f>
        <v/>
      </c>
    </row>
    <row r="315">
      <c r="A315" s="573">
        <f>IF(' Impaired Loans ASC 310-10'!A315="","",' Impaired Loans ASC 310-10'!A315)</f>
        <v/>
      </c>
      <c r="B315" s="573">
        <f>IF(' Impaired Loans ASC 310-10'!B315="","",' Impaired Loans ASC 310-10'!B315)</f>
        <v/>
      </c>
      <c r="C315" s="573">
        <f>IF(' Impaired Loans ASC 310-10'!C315="","",' Impaired Loans ASC 310-10'!C315)</f>
        <v/>
      </c>
      <c r="D315" s="573">
        <f>IF(' Impaired Loans ASC 310-10'!D315="","",' Impaired Loans ASC 310-10'!D315)</f>
        <v/>
      </c>
      <c r="E315" s="574">
        <f>IF(' Impaired Loans ASC 310-10'!E315="","",' Impaired Loans ASC 310-10'!E315)</f>
        <v/>
      </c>
      <c r="F315" s="575">
        <f>IF(' Impaired Loans ASC 310-10'!F315="","",' Impaired Loans ASC 310-10'!F315)</f>
        <v/>
      </c>
      <c r="G315" s="574">
        <f>IF(' Impaired Loans ASC 310-10'!G315="","",' Impaired Loans ASC 310-10'!G315)</f>
        <v/>
      </c>
      <c r="H315" s="574">
        <f>IF(' Impaired Loans ASC 310-10'!H315="","",' Impaired Loans ASC 310-10'!H315)</f>
        <v/>
      </c>
      <c r="I315" s="574">
        <f>IF(' Impaired Loans ASC 310-10'!I315="","",' Impaired Loans ASC 310-10'!I315)</f>
        <v/>
      </c>
      <c r="J315" s="574">
        <f>IF(' Impaired Loans ASC 310-10'!J315="","",' Impaired Loans ASC 310-10'!J315)</f>
        <v/>
      </c>
      <c r="K315" s="584" t="n"/>
      <c r="L315" s="578">
        <f>IFERROR(A315,"")</f>
        <v/>
      </c>
      <c r="M315" s="849">
        <f>IF(' Impaired Loans ASC 310-10'!A315="","",' Impaired Loans ASC 310-10'!K315)</f>
        <v/>
      </c>
      <c r="N315" s="580">
        <f>IF(' Impaired Loans ASC 310-10'!A315="","",' Impaired Loans ASC 310-10'!L315)</f>
        <v/>
      </c>
      <c r="O315" s="581">
        <f>IF(' Impaired Loans ASC 310-10'!A315="","",' Impaired Loans ASC 310-10'!M315)</f>
        <v/>
      </c>
      <c r="P315" s="582">
        <f>IF(' Impaired Loans ASC 310-10'!A315="","",' Impaired Loans ASC 310-10'!O315)</f>
        <v/>
      </c>
      <c r="Q315" s="583">
        <f>IF(' Impaired Loans ASC 310-10'!A315="","",' Impaired Loans ASC 310-10'!N315)</f>
        <v/>
      </c>
      <c r="R315" s="583">
        <f>IF(' Impaired Loans ASC 310-10'!A315="","",' Impaired Loans ASC 310-10'!P315)</f>
        <v/>
      </c>
      <c r="S315" s="583">
        <f>IF(' Impaired Loans ASC 310-10'!A315="","",' Impaired Loans ASC 310-10'!Q315)</f>
        <v/>
      </c>
    </row>
    <row r="316">
      <c r="A316" s="573">
        <f>IF(' Impaired Loans ASC 310-10'!A316="","",' Impaired Loans ASC 310-10'!A316)</f>
        <v/>
      </c>
      <c r="B316" s="573">
        <f>IF(' Impaired Loans ASC 310-10'!B316="","",' Impaired Loans ASC 310-10'!B316)</f>
        <v/>
      </c>
      <c r="C316" s="573">
        <f>IF(' Impaired Loans ASC 310-10'!C316="","",' Impaired Loans ASC 310-10'!C316)</f>
        <v/>
      </c>
      <c r="D316" s="573">
        <f>IF(' Impaired Loans ASC 310-10'!D316="","",' Impaired Loans ASC 310-10'!D316)</f>
        <v/>
      </c>
      <c r="E316" s="574">
        <f>IF(' Impaired Loans ASC 310-10'!E316="","",' Impaired Loans ASC 310-10'!E316)</f>
        <v/>
      </c>
      <c r="F316" s="575">
        <f>IF(' Impaired Loans ASC 310-10'!F316="","",' Impaired Loans ASC 310-10'!F316)</f>
        <v/>
      </c>
      <c r="G316" s="574">
        <f>IF(' Impaired Loans ASC 310-10'!G316="","",' Impaired Loans ASC 310-10'!G316)</f>
        <v/>
      </c>
      <c r="H316" s="574">
        <f>IF(' Impaired Loans ASC 310-10'!H316="","",' Impaired Loans ASC 310-10'!H316)</f>
        <v/>
      </c>
      <c r="I316" s="574">
        <f>IF(' Impaired Loans ASC 310-10'!I316="","",' Impaired Loans ASC 310-10'!I316)</f>
        <v/>
      </c>
      <c r="J316" s="574">
        <f>IF(' Impaired Loans ASC 310-10'!J316="","",' Impaired Loans ASC 310-10'!J316)</f>
        <v/>
      </c>
      <c r="K316" s="584" t="n"/>
      <c r="L316" s="578">
        <f>IFERROR(A316,"")</f>
        <v/>
      </c>
      <c r="M316" s="849">
        <f>IF(' Impaired Loans ASC 310-10'!A316="","",' Impaired Loans ASC 310-10'!K316)</f>
        <v/>
      </c>
      <c r="N316" s="580">
        <f>IF(' Impaired Loans ASC 310-10'!A316="","",' Impaired Loans ASC 310-10'!L316)</f>
        <v/>
      </c>
      <c r="O316" s="581">
        <f>IF(' Impaired Loans ASC 310-10'!A316="","",' Impaired Loans ASC 310-10'!M316)</f>
        <v/>
      </c>
      <c r="P316" s="582">
        <f>IF(' Impaired Loans ASC 310-10'!A316="","",' Impaired Loans ASC 310-10'!O316)</f>
        <v/>
      </c>
      <c r="Q316" s="583">
        <f>IF(' Impaired Loans ASC 310-10'!A316="","",' Impaired Loans ASC 310-10'!N316)</f>
        <v/>
      </c>
      <c r="R316" s="583">
        <f>IF(' Impaired Loans ASC 310-10'!A316="","",' Impaired Loans ASC 310-10'!P316)</f>
        <v/>
      </c>
      <c r="S316" s="583">
        <f>IF(' Impaired Loans ASC 310-10'!A316="","",' Impaired Loans ASC 310-10'!Q316)</f>
        <v/>
      </c>
    </row>
    <row r="317">
      <c r="A317" s="573">
        <f>IF(' Impaired Loans ASC 310-10'!A317="","",' Impaired Loans ASC 310-10'!A317)</f>
        <v/>
      </c>
      <c r="B317" s="573">
        <f>IF(' Impaired Loans ASC 310-10'!B317="","",' Impaired Loans ASC 310-10'!B317)</f>
        <v/>
      </c>
      <c r="C317" s="573">
        <f>IF(' Impaired Loans ASC 310-10'!C317="","",' Impaired Loans ASC 310-10'!C317)</f>
        <v/>
      </c>
      <c r="D317" s="573">
        <f>IF(' Impaired Loans ASC 310-10'!D317="","",' Impaired Loans ASC 310-10'!D317)</f>
        <v/>
      </c>
      <c r="E317" s="574">
        <f>IF(' Impaired Loans ASC 310-10'!E317="","",' Impaired Loans ASC 310-10'!E317)</f>
        <v/>
      </c>
      <c r="F317" s="575">
        <f>IF(' Impaired Loans ASC 310-10'!F317="","",' Impaired Loans ASC 310-10'!F317)</f>
        <v/>
      </c>
      <c r="G317" s="574">
        <f>IF(' Impaired Loans ASC 310-10'!G317="","",' Impaired Loans ASC 310-10'!G317)</f>
        <v/>
      </c>
      <c r="H317" s="574">
        <f>IF(' Impaired Loans ASC 310-10'!H317="","",' Impaired Loans ASC 310-10'!H317)</f>
        <v/>
      </c>
      <c r="I317" s="574">
        <f>IF(' Impaired Loans ASC 310-10'!I317="","",' Impaired Loans ASC 310-10'!I317)</f>
        <v/>
      </c>
      <c r="J317" s="574">
        <f>IF(' Impaired Loans ASC 310-10'!J317="","",' Impaired Loans ASC 310-10'!J317)</f>
        <v/>
      </c>
      <c r="K317" s="584" t="n"/>
      <c r="L317" s="578">
        <f>IFERROR(A317,"")</f>
        <v/>
      </c>
      <c r="M317" s="849">
        <f>IF(' Impaired Loans ASC 310-10'!A317="","",' Impaired Loans ASC 310-10'!K317)</f>
        <v/>
      </c>
      <c r="N317" s="580">
        <f>IF(' Impaired Loans ASC 310-10'!A317="","",' Impaired Loans ASC 310-10'!L317)</f>
        <v/>
      </c>
      <c r="O317" s="581">
        <f>IF(' Impaired Loans ASC 310-10'!A317="","",' Impaired Loans ASC 310-10'!M317)</f>
        <v/>
      </c>
      <c r="P317" s="582">
        <f>IF(' Impaired Loans ASC 310-10'!A317="","",' Impaired Loans ASC 310-10'!O317)</f>
        <v/>
      </c>
      <c r="Q317" s="583">
        <f>IF(' Impaired Loans ASC 310-10'!A317="","",' Impaired Loans ASC 310-10'!N317)</f>
        <v/>
      </c>
      <c r="R317" s="583">
        <f>IF(' Impaired Loans ASC 310-10'!A317="","",' Impaired Loans ASC 310-10'!P317)</f>
        <v/>
      </c>
      <c r="S317" s="583">
        <f>IF(' Impaired Loans ASC 310-10'!A317="","",' Impaired Loans ASC 310-10'!Q317)</f>
        <v/>
      </c>
    </row>
    <row r="318">
      <c r="A318" s="573">
        <f>IF(' Impaired Loans ASC 310-10'!A318="","",' Impaired Loans ASC 310-10'!A318)</f>
        <v/>
      </c>
      <c r="B318" s="573">
        <f>IF(' Impaired Loans ASC 310-10'!B318="","",' Impaired Loans ASC 310-10'!B318)</f>
        <v/>
      </c>
      <c r="C318" s="573">
        <f>IF(' Impaired Loans ASC 310-10'!C318="","",' Impaired Loans ASC 310-10'!C318)</f>
        <v/>
      </c>
      <c r="D318" s="573">
        <f>IF(' Impaired Loans ASC 310-10'!D318="","",' Impaired Loans ASC 310-10'!D318)</f>
        <v/>
      </c>
      <c r="E318" s="574">
        <f>IF(' Impaired Loans ASC 310-10'!E318="","",' Impaired Loans ASC 310-10'!E318)</f>
        <v/>
      </c>
      <c r="F318" s="575">
        <f>IF(' Impaired Loans ASC 310-10'!F318="","",' Impaired Loans ASC 310-10'!F318)</f>
        <v/>
      </c>
      <c r="G318" s="574">
        <f>IF(' Impaired Loans ASC 310-10'!G318="","",' Impaired Loans ASC 310-10'!G318)</f>
        <v/>
      </c>
      <c r="H318" s="574">
        <f>IF(' Impaired Loans ASC 310-10'!H318="","",' Impaired Loans ASC 310-10'!H318)</f>
        <v/>
      </c>
      <c r="I318" s="574">
        <f>IF(' Impaired Loans ASC 310-10'!I318="","",' Impaired Loans ASC 310-10'!I318)</f>
        <v/>
      </c>
      <c r="J318" s="574">
        <f>IF(' Impaired Loans ASC 310-10'!J318="","",' Impaired Loans ASC 310-10'!J318)</f>
        <v/>
      </c>
      <c r="K318" s="584" t="n"/>
      <c r="L318" s="578">
        <f>IFERROR(A318,"")</f>
        <v/>
      </c>
      <c r="M318" s="849">
        <f>IF(' Impaired Loans ASC 310-10'!A318="","",' Impaired Loans ASC 310-10'!K318)</f>
        <v/>
      </c>
      <c r="N318" s="580">
        <f>IF(' Impaired Loans ASC 310-10'!A318="","",' Impaired Loans ASC 310-10'!L318)</f>
        <v/>
      </c>
      <c r="O318" s="581">
        <f>IF(' Impaired Loans ASC 310-10'!A318="","",' Impaired Loans ASC 310-10'!M318)</f>
        <v/>
      </c>
      <c r="P318" s="582">
        <f>IF(' Impaired Loans ASC 310-10'!A318="","",' Impaired Loans ASC 310-10'!O318)</f>
        <v/>
      </c>
      <c r="Q318" s="583">
        <f>IF(' Impaired Loans ASC 310-10'!A318="","",' Impaired Loans ASC 310-10'!N318)</f>
        <v/>
      </c>
      <c r="R318" s="583">
        <f>IF(' Impaired Loans ASC 310-10'!A318="","",' Impaired Loans ASC 310-10'!P318)</f>
        <v/>
      </c>
      <c r="S318" s="583">
        <f>IF(' Impaired Loans ASC 310-10'!A318="","",' Impaired Loans ASC 310-10'!Q318)</f>
        <v/>
      </c>
    </row>
    <row r="319">
      <c r="A319" s="573">
        <f>IF(' Impaired Loans ASC 310-10'!A319="","",' Impaired Loans ASC 310-10'!A319)</f>
        <v/>
      </c>
      <c r="B319" s="573">
        <f>IF(' Impaired Loans ASC 310-10'!B319="","",' Impaired Loans ASC 310-10'!B319)</f>
        <v/>
      </c>
      <c r="C319" s="573">
        <f>IF(' Impaired Loans ASC 310-10'!C319="","",' Impaired Loans ASC 310-10'!C319)</f>
        <v/>
      </c>
      <c r="D319" s="573">
        <f>IF(' Impaired Loans ASC 310-10'!D319="","",' Impaired Loans ASC 310-10'!D319)</f>
        <v/>
      </c>
      <c r="E319" s="574">
        <f>IF(' Impaired Loans ASC 310-10'!E319="","",' Impaired Loans ASC 310-10'!E319)</f>
        <v/>
      </c>
      <c r="F319" s="575">
        <f>IF(' Impaired Loans ASC 310-10'!F319="","",' Impaired Loans ASC 310-10'!F319)</f>
        <v/>
      </c>
      <c r="G319" s="574">
        <f>IF(' Impaired Loans ASC 310-10'!G319="","",' Impaired Loans ASC 310-10'!G319)</f>
        <v/>
      </c>
      <c r="H319" s="574">
        <f>IF(' Impaired Loans ASC 310-10'!H319="","",' Impaired Loans ASC 310-10'!H319)</f>
        <v/>
      </c>
      <c r="I319" s="574">
        <f>IF(' Impaired Loans ASC 310-10'!I319="","",' Impaired Loans ASC 310-10'!I319)</f>
        <v/>
      </c>
      <c r="J319" s="574">
        <f>IF(' Impaired Loans ASC 310-10'!J319="","",' Impaired Loans ASC 310-10'!J319)</f>
        <v/>
      </c>
      <c r="K319" s="584" t="n"/>
      <c r="L319" s="578">
        <f>IFERROR(A319,"")</f>
        <v/>
      </c>
      <c r="M319" s="849">
        <f>IF(' Impaired Loans ASC 310-10'!A319="","",' Impaired Loans ASC 310-10'!K319)</f>
        <v/>
      </c>
      <c r="N319" s="580">
        <f>IF(' Impaired Loans ASC 310-10'!A319="","",' Impaired Loans ASC 310-10'!L319)</f>
        <v/>
      </c>
      <c r="O319" s="581">
        <f>IF(' Impaired Loans ASC 310-10'!A319="","",' Impaired Loans ASC 310-10'!M319)</f>
        <v/>
      </c>
      <c r="P319" s="582">
        <f>IF(' Impaired Loans ASC 310-10'!A319="","",' Impaired Loans ASC 310-10'!O319)</f>
        <v/>
      </c>
      <c r="Q319" s="583">
        <f>IF(' Impaired Loans ASC 310-10'!A319="","",' Impaired Loans ASC 310-10'!N319)</f>
        <v/>
      </c>
      <c r="R319" s="583">
        <f>IF(' Impaired Loans ASC 310-10'!A319="","",' Impaired Loans ASC 310-10'!P319)</f>
        <v/>
      </c>
      <c r="S319" s="583">
        <f>IF(' Impaired Loans ASC 310-10'!A319="","",' Impaired Loans ASC 310-10'!Q319)</f>
        <v/>
      </c>
    </row>
    <row r="320">
      <c r="A320" s="573">
        <f>IF(' Impaired Loans ASC 310-10'!A320="","",' Impaired Loans ASC 310-10'!A320)</f>
        <v/>
      </c>
      <c r="B320" s="573">
        <f>IF(' Impaired Loans ASC 310-10'!B320="","",' Impaired Loans ASC 310-10'!B320)</f>
        <v/>
      </c>
      <c r="C320" s="573">
        <f>IF(' Impaired Loans ASC 310-10'!C320="","",' Impaired Loans ASC 310-10'!C320)</f>
        <v/>
      </c>
      <c r="D320" s="573">
        <f>IF(' Impaired Loans ASC 310-10'!D320="","",' Impaired Loans ASC 310-10'!D320)</f>
        <v/>
      </c>
      <c r="E320" s="574">
        <f>IF(' Impaired Loans ASC 310-10'!E320="","",' Impaired Loans ASC 310-10'!E320)</f>
        <v/>
      </c>
      <c r="F320" s="575">
        <f>IF(' Impaired Loans ASC 310-10'!F320="","",' Impaired Loans ASC 310-10'!F320)</f>
        <v/>
      </c>
      <c r="G320" s="574">
        <f>IF(' Impaired Loans ASC 310-10'!G320="","",' Impaired Loans ASC 310-10'!G320)</f>
        <v/>
      </c>
      <c r="H320" s="574">
        <f>IF(' Impaired Loans ASC 310-10'!H320="","",' Impaired Loans ASC 310-10'!H320)</f>
        <v/>
      </c>
      <c r="I320" s="574">
        <f>IF(' Impaired Loans ASC 310-10'!I320="","",' Impaired Loans ASC 310-10'!I320)</f>
        <v/>
      </c>
      <c r="J320" s="574">
        <f>IF(' Impaired Loans ASC 310-10'!J320="","",' Impaired Loans ASC 310-10'!J320)</f>
        <v/>
      </c>
      <c r="K320" s="584" t="n"/>
      <c r="L320" s="578">
        <f>IFERROR(A320,"")</f>
        <v/>
      </c>
      <c r="M320" s="849">
        <f>IF(' Impaired Loans ASC 310-10'!A320="","",' Impaired Loans ASC 310-10'!K320)</f>
        <v/>
      </c>
      <c r="N320" s="580">
        <f>IF(' Impaired Loans ASC 310-10'!A320="","",' Impaired Loans ASC 310-10'!L320)</f>
        <v/>
      </c>
      <c r="O320" s="581">
        <f>IF(' Impaired Loans ASC 310-10'!A320="","",' Impaired Loans ASC 310-10'!M320)</f>
        <v/>
      </c>
      <c r="P320" s="582">
        <f>IF(' Impaired Loans ASC 310-10'!A320="","",' Impaired Loans ASC 310-10'!O320)</f>
        <v/>
      </c>
      <c r="Q320" s="583">
        <f>IF(' Impaired Loans ASC 310-10'!A320="","",' Impaired Loans ASC 310-10'!N320)</f>
        <v/>
      </c>
      <c r="R320" s="583">
        <f>IF(' Impaired Loans ASC 310-10'!A320="","",' Impaired Loans ASC 310-10'!P320)</f>
        <v/>
      </c>
      <c r="S320" s="583">
        <f>IF(' Impaired Loans ASC 310-10'!A320="","",' Impaired Loans ASC 310-10'!Q320)</f>
        <v/>
      </c>
    </row>
    <row r="321">
      <c r="A321" s="573">
        <f>IF(' Impaired Loans ASC 310-10'!A321="","",' Impaired Loans ASC 310-10'!A321)</f>
        <v/>
      </c>
      <c r="B321" s="573">
        <f>IF(' Impaired Loans ASC 310-10'!B321="","",' Impaired Loans ASC 310-10'!B321)</f>
        <v/>
      </c>
      <c r="C321" s="573">
        <f>IF(' Impaired Loans ASC 310-10'!C321="","",' Impaired Loans ASC 310-10'!C321)</f>
        <v/>
      </c>
      <c r="D321" s="573">
        <f>IF(' Impaired Loans ASC 310-10'!D321="","",' Impaired Loans ASC 310-10'!D321)</f>
        <v/>
      </c>
      <c r="E321" s="574">
        <f>IF(' Impaired Loans ASC 310-10'!E321="","",' Impaired Loans ASC 310-10'!E321)</f>
        <v/>
      </c>
      <c r="F321" s="575">
        <f>IF(' Impaired Loans ASC 310-10'!F321="","",' Impaired Loans ASC 310-10'!F321)</f>
        <v/>
      </c>
      <c r="G321" s="574">
        <f>IF(' Impaired Loans ASC 310-10'!G321="","",' Impaired Loans ASC 310-10'!G321)</f>
        <v/>
      </c>
      <c r="H321" s="574">
        <f>IF(' Impaired Loans ASC 310-10'!H321="","",' Impaired Loans ASC 310-10'!H321)</f>
        <v/>
      </c>
      <c r="I321" s="574">
        <f>IF(' Impaired Loans ASC 310-10'!I321="","",' Impaired Loans ASC 310-10'!I321)</f>
        <v/>
      </c>
      <c r="J321" s="574">
        <f>IF(' Impaired Loans ASC 310-10'!J321="","",' Impaired Loans ASC 310-10'!J321)</f>
        <v/>
      </c>
      <c r="K321" s="584" t="n"/>
      <c r="L321" s="578">
        <f>IFERROR(A321,"")</f>
        <v/>
      </c>
      <c r="M321" s="849">
        <f>IF(' Impaired Loans ASC 310-10'!A321="","",' Impaired Loans ASC 310-10'!K321)</f>
        <v/>
      </c>
      <c r="N321" s="580">
        <f>IF(' Impaired Loans ASC 310-10'!A321="","",' Impaired Loans ASC 310-10'!L321)</f>
        <v/>
      </c>
      <c r="O321" s="581">
        <f>IF(' Impaired Loans ASC 310-10'!A321="","",' Impaired Loans ASC 310-10'!M321)</f>
        <v/>
      </c>
      <c r="P321" s="582">
        <f>IF(' Impaired Loans ASC 310-10'!A321="","",' Impaired Loans ASC 310-10'!O321)</f>
        <v/>
      </c>
      <c r="Q321" s="583">
        <f>IF(' Impaired Loans ASC 310-10'!A321="","",' Impaired Loans ASC 310-10'!N321)</f>
        <v/>
      </c>
      <c r="R321" s="583">
        <f>IF(' Impaired Loans ASC 310-10'!A321="","",' Impaired Loans ASC 310-10'!P321)</f>
        <v/>
      </c>
      <c r="S321" s="583">
        <f>IF(' Impaired Loans ASC 310-10'!A321="","",' Impaired Loans ASC 310-10'!Q321)</f>
        <v/>
      </c>
    </row>
    <row r="322">
      <c r="A322" s="573">
        <f>IF(' Impaired Loans ASC 310-10'!A322="","",' Impaired Loans ASC 310-10'!A322)</f>
        <v/>
      </c>
      <c r="B322" s="573">
        <f>IF(' Impaired Loans ASC 310-10'!B322="","",' Impaired Loans ASC 310-10'!B322)</f>
        <v/>
      </c>
      <c r="C322" s="573">
        <f>IF(' Impaired Loans ASC 310-10'!C322="","",' Impaired Loans ASC 310-10'!C322)</f>
        <v/>
      </c>
      <c r="D322" s="573">
        <f>IF(' Impaired Loans ASC 310-10'!D322="","",' Impaired Loans ASC 310-10'!D322)</f>
        <v/>
      </c>
      <c r="E322" s="574">
        <f>IF(' Impaired Loans ASC 310-10'!E322="","",' Impaired Loans ASC 310-10'!E322)</f>
        <v/>
      </c>
      <c r="F322" s="575">
        <f>IF(' Impaired Loans ASC 310-10'!F322="","",' Impaired Loans ASC 310-10'!F322)</f>
        <v/>
      </c>
      <c r="G322" s="574">
        <f>IF(' Impaired Loans ASC 310-10'!G322="","",' Impaired Loans ASC 310-10'!G322)</f>
        <v/>
      </c>
      <c r="H322" s="574">
        <f>IF(' Impaired Loans ASC 310-10'!H322="","",' Impaired Loans ASC 310-10'!H322)</f>
        <v/>
      </c>
      <c r="I322" s="574">
        <f>IF(' Impaired Loans ASC 310-10'!I322="","",' Impaired Loans ASC 310-10'!I322)</f>
        <v/>
      </c>
      <c r="J322" s="574">
        <f>IF(' Impaired Loans ASC 310-10'!J322="","",' Impaired Loans ASC 310-10'!J322)</f>
        <v/>
      </c>
      <c r="K322" s="584" t="n"/>
      <c r="L322" s="578">
        <f>IFERROR(A322,"")</f>
        <v/>
      </c>
      <c r="M322" s="849">
        <f>IF(' Impaired Loans ASC 310-10'!A322="","",' Impaired Loans ASC 310-10'!K322)</f>
        <v/>
      </c>
      <c r="N322" s="580">
        <f>IF(' Impaired Loans ASC 310-10'!A322="","",' Impaired Loans ASC 310-10'!L322)</f>
        <v/>
      </c>
      <c r="O322" s="581">
        <f>IF(' Impaired Loans ASC 310-10'!A322="","",' Impaired Loans ASC 310-10'!M322)</f>
        <v/>
      </c>
      <c r="P322" s="582">
        <f>IF(' Impaired Loans ASC 310-10'!A322="","",' Impaired Loans ASC 310-10'!O322)</f>
        <v/>
      </c>
      <c r="Q322" s="583">
        <f>IF(' Impaired Loans ASC 310-10'!A322="","",' Impaired Loans ASC 310-10'!N322)</f>
        <v/>
      </c>
      <c r="R322" s="583">
        <f>IF(' Impaired Loans ASC 310-10'!A322="","",' Impaired Loans ASC 310-10'!P322)</f>
        <v/>
      </c>
      <c r="S322" s="583">
        <f>IF(' Impaired Loans ASC 310-10'!A322="","",' Impaired Loans ASC 310-10'!Q322)</f>
        <v/>
      </c>
    </row>
    <row r="323">
      <c r="A323" s="573">
        <f>IF(' Impaired Loans ASC 310-10'!A323="","",' Impaired Loans ASC 310-10'!A323)</f>
        <v/>
      </c>
      <c r="B323" s="573">
        <f>IF(' Impaired Loans ASC 310-10'!B323="","",' Impaired Loans ASC 310-10'!B323)</f>
        <v/>
      </c>
      <c r="C323" s="573">
        <f>IF(' Impaired Loans ASC 310-10'!C323="","",' Impaired Loans ASC 310-10'!C323)</f>
        <v/>
      </c>
      <c r="D323" s="573">
        <f>IF(' Impaired Loans ASC 310-10'!D323="","",' Impaired Loans ASC 310-10'!D323)</f>
        <v/>
      </c>
      <c r="E323" s="574">
        <f>IF(' Impaired Loans ASC 310-10'!E323="","",' Impaired Loans ASC 310-10'!E323)</f>
        <v/>
      </c>
      <c r="F323" s="575">
        <f>IF(' Impaired Loans ASC 310-10'!F323="","",' Impaired Loans ASC 310-10'!F323)</f>
        <v/>
      </c>
      <c r="G323" s="574">
        <f>IF(' Impaired Loans ASC 310-10'!G323="","",' Impaired Loans ASC 310-10'!G323)</f>
        <v/>
      </c>
      <c r="H323" s="574">
        <f>IF(' Impaired Loans ASC 310-10'!H323="","",' Impaired Loans ASC 310-10'!H323)</f>
        <v/>
      </c>
      <c r="I323" s="574">
        <f>IF(' Impaired Loans ASC 310-10'!I323="","",' Impaired Loans ASC 310-10'!I323)</f>
        <v/>
      </c>
      <c r="J323" s="574">
        <f>IF(' Impaired Loans ASC 310-10'!J323="","",' Impaired Loans ASC 310-10'!J323)</f>
        <v/>
      </c>
      <c r="K323" s="584" t="n"/>
      <c r="L323" s="578">
        <f>IFERROR(A323,"")</f>
        <v/>
      </c>
      <c r="M323" s="849">
        <f>IF(' Impaired Loans ASC 310-10'!A323="","",' Impaired Loans ASC 310-10'!K323)</f>
        <v/>
      </c>
      <c r="N323" s="580">
        <f>IF(' Impaired Loans ASC 310-10'!A323="","",' Impaired Loans ASC 310-10'!L323)</f>
        <v/>
      </c>
      <c r="O323" s="581">
        <f>IF(' Impaired Loans ASC 310-10'!A323="","",' Impaired Loans ASC 310-10'!M323)</f>
        <v/>
      </c>
      <c r="P323" s="582">
        <f>IF(' Impaired Loans ASC 310-10'!A323="","",' Impaired Loans ASC 310-10'!O323)</f>
        <v/>
      </c>
      <c r="Q323" s="583">
        <f>IF(' Impaired Loans ASC 310-10'!A323="","",' Impaired Loans ASC 310-10'!N323)</f>
        <v/>
      </c>
      <c r="R323" s="583">
        <f>IF(' Impaired Loans ASC 310-10'!A323="","",' Impaired Loans ASC 310-10'!P323)</f>
        <v/>
      </c>
      <c r="S323" s="583">
        <f>IF(' Impaired Loans ASC 310-10'!A323="","",' Impaired Loans ASC 310-10'!Q323)</f>
        <v/>
      </c>
    </row>
    <row r="324">
      <c r="A324" s="573">
        <f>IF(' Impaired Loans ASC 310-10'!A324="","",' Impaired Loans ASC 310-10'!A324)</f>
        <v/>
      </c>
      <c r="B324" s="573">
        <f>IF(' Impaired Loans ASC 310-10'!B324="","",' Impaired Loans ASC 310-10'!B324)</f>
        <v/>
      </c>
      <c r="C324" s="573">
        <f>IF(' Impaired Loans ASC 310-10'!C324="","",' Impaired Loans ASC 310-10'!C324)</f>
        <v/>
      </c>
      <c r="D324" s="573">
        <f>IF(' Impaired Loans ASC 310-10'!D324="","",' Impaired Loans ASC 310-10'!D324)</f>
        <v/>
      </c>
      <c r="E324" s="574">
        <f>IF(' Impaired Loans ASC 310-10'!E324="","",' Impaired Loans ASC 310-10'!E324)</f>
        <v/>
      </c>
      <c r="F324" s="575">
        <f>IF(' Impaired Loans ASC 310-10'!F324="","",' Impaired Loans ASC 310-10'!F324)</f>
        <v/>
      </c>
      <c r="G324" s="574">
        <f>IF(' Impaired Loans ASC 310-10'!G324="","",' Impaired Loans ASC 310-10'!G324)</f>
        <v/>
      </c>
      <c r="H324" s="574">
        <f>IF(' Impaired Loans ASC 310-10'!H324="","",' Impaired Loans ASC 310-10'!H324)</f>
        <v/>
      </c>
      <c r="I324" s="574">
        <f>IF(' Impaired Loans ASC 310-10'!I324="","",' Impaired Loans ASC 310-10'!I324)</f>
        <v/>
      </c>
      <c r="J324" s="574">
        <f>IF(' Impaired Loans ASC 310-10'!J324="","",' Impaired Loans ASC 310-10'!J324)</f>
        <v/>
      </c>
      <c r="K324" s="584" t="n"/>
      <c r="L324" s="578">
        <f>IFERROR(A324,"")</f>
        <v/>
      </c>
      <c r="M324" s="849">
        <f>IF(' Impaired Loans ASC 310-10'!A324="","",' Impaired Loans ASC 310-10'!K324)</f>
        <v/>
      </c>
      <c r="N324" s="580">
        <f>IF(' Impaired Loans ASC 310-10'!A324="","",' Impaired Loans ASC 310-10'!L324)</f>
        <v/>
      </c>
      <c r="O324" s="581">
        <f>IF(' Impaired Loans ASC 310-10'!A324="","",' Impaired Loans ASC 310-10'!M324)</f>
        <v/>
      </c>
      <c r="P324" s="582">
        <f>IF(' Impaired Loans ASC 310-10'!A324="","",' Impaired Loans ASC 310-10'!O324)</f>
        <v/>
      </c>
      <c r="Q324" s="583">
        <f>IF(' Impaired Loans ASC 310-10'!A324="","",' Impaired Loans ASC 310-10'!N324)</f>
        <v/>
      </c>
      <c r="R324" s="583">
        <f>IF(' Impaired Loans ASC 310-10'!A324="","",' Impaired Loans ASC 310-10'!P324)</f>
        <v/>
      </c>
      <c r="S324" s="583">
        <f>IF(' Impaired Loans ASC 310-10'!A324="","",' Impaired Loans ASC 310-10'!Q324)</f>
        <v/>
      </c>
    </row>
    <row r="325">
      <c r="A325" s="573">
        <f>IF(' Impaired Loans ASC 310-10'!A325="","",' Impaired Loans ASC 310-10'!A325)</f>
        <v/>
      </c>
      <c r="B325" s="573">
        <f>IF(' Impaired Loans ASC 310-10'!B325="","",' Impaired Loans ASC 310-10'!B325)</f>
        <v/>
      </c>
      <c r="C325" s="573">
        <f>IF(' Impaired Loans ASC 310-10'!C325="","",' Impaired Loans ASC 310-10'!C325)</f>
        <v/>
      </c>
      <c r="D325" s="573">
        <f>IF(' Impaired Loans ASC 310-10'!D325="","",' Impaired Loans ASC 310-10'!D325)</f>
        <v/>
      </c>
      <c r="E325" s="574">
        <f>IF(' Impaired Loans ASC 310-10'!E325="","",' Impaired Loans ASC 310-10'!E325)</f>
        <v/>
      </c>
      <c r="F325" s="575">
        <f>IF(' Impaired Loans ASC 310-10'!F325="","",' Impaired Loans ASC 310-10'!F325)</f>
        <v/>
      </c>
      <c r="G325" s="574">
        <f>IF(' Impaired Loans ASC 310-10'!G325="","",' Impaired Loans ASC 310-10'!G325)</f>
        <v/>
      </c>
      <c r="H325" s="574">
        <f>IF(' Impaired Loans ASC 310-10'!H325="","",' Impaired Loans ASC 310-10'!H325)</f>
        <v/>
      </c>
      <c r="I325" s="574">
        <f>IF(' Impaired Loans ASC 310-10'!I325="","",' Impaired Loans ASC 310-10'!I325)</f>
        <v/>
      </c>
      <c r="J325" s="574">
        <f>IF(' Impaired Loans ASC 310-10'!J325="","",' Impaired Loans ASC 310-10'!J325)</f>
        <v/>
      </c>
      <c r="K325" s="584" t="n"/>
      <c r="L325" s="578">
        <f>IFERROR(A325,"")</f>
        <v/>
      </c>
      <c r="M325" s="849">
        <f>IF(' Impaired Loans ASC 310-10'!A325="","",' Impaired Loans ASC 310-10'!K325)</f>
        <v/>
      </c>
      <c r="N325" s="580">
        <f>IF(' Impaired Loans ASC 310-10'!A325="","",' Impaired Loans ASC 310-10'!L325)</f>
        <v/>
      </c>
      <c r="O325" s="581">
        <f>IF(' Impaired Loans ASC 310-10'!A325="","",' Impaired Loans ASC 310-10'!M325)</f>
        <v/>
      </c>
      <c r="P325" s="582">
        <f>IF(' Impaired Loans ASC 310-10'!A325="","",' Impaired Loans ASC 310-10'!O325)</f>
        <v/>
      </c>
      <c r="Q325" s="583">
        <f>IF(' Impaired Loans ASC 310-10'!A325="","",' Impaired Loans ASC 310-10'!N325)</f>
        <v/>
      </c>
      <c r="R325" s="583">
        <f>IF(' Impaired Loans ASC 310-10'!A325="","",' Impaired Loans ASC 310-10'!P325)</f>
        <v/>
      </c>
      <c r="S325" s="583">
        <f>IF(' Impaired Loans ASC 310-10'!A325="","",' Impaired Loans ASC 310-10'!Q325)</f>
        <v/>
      </c>
    </row>
    <row r="326">
      <c r="A326" s="573">
        <f>IF(' Impaired Loans ASC 310-10'!A326="","",' Impaired Loans ASC 310-10'!A326)</f>
        <v/>
      </c>
      <c r="B326" s="573">
        <f>IF(' Impaired Loans ASC 310-10'!B326="","",' Impaired Loans ASC 310-10'!B326)</f>
        <v/>
      </c>
      <c r="C326" s="573">
        <f>IF(' Impaired Loans ASC 310-10'!C326="","",' Impaired Loans ASC 310-10'!C326)</f>
        <v/>
      </c>
      <c r="D326" s="573">
        <f>IF(' Impaired Loans ASC 310-10'!D326="","",' Impaired Loans ASC 310-10'!D326)</f>
        <v/>
      </c>
      <c r="E326" s="574">
        <f>IF(' Impaired Loans ASC 310-10'!E326="","",' Impaired Loans ASC 310-10'!E326)</f>
        <v/>
      </c>
      <c r="F326" s="575">
        <f>IF(' Impaired Loans ASC 310-10'!F326="","",' Impaired Loans ASC 310-10'!F326)</f>
        <v/>
      </c>
      <c r="G326" s="574">
        <f>IF(' Impaired Loans ASC 310-10'!G326="","",' Impaired Loans ASC 310-10'!G326)</f>
        <v/>
      </c>
      <c r="H326" s="574">
        <f>IF(' Impaired Loans ASC 310-10'!H326="","",' Impaired Loans ASC 310-10'!H326)</f>
        <v/>
      </c>
      <c r="I326" s="574">
        <f>IF(' Impaired Loans ASC 310-10'!I326="","",' Impaired Loans ASC 310-10'!I326)</f>
        <v/>
      </c>
      <c r="J326" s="574">
        <f>IF(' Impaired Loans ASC 310-10'!J326="","",' Impaired Loans ASC 310-10'!J326)</f>
        <v/>
      </c>
      <c r="K326" s="584" t="n"/>
      <c r="L326" s="578">
        <f>IFERROR(A326,"")</f>
        <v/>
      </c>
      <c r="M326" s="849">
        <f>IF(' Impaired Loans ASC 310-10'!A326="","",' Impaired Loans ASC 310-10'!K326)</f>
        <v/>
      </c>
      <c r="N326" s="580">
        <f>IF(' Impaired Loans ASC 310-10'!A326="","",' Impaired Loans ASC 310-10'!L326)</f>
        <v/>
      </c>
      <c r="O326" s="581">
        <f>IF(' Impaired Loans ASC 310-10'!A326="","",' Impaired Loans ASC 310-10'!M326)</f>
        <v/>
      </c>
      <c r="P326" s="582">
        <f>IF(' Impaired Loans ASC 310-10'!A326="","",' Impaired Loans ASC 310-10'!O326)</f>
        <v/>
      </c>
      <c r="Q326" s="583">
        <f>IF(' Impaired Loans ASC 310-10'!A326="","",' Impaired Loans ASC 310-10'!N326)</f>
        <v/>
      </c>
      <c r="R326" s="583">
        <f>IF(' Impaired Loans ASC 310-10'!A326="","",' Impaired Loans ASC 310-10'!P326)</f>
        <v/>
      </c>
      <c r="S326" s="583">
        <f>IF(' Impaired Loans ASC 310-10'!A326="","",' Impaired Loans ASC 310-10'!Q326)</f>
        <v/>
      </c>
    </row>
    <row r="327">
      <c r="A327" s="573">
        <f>IF(' Impaired Loans ASC 310-10'!A327="","",' Impaired Loans ASC 310-10'!A327)</f>
        <v/>
      </c>
      <c r="B327" s="573">
        <f>IF(' Impaired Loans ASC 310-10'!B327="","",' Impaired Loans ASC 310-10'!B327)</f>
        <v/>
      </c>
      <c r="C327" s="573">
        <f>IF(' Impaired Loans ASC 310-10'!C327="","",' Impaired Loans ASC 310-10'!C327)</f>
        <v/>
      </c>
      <c r="D327" s="573">
        <f>IF(' Impaired Loans ASC 310-10'!D327="","",' Impaired Loans ASC 310-10'!D327)</f>
        <v/>
      </c>
      <c r="E327" s="574">
        <f>IF(' Impaired Loans ASC 310-10'!E327="","",' Impaired Loans ASC 310-10'!E327)</f>
        <v/>
      </c>
      <c r="F327" s="575">
        <f>IF(' Impaired Loans ASC 310-10'!F327="","",' Impaired Loans ASC 310-10'!F327)</f>
        <v/>
      </c>
      <c r="G327" s="574">
        <f>IF(' Impaired Loans ASC 310-10'!G327="","",' Impaired Loans ASC 310-10'!G327)</f>
        <v/>
      </c>
      <c r="H327" s="574">
        <f>IF(' Impaired Loans ASC 310-10'!H327="","",' Impaired Loans ASC 310-10'!H327)</f>
        <v/>
      </c>
      <c r="I327" s="574">
        <f>IF(' Impaired Loans ASC 310-10'!I327="","",' Impaired Loans ASC 310-10'!I327)</f>
        <v/>
      </c>
      <c r="J327" s="574">
        <f>IF(' Impaired Loans ASC 310-10'!J327="","",' Impaired Loans ASC 310-10'!J327)</f>
        <v/>
      </c>
      <c r="K327" s="584" t="n"/>
      <c r="L327" s="578">
        <f>IFERROR(A327,"")</f>
        <v/>
      </c>
      <c r="M327" s="849">
        <f>IF(' Impaired Loans ASC 310-10'!A327="","",' Impaired Loans ASC 310-10'!K327)</f>
        <v/>
      </c>
      <c r="N327" s="580">
        <f>IF(' Impaired Loans ASC 310-10'!A327="","",' Impaired Loans ASC 310-10'!L327)</f>
        <v/>
      </c>
      <c r="O327" s="581">
        <f>IF(' Impaired Loans ASC 310-10'!A327="","",' Impaired Loans ASC 310-10'!M327)</f>
        <v/>
      </c>
      <c r="P327" s="582">
        <f>IF(' Impaired Loans ASC 310-10'!A327="","",' Impaired Loans ASC 310-10'!O327)</f>
        <v/>
      </c>
      <c r="Q327" s="583">
        <f>IF(' Impaired Loans ASC 310-10'!A327="","",' Impaired Loans ASC 310-10'!N327)</f>
        <v/>
      </c>
      <c r="R327" s="583">
        <f>IF(' Impaired Loans ASC 310-10'!A327="","",' Impaired Loans ASC 310-10'!P327)</f>
        <v/>
      </c>
      <c r="S327" s="583">
        <f>IF(' Impaired Loans ASC 310-10'!A327="","",' Impaired Loans ASC 310-10'!Q327)</f>
        <v/>
      </c>
    </row>
    <row r="328">
      <c r="A328" s="573">
        <f>IF(' Impaired Loans ASC 310-10'!A328="","",' Impaired Loans ASC 310-10'!A328)</f>
        <v/>
      </c>
      <c r="B328" s="573">
        <f>IF(' Impaired Loans ASC 310-10'!B328="","",' Impaired Loans ASC 310-10'!B328)</f>
        <v/>
      </c>
      <c r="C328" s="573">
        <f>IF(' Impaired Loans ASC 310-10'!C328="","",' Impaired Loans ASC 310-10'!C328)</f>
        <v/>
      </c>
      <c r="D328" s="573">
        <f>IF(' Impaired Loans ASC 310-10'!D328="","",' Impaired Loans ASC 310-10'!D328)</f>
        <v/>
      </c>
      <c r="E328" s="574">
        <f>IF(' Impaired Loans ASC 310-10'!E328="","",' Impaired Loans ASC 310-10'!E328)</f>
        <v/>
      </c>
      <c r="F328" s="575">
        <f>IF(' Impaired Loans ASC 310-10'!F328="","",' Impaired Loans ASC 310-10'!F328)</f>
        <v/>
      </c>
      <c r="G328" s="574">
        <f>IF(' Impaired Loans ASC 310-10'!G328="","",' Impaired Loans ASC 310-10'!G328)</f>
        <v/>
      </c>
      <c r="H328" s="574">
        <f>IF(' Impaired Loans ASC 310-10'!H328="","",' Impaired Loans ASC 310-10'!H328)</f>
        <v/>
      </c>
      <c r="I328" s="574">
        <f>IF(' Impaired Loans ASC 310-10'!I328="","",' Impaired Loans ASC 310-10'!I328)</f>
        <v/>
      </c>
      <c r="J328" s="574">
        <f>IF(' Impaired Loans ASC 310-10'!J328="","",' Impaired Loans ASC 310-10'!J328)</f>
        <v/>
      </c>
      <c r="K328" s="584" t="n"/>
      <c r="L328" s="578">
        <f>IFERROR(A328,"")</f>
        <v/>
      </c>
      <c r="M328" s="849">
        <f>IF(' Impaired Loans ASC 310-10'!A328="","",' Impaired Loans ASC 310-10'!K328)</f>
        <v/>
      </c>
      <c r="N328" s="580">
        <f>IF(' Impaired Loans ASC 310-10'!A328="","",' Impaired Loans ASC 310-10'!L328)</f>
        <v/>
      </c>
      <c r="O328" s="581">
        <f>IF(' Impaired Loans ASC 310-10'!A328="","",' Impaired Loans ASC 310-10'!M328)</f>
        <v/>
      </c>
      <c r="P328" s="582">
        <f>IF(' Impaired Loans ASC 310-10'!A328="","",' Impaired Loans ASC 310-10'!O328)</f>
        <v/>
      </c>
      <c r="Q328" s="583">
        <f>IF(' Impaired Loans ASC 310-10'!A328="","",' Impaired Loans ASC 310-10'!N328)</f>
        <v/>
      </c>
      <c r="R328" s="583">
        <f>IF(' Impaired Loans ASC 310-10'!A328="","",' Impaired Loans ASC 310-10'!P328)</f>
        <v/>
      </c>
      <c r="S328" s="583">
        <f>IF(' Impaired Loans ASC 310-10'!A328="","",' Impaired Loans ASC 310-10'!Q328)</f>
        <v/>
      </c>
    </row>
    <row r="329">
      <c r="A329" s="573">
        <f>IF(' Impaired Loans ASC 310-10'!A329="","",' Impaired Loans ASC 310-10'!A329)</f>
        <v/>
      </c>
      <c r="B329" s="573">
        <f>IF(' Impaired Loans ASC 310-10'!B329="","",' Impaired Loans ASC 310-10'!B329)</f>
        <v/>
      </c>
      <c r="C329" s="573">
        <f>IF(' Impaired Loans ASC 310-10'!C329="","",' Impaired Loans ASC 310-10'!C329)</f>
        <v/>
      </c>
      <c r="D329" s="573">
        <f>IF(' Impaired Loans ASC 310-10'!D329="","",' Impaired Loans ASC 310-10'!D329)</f>
        <v/>
      </c>
      <c r="E329" s="574">
        <f>IF(' Impaired Loans ASC 310-10'!E329="","",' Impaired Loans ASC 310-10'!E329)</f>
        <v/>
      </c>
      <c r="F329" s="575">
        <f>IF(' Impaired Loans ASC 310-10'!F329="","",' Impaired Loans ASC 310-10'!F329)</f>
        <v/>
      </c>
      <c r="G329" s="574">
        <f>IF(' Impaired Loans ASC 310-10'!G329="","",' Impaired Loans ASC 310-10'!G329)</f>
        <v/>
      </c>
      <c r="H329" s="574">
        <f>IF(' Impaired Loans ASC 310-10'!H329="","",' Impaired Loans ASC 310-10'!H329)</f>
        <v/>
      </c>
      <c r="I329" s="574">
        <f>IF(' Impaired Loans ASC 310-10'!I329="","",' Impaired Loans ASC 310-10'!I329)</f>
        <v/>
      </c>
      <c r="J329" s="574">
        <f>IF(' Impaired Loans ASC 310-10'!J329="","",' Impaired Loans ASC 310-10'!J329)</f>
        <v/>
      </c>
      <c r="K329" s="584" t="n"/>
      <c r="L329" s="578">
        <f>IFERROR(A329,"")</f>
        <v/>
      </c>
      <c r="M329" s="849">
        <f>IF(' Impaired Loans ASC 310-10'!A329="","",' Impaired Loans ASC 310-10'!K329)</f>
        <v/>
      </c>
      <c r="N329" s="580">
        <f>IF(' Impaired Loans ASC 310-10'!A329="","",' Impaired Loans ASC 310-10'!L329)</f>
        <v/>
      </c>
      <c r="O329" s="581">
        <f>IF(' Impaired Loans ASC 310-10'!A329="","",' Impaired Loans ASC 310-10'!M329)</f>
        <v/>
      </c>
      <c r="P329" s="582">
        <f>IF(' Impaired Loans ASC 310-10'!A329="","",' Impaired Loans ASC 310-10'!O329)</f>
        <v/>
      </c>
      <c r="Q329" s="583">
        <f>IF(' Impaired Loans ASC 310-10'!A329="","",' Impaired Loans ASC 310-10'!N329)</f>
        <v/>
      </c>
      <c r="R329" s="583">
        <f>IF(' Impaired Loans ASC 310-10'!A329="","",' Impaired Loans ASC 310-10'!P329)</f>
        <v/>
      </c>
      <c r="S329" s="583">
        <f>IF(' Impaired Loans ASC 310-10'!A329="","",' Impaired Loans ASC 310-10'!Q329)</f>
        <v/>
      </c>
    </row>
    <row r="330">
      <c r="A330" s="573">
        <f>IF(' Impaired Loans ASC 310-10'!A330="","",' Impaired Loans ASC 310-10'!A330)</f>
        <v/>
      </c>
      <c r="B330" s="573">
        <f>IF(' Impaired Loans ASC 310-10'!B330="","",' Impaired Loans ASC 310-10'!B330)</f>
        <v/>
      </c>
      <c r="C330" s="573">
        <f>IF(' Impaired Loans ASC 310-10'!C330="","",' Impaired Loans ASC 310-10'!C330)</f>
        <v/>
      </c>
      <c r="D330" s="573">
        <f>IF(' Impaired Loans ASC 310-10'!D330="","",' Impaired Loans ASC 310-10'!D330)</f>
        <v/>
      </c>
      <c r="E330" s="574">
        <f>IF(' Impaired Loans ASC 310-10'!E330="","",' Impaired Loans ASC 310-10'!E330)</f>
        <v/>
      </c>
      <c r="F330" s="575">
        <f>IF(' Impaired Loans ASC 310-10'!F330="","",' Impaired Loans ASC 310-10'!F330)</f>
        <v/>
      </c>
      <c r="G330" s="574">
        <f>IF(' Impaired Loans ASC 310-10'!G330="","",' Impaired Loans ASC 310-10'!G330)</f>
        <v/>
      </c>
      <c r="H330" s="574">
        <f>IF(' Impaired Loans ASC 310-10'!H330="","",' Impaired Loans ASC 310-10'!H330)</f>
        <v/>
      </c>
      <c r="I330" s="574">
        <f>IF(' Impaired Loans ASC 310-10'!I330="","",' Impaired Loans ASC 310-10'!I330)</f>
        <v/>
      </c>
      <c r="J330" s="574">
        <f>IF(' Impaired Loans ASC 310-10'!J330="","",' Impaired Loans ASC 310-10'!J330)</f>
        <v/>
      </c>
      <c r="K330" s="584" t="n"/>
      <c r="L330" s="578">
        <f>IFERROR(A330,"")</f>
        <v/>
      </c>
      <c r="M330" s="849">
        <f>IF(' Impaired Loans ASC 310-10'!A330="","",' Impaired Loans ASC 310-10'!K330)</f>
        <v/>
      </c>
      <c r="N330" s="580">
        <f>IF(' Impaired Loans ASC 310-10'!A330="","",' Impaired Loans ASC 310-10'!L330)</f>
        <v/>
      </c>
      <c r="O330" s="581">
        <f>IF(' Impaired Loans ASC 310-10'!A330="","",' Impaired Loans ASC 310-10'!M330)</f>
        <v/>
      </c>
      <c r="P330" s="582">
        <f>IF(' Impaired Loans ASC 310-10'!A330="","",' Impaired Loans ASC 310-10'!O330)</f>
        <v/>
      </c>
      <c r="Q330" s="583">
        <f>IF(' Impaired Loans ASC 310-10'!A330="","",' Impaired Loans ASC 310-10'!N330)</f>
        <v/>
      </c>
      <c r="R330" s="583">
        <f>IF(' Impaired Loans ASC 310-10'!A330="","",' Impaired Loans ASC 310-10'!P330)</f>
        <v/>
      </c>
      <c r="S330" s="583">
        <f>IF(' Impaired Loans ASC 310-10'!A330="","",' Impaired Loans ASC 310-10'!Q330)</f>
        <v/>
      </c>
    </row>
    <row r="331">
      <c r="A331" s="573">
        <f>IF(' Impaired Loans ASC 310-10'!A331="","",' Impaired Loans ASC 310-10'!A331)</f>
        <v/>
      </c>
      <c r="B331" s="573">
        <f>IF(' Impaired Loans ASC 310-10'!B331="","",' Impaired Loans ASC 310-10'!B331)</f>
        <v/>
      </c>
      <c r="C331" s="573">
        <f>IF(' Impaired Loans ASC 310-10'!C331="","",' Impaired Loans ASC 310-10'!C331)</f>
        <v/>
      </c>
      <c r="D331" s="573">
        <f>IF(' Impaired Loans ASC 310-10'!D331="","",' Impaired Loans ASC 310-10'!D331)</f>
        <v/>
      </c>
      <c r="E331" s="574">
        <f>IF(' Impaired Loans ASC 310-10'!E331="","",' Impaired Loans ASC 310-10'!E331)</f>
        <v/>
      </c>
      <c r="F331" s="575">
        <f>IF(' Impaired Loans ASC 310-10'!F331="","",' Impaired Loans ASC 310-10'!F331)</f>
        <v/>
      </c>
      <c r="G331" s="574">
        <f>IF(' Impaired Loans ASC 310-10'!G331="","",' Impaired Loans ASC 310-10'!G331)</f>
        <v/>
      </c>
      <c r="H331" s="574">
        <f>IF(' Impaired Loans ASC 310-10'!H331="","",' Impaired Loans ASC 310-10'!H331)</f>
        <v/>
      </c>
      <c r="I331" s="574">
        <f>IF(' Impaired Loans ASC 310-10'!I331="","",' Impaired Loans ASC 310-10'!I331)</f>
        <v/>
      </c>
      <c r="J331" s="574">
        <f>IF(' Impaired Loans ASC 310-10'!J331="","",' Impaired Loans ASC 310-10'!J331)</f>
        <v/>
      </c>
      <c r="K331" s="584" t="n"/>
      <c r="L331" s="578">
        <f>IFERROR(A331,"")</f>
        <v/>
      </c>
      <c r="M331" s="849">
        <f>IF(' Impaired Loans ASC 310-10'!A331="","",' Impaired Loans ASC 310-10'!K331)</f>
        <v/>
      </c>
      <c r="N331" s="580">
        <f>IF(' Impaired Loans ASC 310-10'!A331="","",' Impaired Loans ASC 310-10'!L331)</f>
        <v/>
      </c>
      <c r="O331" s="581">
        <f>IF(' Impaired Loans ASC 310-10'!A331="","",' Impaired Loans ASC 310-10'!M331)</f>
        <v/>
      </c>
      <c r="P331" s="582">
        <f>IF(' Impaired Loans ASC 310-10'!A331="","",' Impaired Loans ASC 310-10'!O331)</f>
        <v/>
      </c>
      <c r="Q331" s="583">
        <f>IF(' Impaired Loans ASC 310-10'!A331="","",' Impaired Loans ASC 310-10'!N331)</f>
        <v/>
      </c>
      <c r="R331" s="583">
        <f>IF(' Impaired Loans ASC 310-10'!A331="","",' Impaired Loans ASC 310-10'!P331)</f>
        <v/>
      </c>
      <c r="S331" s="583">
        <f>IF(' Impaired Loans ASC 310-10'!A331="","",' Impaired Loans ASC 310-10'!Q331)</f>
        <v/>
      </c>
    </row>
    <row r="332">
      <c r="A332" s="573">
        <f>IF(' Impaired Loans ASC 310-10'!A332="","",' Impaired Loans ASC 310-10'!A332)</f>
        <v/>
      </c>
      <c r="B332" s="573">
        <f>IF(' Impaired Loans ASC 310-10'!B332="","",' Impaired Loans ASC 310-10'!B332)</f>
        <v/>
      </c>
      <c r="C332" s="573">
        <f>IF(' Impaired Loans ASC 310-10'!C332="","",' Impaired Loans ASC 310-10'!C332)</f>
        <v/>
      </c>
      <c r="D332" s="573">
        <f>IF(' Impaired Loans ASC 310-10'!D332="","",' Impaired Loans ASC 310-10'!D332)</f>
        <v/>
      </c>
      <c r="E332" s="574">
        <f>IF(' Impaired Loans ASC 310-10'!E332="","",' Impaired Loans ASC 310-10'!E332)</f>
        <v/>
      </c>
      <c r="F332" s="575">
        <f>IF(' Impaired Loans ASC 310-10'!F332="","",' Impaired Loans ASC 310-10'!F332)</f>
        <v/>
      </c>
      <c r="G332" s="574">
        <f>IF(' Impaired Loans ASC 310-10'!G332="","",' Impaired Loans ASC 310-10'!G332)</f>
        <v/>
      </c>
      <c r="H332" s="574">
        <f>IF(' Impaired Loans ASC 310-10'!H332="","",' Impaired Loans ASC 310-10'!H332)</f>
        <v/>
      </c>
      <c r="I332" s="574">
        <f>IF(' Impaired Loans ASC 310-10'!I332="","",' Impaired Loans ASC 310-10'!I332)</f>
        <v/>
      </c>
      <c r="J332" s="574">
        <f>IF(' Impaired Loans ASC 310-10'!J332="","",' Impaired Loans ASC 310-10'!J332)</f>
        <v/>
      </c>
      <c r="K332" s="584" t="n"/>
      <c r="L332" s="578">
        <f>IFERROR(A332,"")</f>
        <v/>
      </c>
      <c r="M332" s="849">
        <f>IF(' Impaired Loans ASC 310-10'!A332="","",' Impaired Loans ASC 310-10'!K332)</f>
        <v/>
      </c>
      <c r="N332" s="580">
        <f>IF(' Impaired Loans ASC 310-10'!A332="","",' Impaired Loans ASC 310-10'!L332)</f>
        <v/>
      </c>
      <c r="O332" s="581">
        <f>IF(' Impaired Loans ASC 310-10'!A332="","",' Impaired Loans ASC 310-10'!M332)</f>
        <v/>
      </c>
      <c r="P332" s="582">
        <f>IF(' Impaired Loans ASC 310-10'!A332="","",' Impaired Loans ASC 310-10'!O332)</f>
        <v/>
      </c>
      <c r="Q332" s="583">
        <f>IF(' Impaired Loans ASC 310-10'!A332="","",' Impaired Loans ASC 310-10'!N332)</f>
        <v/>
      </c>
      <c r="R332" s="583">
        <f>IF(' Impaired Loans ASC 310-10'!A332="","",' Impaired Loans ASC 310-10'!P332)</f>
        <v/>
      </c>
      <c r="S332" s="583">
        <f>IF(' Impaired Loans ASC 310-10'!A332="","",' Impaired Loans ASC 310-10'!Q332)</f>
        <v/>
      </c>
    </row>
    <row r="333">
      <c r="A333" s="573">
        <f>IF(' Impaired Loans ASC 310-10'!A333="","",' Impaired Loans ASC 310-10'!A333)</f>
        <v/>
      </c>
      <c r="B333" s="573">
        <f>IF(' Impaired Loans ASC 310-10'!B333="","",' Impaired Loans ASC 310-10'!B333)</f>
        <v/>
      </c>
      <c r="C333" s="573">
        <f>IF(' Impaired Loans ASC 310-10'!C333="","",' Impaired Loans ASC 310-10'!C333)</f>
        <v/>
      </c>
      <c r="D333" s="573">
        <f>IF(' Impaired Loans ASC 310-10'!D333="","",' Impaired Loans ASC 310-10'!D333)</f>
        <v/>
      </c>
      <c r="E333" s="574">
        <f>IF(' Impaired Loans ASC 310-10'!E333="","",' Impaired Loans ASC 310-10'!E333)</f>
        <v/>
      </c>
      <c r="F333" s="575">
        <f>IF(' Impaired Loans ASC 310-10'!F333="","",' Impaired Loans ASC 310-10'!F333)</f>
        <v/>
      </c>
      <c r="G333" s="574">
        <f>IF(' Impaired Loans ASC 310-10'!G333="","",' Impaired Loans ASC 310-10'!G333)</f>
        <v/>
      </c>
      <c r="H333" s="574">
        <f>IF(' Impaired Loans ASC 310-10'!H333="","",' Impaired Loans ASC 310-10'!H333)</f>
        <v/>
      </c>
      <c r="I333" s="574">
        <f>IF(' Impaired Loans ASC 310-10'!I333="","",' Impaired Loans ASC 310-10'!I333)</f>
        <v/>
      </c>
      <c r="J333" s="574">
        <f>IF(' Impaired Loans ASC 310-10'!J333="","",' Impaired Loans ASC 310-10'!J333)</f>
        <v/>
      </c>
      <c r="K333" s="584" t="n"/>
      <c r="L333" s="578">
        <f>IFERROR(A333,"")</f>
        <v/>
      </c>
      <c r="M333" s="849">
        <f>IF(' Impaired Loans ASC 310-10'!A333="","",' Impaired Loans ASC 310-10'!K333)</f>
        <v/>
      </c>
      <c r="N333" s="580">
        <f>IF(' Impaired Loans ASC 310-10'!A333="","",' Impaired Loans ASC 310-10'!L333)</f>
        <v/>
      </c>
      <c r="O333" s="581">
        <f>IF(' Impaired Loans ASC 310-10'!A333="","",' Impaired Loans ASC 310-10'!M333)</f>
        <v/>
      </c>
      <c r="P333" s="582">
        <f>IF(' Impaired Loans ASC 310-10'!A333="","",' Impaired Loans ASC 310-10'!O333)</f>
        <v/>
      </c>
      <c r="Q333" s="583">
        <f>IF(' Impaired Loans ASC 310-10'!A333="","",' Impaired Loans ASC 310-10'!N333)</f>
        <v/>
      </c>
      <c r="R333" s="583">
        <f>IF(' Impaired Loans ASC 310-10'!A333="","",' Impaired Loans ASC 310-10'!P333)</f>
        <v/>
      </c>
      <c r="S333" s="583">
        <f>IF(' Impaired Loans ASC 310-10'!A333="","",' Impaired Loans ASC 310-10'!Q333)</f>
        <v/>
      </c>
    </row>
    <row r="334">
      <c r="A334" s="573">
        <f>IF(' Impaired Loans ASC 310-10'!A334="","",' Impaired Loans ASC 310-10'!A334)</f>
        <v/>
      </c>
      <c r="B334" s="573">
        <f>IF(' Impaired Loans ASC 310-10'!B334="","",' Impaired Loans ASC 310-10'!B334)</f>
        <v/>
      </c>
      <c r="C334" s="573">
        <f>IF(' Impaired Loans ASC 310-10'!C334="","",' Impaired Loans ASC 310-10'!C334)</f>
        <v/>
      </c>
      <c r="D334" s="573">
        <f>IF(' Impaired Loans ASC 310-10'!D334="","",' Impaired Loans ASC 310-10'!D334)</f>
        <v/>
      </c>
      <c r="E334" s="574">
        <f>IF(' Impaired Loans ASC 310-10'!E334="","",' Impaired Loans ASC 310-10'!E334)</f>
        <v/>
      </c>
      <c r="F334" s="575">
        <f>IF(' Impaired Loans ASC 310-10'!F334="","",' Impaired Loans ASC 310-10'!F334)</f>
        <v/>
      </c>
      <c r="G334" s="574">
        <f>IF(' Impaired Loans ASC 310-10'!G334="","",' Impaired Loans ASC 310-10'!G334)</f>
        <v/>
      </c>
      <c r="H334" s="574">
        <f>IF(' Impaired Loans ASC 310-10'!H334="","",' Impaired Loans ASC 310-10'!H334)</f>
        <v/>
      </c>
      <c r="I334" s="574">
        <f>IF(' Impaired Loans ASC 310-10'!I334="","",' Impaired Loans ASC 310-10'!I334)</f>
        <v/>
      </c>
      <c r="J334" s="574">
        <f>IF(' Impaired Loans ASC 310-10'!J334="","",' Impaired Loans ASC 310-10'!J334)</f>
        <v/>
      </c>
      <c r="K334" s="584" t="n"/>
      <c r="L334" s="578">
        <f>IFERROR(A334,"")</f>
        <v/>
      </c>
      <c r="M334" s="849">
        <f>IF(' Impaired Loans ASC 310-10'!A334="","",' Impaired Loans ASC 310-10'!K334)</f>
        <v/>
      </c>
      <c r="N334" s="580">
        <f>IF(' Impaired Loans ASC 310-10'!A334="","",' Impaired Loans ASC 310-10'!L334)</f>
        <v/>
      </c>
      <c r="O334" s="581">
        <f>IF(' Impaired Loans ASC 310-10'!A334="","",' Impaired Loans ASC 310-10'!M334)</f>
        <v/>
      </c>
      <c r="P334" s="582">
        <f>IF(' Impaired Loans ASC 310-10'!A334="","",' Impaired Loans ASC 310-10'!O334)</f>
        <v/>
      </c>
      <c r="Q334" s="583">
        <f>IF(' Impaired Loans ASC 310-10'!A334="","",' Impaired Loans ASC 310-10'!N334)</f>
        <v/>
      </c>
      <c r="R334" s="583">
        <f>IF(' Impaired Loans ASC 310-10'!A334="","",' Impaired Loans ASC 310-10'!P334)</f>
        <v/>
      </c>
      <c r="S334" s="583">
        <f>IF(' Impaired Loans ASC 310-10'!A334="","",' Impaired Loans ASC 310-10'!Q334)</f>
        <v/>
      </c>
    </row>
    <row r="335">
      <c r="A335" s="573">
        <f>IF(' Impaired Loans ASC 310-10'!A335="","",' Impaired Loans ASC 310-10'!A335)</f>
        <v/>
      </c>
      <c r="B335" s="573">
        <f>IF(' Impaired Loans ASC 310-10'!B335="","",' Impaired Loans ASC 310-10'!B335)</f>
        <v/>
      </c>
      <c r="C335" s="573">
        <f>IF(' Impaired Loans ASC 310-10'!C335="","",' Impaired Loans ASC 310-10'!C335)</f>
        <v/>
      </c>
      <c r="D335" s="573">
        <f>IF(' Impaired Loans ASC 310-10'!D335="","",' Impaired Loans ASC 310-10'!D335)</f>
        <v/>
      </c>
      <c r="E335" s="574">
        <f>IF(' Impaired Loans ASC 310-10'!E335="","",' Impaired Loans ASC 310-10'!E335)</f>
        <v/>
      </c>
      <c r="F335" s="575">
        <f>IF(' Impaired Loans ASC 310-10'!F335="","",' Impaired Loans ASC 310-10'!F335)</f>
        <v/>
      </c>
      <c r="G335" s="574">
        <f>IF(' Impaired Loans ASC 310-10'!G335="","",' Impaired Loans ASC 310-10'!G335)</f>
        <v/>
      </c>
      <c r="H335" s="574">
        <f>IF(' Impaired Loans ASC 310-10'!H335="","",' Impaired Loans ASC 310-10'!H335)</f>
        <v/>
      </c>
      <c r="I335" s="574">
        <f>IF(' Impaired Loans ASC 310-10'!I335="","",' Impaired Loans ASC 310-10'!I335)</f>
        <v/>
      </c>
      <c r="J335" s="574">
        <f>IF(' Impaired Loans ASC 310-10'!J335="","",' Impaired Loans ASC 310-10'!J335)</f>
        <v/>
      </c>
      <c r="K335" s="584" t="n"/>
      <c r="L335" s="578">
        <f>IFERROR(A335,"")</f>
        <v/>
      </c>
      <c r="M335" s="849">
        <f>IF(' Impaired Loans ASC 310-10'!A335="","",' Impaired Loans ASC 310-10'!K335)</f>
        <v/>
      </c>
      <c r="N335" s="580">
        <f>IF(' Impaired Loans ASC 310-10'!A335="","",' Impaired Loans ASC 310-10'!L335)</f>
        <v/>
      </c>
      <c r="O335" s="581">
        <f>IF(' Impaired Loans ASC 310-10'!A335="","",' Impaired Loans ASC 310-10'!M335)</f>
        <v/>
      </c>
      <c r="P335" s="582">
        <f>IF(' Impaired Loans ASC 310-10'!A335="","",' Impaired Loans ASC 310-10'!O335)</f>
        <v/>
      </c>
      <c r="Q335" s="583">
        <f>IF(' Impaired Loans ASC 310-10'!A335="","",' Impaired Loans ASC 310-10'!N335)</f>
        <v/>
      </c>
      <c r="R335" s="583">
        <f>IF(' Impaired Loans ASC 310-10'!A335="","",' Impaired Loans ASC 310-10'!P335)</f>
        <v/>
      </c>
      <c r="S335" s="583">
        <f>IF(' Impaired Loans ASC 310-10'!A335="","",' Impaired Loans ASC 310-10'!Q335)</f>
        <v/>
      </c>
    </row>
    <row r="336">
      <c r="A336" s="573">
        <f>IF(' Impaired Loans ASC 310-10'!A336="","",' Impaired Loans ASC 310-10'!A336)</f>
        <v/>
      </c>
      <c r="B336" s="573">
        <f>IF(' Impaired Loans ASC 310-10'!B336="","",' Impaired Loans ASC 310-10'!B336)</f>
        <v/>
      </c>
      <c r="C336" s="573">
        <f>IF(' Impaired Loans ASC 310-10'!C336="","",' Impaired Loans ASC 310-10'!C336)</f>
        <v/>
      </c>
      <c r="D336" s="573">
        <f>IF(' Impaired Loans ASC 310-10'!D336="","",' Impaired Loans ASC 310-10'!D336)</f>
        <v/>
      </c>
      <c r="E336" s="574">
        <f>IF(' Impaired Loans ASC 310-10'!E336="","",' Impaired Loans ASC 310-10'!E336)</f>
        <v/>
      </c>
      <c r="F336" s="575">
        <f>IF(' Impaired Loans ASC 310-10'!F336="","",' Impaired Loans ASC 310-10'!F336)</f>
        <v/>
      </c>
      <c r="G336" s="574">
        <f>IF(' Impaired Loans ASC 310-10'!G336="","",' Impaired Loans ASC 310-10'!G336)</f>
        <v/>
      </c>
      <c r="H336" s="574">
        <f>IF(' Impaired Loans ASC 310-10'!H336="","",' Impaired Loans ASC 310-10'!H336)</f>
        <v/>
      </c>
      <c r="I336" s="574">
        <f>IF(' Impaired Loans ASC 310-10'!I336="","",' Impaired Loans ASC 310-10'!I336)</f>
        <v/>
      </c>
      <c r="J336" s="574">
        <f>IF(' Impaired Loans ASC 310-10'!J336="","",' Impaired Loans ASC 310-10'!J336)</f>
        <v/>
      </c>
      <c r="K336" s="584" t="n"/>
      <c r="L336" s="578">
        <f>IFERROR(A336,"")</f>
        <v/>
      </c>
      <c r="M336" s="849">
        <f>IF(' Impaired Loans ASC 310-10'!A336="","",' Impaired Loans ASC 310-10'!K336)</f>
        <v/>
      </c>
      <c r="N336" s="580">
        <f>IF(' Impaired Loans ASC 310-10'!A336="","",' Impaired Loans ASC 310-10'!L336)</f>
        <v/>
      </c>
      <c r="O336" s="581">
        <f>IF(' Impaired Loans ASC 310-10'!A336="","",' Impaired Loans ASC 310-10'!M336)</f>
        <v/>
      </c>
      <c r="P336" s="582">
        <f>IF(' Impaired Loans ASC 310-10'!A336="","",' Impaired Loans ASC 310-10'!O336)</f>
        <v/>
      </c>
      <c r="Q336" s="583">
        <f>IF(' Impaired Loans ASC 310-10'!A336="","",' Impaired Loans ASC 310-10'!N336)</f>
        <v/>
      </c>
      <c r="R336" s="583">
        <f>IF(' Impaired Loans ASC 310-10'!A336="","",' Impaired Loans ASC 310-10'!P336)</f>
        <v/>
      </c>
      <c r="S336" s="583">
        <f>IF(' Impaired Loans ASC 310-10'!A336="","",' Impaired Loans ASC 310-10'!Q336)</f>
        <v/>
      </c>
    </row>
    <row r="337">
      <c r="A337" s="573">
        <f>IF(' Impaired Loans ASC 310-10'!A337="","",' Impaired Loans ASC 310-10'!A337)</f>
        <v/>
      </c>
      <c r="B337" s="573">
        <f>IF(' Impaired Loans ASC 310-10'!B337="","",' Impaired Loans ASC 310-10'!B337)</f>
        <v/>
      </c>
      <c r="C337" s="573">
        <f>IF(' Impaired Loans ASC 310-10'!C337="","",' Impaired Loans ASC 310-10'!C337)</f>
        <v/>
      </c>
      <c r="D337" s="573">
        <f>IF(' Impaired Loans ASC 310-10'!D337="","",' Impaired Loans ASC 310-10'!D337)</f>
        <v/>
      </c>
      <c r="E337" s="574">
        <f>IF(' Impaired Loans ASC 310-10'!E337="","",' Impaired Loans ASC 310-10'!E337)</f>
        <v/>
      </c>
      <c r="F337" s="575">
        <f>IF(' Impaired Loans ASC 310-10'!F337="","",' Impaired Loans ASC 310-10'!F337)</f>
        <v/>
      </c>
      <c r="G337" s="574">
        <f>IF(' Impaired Loans ASC 310-10'!G337="","",' Impaired Loans ASC 310-10'!G337)</f>
        <v/>
      </c>
      <c r="H337" s="574">
        <f>IF(' Impaired Loans ASC 310-10'!H337="","",' Impaired Loans ASC 310-10'!H337)</f>
        <v/>
      </c>
      <c r="I337" s="574">
        <f>IF(' Impaired Loans ASC 310-10'!I337="","",' Impaired Loans ASC 310-10'!I337)</f>
        <v/>
      </c>
      <c r="J337" s="574">
        <f>IF(' Impaired Loans ASC 310-10'!J337="","",' Impaired Loans ASC 310-10'!J337)</f>
        <v/>
      </c>
      <c r="K337" s="584" t="n"/>
      <c r="L337" s="578">
        <f>IFERROR(A337,"")</f>
        <v/>
      </c>
      <c r="M337" s="849">
        <f>IF(' Impaired Loans ASC 310-10'!A337="","",' Impaired Loans ASC 310-10'!K337)</f>
        <v/>
      </c>
      <c r="N337" s="580">
        <f>IF(' Impaired Loans ASC 310-10'!A337="","",' Impaired Loans ASC 310-10'!L337)</f>
        <v/>
      </c>
      <c r="O337" s="581">
        <f>IF(' Impaired Loans ASC 310-10'!A337="","",' Impaired Loans ASC 310-10'!M337)</f>
        <v/>
      </c>
      <c r="P337" s="582">
        <f>IF(' Impaired Loans ASC 310-10'!A337="","",' Impaired Loans ASC 310-10'!O337)</f>
        <v/>
      </c>
      <c r="Q337" s="583">
        <f>IF(' Impaired Loans ASC 310-10'!A337="","",' Impaired Loans ASC 310-10'!N337)</f>
        <v/>
      </c>
      <c r="R337" s="583">
        <f>IF(' Impaired Loans ASC 310-10'!A337="","",' Impaired Loans ASC 310-10'!P337)</f>
        <v/>
      </c>
      <c r="S337" s="583">
        <f>IF(' Impaired Loans ASC 310-10'!A337="","",' Impaired Loans ASC 310-10'!Q337)</f>
        <v/>
      </c>
    </row>
    <row r="338">
      <c r="A338" s="573">
        <f>IF(' Impaired Loans ASC 310-10'!A338="","",' Impaired Loans ASC 310-10'!A338)</f>
        <v/>
      </c>
      <c r="B338" s="573">
        <f>IF(' Impaired Loans ASC 310-10'!B338="","",' Impaired Loans ASC 310-10'!B338)</f>
        <v/>
      </c>
      <c r="C338" s="573">
        <f>IF(' Impaired Loans ASC 310-10'!C338="","",' Impaired Loans ASC 310-10'!C338)</f>
        <v/>
      </c>
      <c r="D338" s="573">
        <f>IF(' Impaired Loans ASC 310-10'!D338="","",' Impaired Loans ASC 310-10'!D338)</f>
        <v/>
      </c>
      <c r="E338" s="574">
        <f>IF(' Impaired Loans ASC 310-10'!E338="","",' Impaired Loans ASC 310-10'!E338)</f>
        <v/>
      </c>
      <c r="F338" s="575">
        <f>IF(' Impaired Loans ASC 310-10'!F338="","",' Impaired Loans ASC 310-10'!F338)</f>
        <v/>
      </c>
      <c r="G338" s="574">
        <f>IF(' Impaired Loans ASC 310-10'!G338="","",' Impaired Loans ASC 310-10'!G338)</f>
        <v/>
      </c>
      <c r="H338" s="574">
        <f>IF(' Impaired Loans ASC 310-10'!H338="","",' Impaired Loans ASC 310-10'!H338)</f>
        <v/>
      </c>
      <c r="I338" s="574">
        <f>IF(' Impaired Loans ASC 310-10'!I338="","",' Impaired Loans ASC 310-10'!I338)</f>
        <v/>
      </c>
      <c r="J338" s="574">
        <f>IF(' Impaired Loans ASC 310-10'!J338="","",' Impaired Loans ASC 310-10'!J338)</f>
        <v/>
      </c>
      <c r="K338" s="584" t="n"/>
      <c r="L338" s="578">
        <f>IFERROR(A338,"")</f>
        <v/>
      </c>
      <c r="M338" s="849">
        <f>IF(' Impaired Loans ASC 310-10'!A338="","",' Impaired Loans ASC 310-10'!K338)</f>
        <v/>
      </c>
      <c r="N338" s="580">
        <f>IF(' Impaired Loans ASC 310-10'!A338="","",' Impaired Loans ASC 310-10'!L338)</f>
        <v/>
      </c>
      <c r="O338" s="581">
        <f>IF(' Impaired Loans ASC 310-10'!A338="","",' Impaired Loans ASC 310-10'!M338)</f>
        <v/>
      </c>
      <c r="P338" s="582">
        <f>IF(' Impaired Loans ASC 310-10'!A338="","",' Impaired Loans ASC 310-10'!O338)</f>
        <v/>
      </c>
      <c r="Q338" s="583">
        <f>IF(' Impaired Loans ASC 310-10'!A338="","",' Impaired Loans ASC 310-10'!N338)</f>
        <v/>
      </c>
      <c r="R338" s="583">
        <f>IF(' Impaired Loans ASC 310-10'!A338="","",' Impaired Loans ASC 310-10'!P338)</f>
        <v/>
      </c>
      <c r="S338" s="583">
        <f>IF(' Impaired Loans ASC 310-10'!A338="","",' Impaired Loans ASC 310-10'!Q338)</f>
        <v/>
      </c>
    </row>
    <row r="339">
      <c r="A339" s="573">
        <f>IF(' Impaired Loans ASC 310-10'!A339="","",' Impaired Loans ASC 310-10'!A339)</f>
        <v/>
      </c>
      <c r="B339" s="573">
        <f>IF(' Impaired Loans ASC 310-10'!B339="","",' Impaired Loans ASC 310-10'!B339)</f>
        <v/>
      </c>
      <c r="C339" s="573">
        <f>IF(' Impaired Loans ASC 310-10'!C339="","",' Impaired Loans ASC 310-10'!C339)</f>
        <v/>
      </c>
      <c r="D339" s="573">
        <f>IF(' Impaired Loans ASC 310-10'!D339="","",' Impaired Loans ASC 310-10'!D339)</f>
        <v/>
      </c>
      <c r="E339" s="574">
        <f>IF(' Impaired Loans ASC 310-10'!E339="","",' Impaired Loans ASC 310-10'!E339)</f>
        <v/>
      </c>
      <c r="F339" s="575">
        <f>IF(' Impaired Loans ASC 310-10'!F339="","",' Impaired Loans ASC 310-10'!F339)</f>
        <v/>
      </c>
      <c r="G339" s="574">
        <f>IF(' Impaired Loans ASC 310-10'!G339="","",' Impaired Loans ASC 310-10'!G339)</f>
        <v/>
      </c>
      <c r="H339" s="574">
        <f>IF(' Impaired Loans ASC 310-10'!H339="","",' Impaired Loans ASC 310-10'!H339)</f>
        <v/>
      </c>
      <c r="I339" s="574">
        <f>IF(' Impaired Loans ASC 310-10'!I339="","",' Impaired Loans ASC 310-10'!I339)</f>
        <v/>
      </c>
      <c r="J339" s="574">
        <f>IF(' Impaired Loans ASC 310-10'!J339="","",' Impaired Loans ASC 310-10'!J339)</f>
        <v/>
      </c>
      <c r="K339" s="584" t="n"/>
      <c r="L339" s="578">
        <f>IFERROR(A339,"")</f>
        <v/>
      </c>
      <c r="M339" s="849">
        <f>IF(' Impaired Loans ASC 310-10'!A339="","",' Impaired Loans ASC 310-10'!K339)</f>
        <v/>
      </c>
      <c r="N339" s="580">
        <f>IF(' Impaired Loans ASC 310-10'!A339="","",' Impaired Loans ASC 310-10'!L339)</f>
        <v/>
      </c>
      <c r="O339" s="581">
        <f>IF(' Impaired Loans ASC 310-10'!A339="","",' Impaired Loans ASC 310-10'!M339)</f>
        <v/>
      </c>
      <c r="P339" s="582">
        <f>IF(' Impaired Loans ASC 310-10'!A339="","",' Impaired Loans ASC 310-10'!O339)</f>
        <v/>
      </c>
      <c r="Q339" s="583">
        <f>IF(' Impaired Loans ASC 310-10'!A339="","",' Impaired Loans ASC 310-10'!N339)</f>
        <v/>
      </c>
      <c r="R339" s="583">
        <f>IF(' Impaired Loans ASC 310-10'!A339="","",' Impaired Loans ASC 310-10'!P339)</f>
        <v/>
      </c>
      <c r="S339" s="583">
        <f>IF(' Impaired Loans ASC 310-10'!A339="","",' Impaired Loans ASC 310-10'!Q339)</f>
        <v/>
      </c>
    </row>
    <row r="340">
      <c r="A340" s="573">
        <f>IF(' Impaired Loans ASC 310-10'!A340="","",' Impaired Loans ASC 310-10'!A340)</f>
        <v/>
      </c>
      <c r="B340" s="573">
        <f>IF(' Impaired Loans ASC 310-10'!B340="","",' Impaired Loans ASC 310-10'!B340)</f>
        <v/>
      </c>
      <c r="C340" s="573">
        <f>IF(' Impaired Loans ASC 310-10'!C340="","",' Impaired Loans ASC 310-10'!C340)</f>
        <v/>
      </c>
      <c r="D340" s="573">
        <f>IF(' Impaired Loans ASC 310-10'!D340="","",' Impaired Loans ASC 310-10'!D340)</f>
        <v/>
      </c>
      <c r="E340" s="574">
        <f>IF(' Impaired Loans ASC 310-10'!E340="","",' Impaired Loans ASC 310-10'!E340)</f>
        <v/>
      </c>
      <c r="F340" s="575">
        <f>IF(' Impaired Loans ASC 310-10'!F340="","",' Impaired Loans ASC 310-10'!F340)</f>
        <v/>
      </c>
      <c r="G340" s="574">
        <f>IF(' Impaired Loans ASC 310-10'!G340="","",' Impaired Loans ASC 310-10'!G340)</f>
        <v/>
      </c>
      <c r="H340" s="574">
        <f>IF(' Impaired Loans ASC 310-10'!H340="","",' Impaired Loans ASC 310-10'!H340)</f>
        <v/>
      </c>
      <c r="I340" s="574">
        <f>IF(' Impaired Loans ASC 310-10'!I340="","",' Impaired Loans ASC 310-10'!I340)</f>
        <v/>
      </c>
      <c r="J340" s="574">
        <f>IF(' Impaired Loans ASC 310-10'!J340="","",' Impaired Loans ASC 310-10'!J340)</f>
        <v/>
      </c>
      <c r="K340" s="584" t="n"/>
      <c r="L340" s="578">
        <f>IFERROR(A340,"")</f>
        <v/>
      </c>
      <c r="M340" s="849">
        <f>IF(' Impaired Loans ASC 310-10'!A340="","",' Impaired Loans ASC 310-10'!K340)</f>
        <v/>
      </c>
      <c r="N340" s="580">
        <f>IF(' Impaired Loans ASC 310-10'!A340="","",' Impaired Loans ASC 310-10'!L340)</f>
        <v/>
      </c>
      <c r="O340" s="581">
        <f>IF(' Impaired Loans ASC 310-10'!A340="","",' Impaired Loans ASC 310-10'!M340)</f>
        <v/>
      </c>
      <c r="P340" s="582">
        <f>IF(' Impaired Loans ASC 310-10'!A340="","",' Impaired Loans ASC 310-10'!O340)</f>
        <v/>
      </c>
      <c r="Q340" s="583">
        <f>IF(' Impaired Loans ASC 310-10'!A340="","",' Impaired Loans ASC 310-10'!N340)</f>
        <v/>
      </c>
      <c r="R340" s="583">
        <f>IF(' Impaired Loans ASC 310-10'!A340="","",' Impaired Loans ASC 310-10'!P340)</f>
        <v/>
      </c>
      <c r="S340" s="583">
        <f>IF(' Impaired Loans ASC 310-10'!A340="","",' Impaired Loans ASC 310-10'!Q340)</f>
        <v/>
      </c>
    </row>
    <row r="341">
      <c r="A341" s="573">
        <f>IF(' Impaired Loans ASC 310-10'!A341="","",' Impaired Loans ASC 310-10'!A341)</f>
        <v/>
      </c>
      <c r="B341" s="573">
        <f>IF(' Impaired Loans ASC 310-10'!B341="","",' Impaired Loans ASC 310-10'!B341)</f>
        <v/>
      </c>
      <c r="C341" s="573">
        <f>IF(' Impaired Loans ASC 310-10'!C341="","",' Impaired Loans ASC 310-10'!C341)</f>
        <v/>
      </c>
      <c r="D341" s="573">
        <f>IF(' Impaired Loans ASC 310-10'!D341="","",' Impaired Loans ASC 310-10'!D341)</f>
        <v/>
      </c>
      <c r="E341" s="574">
        <f>IF(' Impaired Loans ASC 310-10'!E341="","",' Impaired Loans ASC 310-10'!E341)</f>
        <v/>
      </c>
      <c r="F341" s="575">
        <f>IF(' Impaired Loans ASC 310-10'!F341="","",' Impaired Loans ASC 310-10'!F341)</f>
        <v/>
      </c>
      <c r="G341" s="574">
        <f>IF(' Impaired Loans ASC 310-10'!G341="","",' Impaired Loans ASC 310-10'!G341)</f>
        <v/>
      </c>
      <c r="H341" s="574">
        <f>IF(' Impaired Loans ASC 310-10'!H341="","",' Impaired Loans ASC 310-10'!H341)</f>
        <v/>
      </c>
      <c r="I341" s="574">
        <f>IF(' Impaired Loans ASC 310-10'!I341="","",' Impaired Loans ASC 310-10'!I341)</f>
        <v/>
      </c>
      <c r="J341" s="574">
        <f>IF(' Impaired Loans ASC 310-10'!J341="","",' Impaired Loans ASC 310-10'!J341)</f>
        <v/>
      </c>
      <c r="K341" s="584" t="n"/>
      <c r="L341" s="578">
        <f>IFERROR(A341,"")</f>
        <v/>
      </c>
      <c r="M341" s="849">
        <f>IF(' Impaired Loans ASC 310-10'!A341="","",' Impaired Loans ASC 310-10'!K341)</f>
        <v/>
      </c>
      <c r="N341" s="580">
        <f>IF(' Impaired Loans ASC 310-10'!A341="","",' Impaired Loans ASC 310-10'!L341)</f>
        <v/>
      </c>
      <c r="O341" s="581">
        <f>IF(' Impaired Loans ASC 310-10'!A341="","",' Impaired Loans ASC 310-10'!M341)</f>
        <v/>
      </c>
      <c r="P341" s="582">
        <f>IF(' Impaired Loans ASC 310-10'!A341="","",' Impaired Loans ASC 310-10'!O341)</f>
        <v/>
      </c>
      <c r="Q341" s="583">
        <f>IF(' Impaired Loans ASC 310-10'!A341="","",' Impaired Loans ASC 310-10'!N341)</f>
        <v/>
      </c>
      <c r="R341" s="583">
        <f>IF(' Impaired Loans ASC 310-10'!A341="","",' Impaired Loans ASC 310-10'!P341)</f>
        <v/>
      </c>
      <c r="S341" s="583">
        <f>IF(' Impaired Loans ASC 310-10'!A341="","",' Impaired Loans ASC 310-10'!Q341)</f>
        <v/>
      </c>
    </row>
    <row r="342">
      <c r="A342" s="573">
        <f>IF(' Impaired Loans ASC 310-10'!A342="","",' Impaired Loans ASC 310-10'!A342)</f>
        <v/>
      </c>
      <c r="B342" s="573">
        <f>IF(' Impaired Loans ASC 310-10'!B342="","",' Impaired Loans ASC 310-10'!B342)</f>
        <v/>
      </c>
      <c r="C342" s="573">
        <f>IF(' Impaired Loans ASC 310-10'!C342="","",' Impaired Loans ASC 310-10'!C342)</f>
        <v/>
      </c>
      <c r="D342" s="573">
        <f>IF(' Impaired Loans ASC 310-10'!D342="","",' Impaired Loans ASC 310-10'!D342)</f>
        <v/>
      </c>
      <c r="E342" s="574">
        <f>IF(' Impaired Loans ASC 310-10'!E342="","",' Impaired Loans ASC 310-10'!E342)</f>
        <v/>
      </c>
      <c r="F342" s="575">
        <f>IF(' Impaired Loans ASC 310-10'!F342="","",' Impaired Loans ASC 310-10'!F342)</f>
        <v/>
      </c>
      <c r="G342" s="574">
        <f>IF(' Impaired Loans ASC 310-10'!G342="","",' Impaired Loans ASC 310-10'!G342)</f>
        <v/>
      </c>
      <c r="H342" s="574">
        <f>IF(' Impaired Loans ASC 310-10'!H342="","",' Impaired Loans ASC 310-10'!H342)</f>
        <v/>
      </c>
      <c r="I342" s="574">
        <f>IF(' Impaired Loans ASC 310-10'!I342="","",' Impaired Loans ASC 310-10'!I342)</f>
        <v/>
      </c>
      <c r="J342" s="574">
        <f>IF(' Impaired Loans ASC 310-10'!J342="","",' Impaired Loans ASC 310-10'!J342)</f>
        <v/>
      </c>
      <c r="K342" s="584" t="n"/>
      <c r="L342" s="578">
        <f>IFERROR(A342,"")</f>
        <v/>
      </c>
      <c r="M342" s="849">
        <f>IF(' Impaired Loans ASC 310-10'!A342="","",' Impaired Loans ASC 310-10'!K342)</f>
        <v/>
      </c>
      <c r="N342" s="580">
        <f>IF(' Impaired Loans ASC 310-10'!A342="","",' Impaired Loans ASC 310-10'!L342)</f>
        <v/>
      </c>
      <c r="O342" s="581">
        <f>IF(' Impaired Loans ASC 310-10'!A342="","",' Impaired Loans ASC 310-10'!M342)</f>
        <v/>
      </c>
      <c r="P342" s="582">
        <f>IF(' Impaired Loans ASC 310-10'!A342="","",' Impaired Loans ASC 310-10'!O342)</f>
        <v/>
      </c>
      <c r="Q342" s="583">
        <f>IF(' Impaired Loans ASC 310-10'!A342="","",' Impaired Loans ASC 310-10'!N342)</f>
        <v/>
      </c>
      <c r="R342" s="583">
        <f>IF(' Impaired Loans ASC 310-10'!A342="","",' Impaired Loans ASC 310-10'!P342)</f>
        <v/>
      </c>
      <c r="S342" s="583">
        <f>IF(' Impaired Loans ASC 310-10'!A342="","",' Impaired Loans ASC 310-10'!Q342)</f>
        <v/>
      </c>
    </row>
    <row r="343">
      <c r="A343" s="573">
        <f>IF(' Impaired Loans ASC 310-10'!A343="","",' Impaired Loans ASC 310-10'!A343)</f>
        <v/>
      </c>
      <c r="B343" s="573">
        <f>IF(' Impaired Loans ASC 310-10'!B343="","",' Impaired Loans ASC 310-10'!B343)</f>
        <v/>
      </c>
      <c r="C343" s="573">
        <f>IF(' Impaired Loans ASC 310-10'!C343="","",' Impaired Loans ASC 310-10'!C343)</f>
        <v/>
      </c>
      <c r="D343" s="573">
        <f>IF(' Impaired Loans ASC 310-10'!D343="","",' Impaired Loans ASC 310-10'!D343)</f>
        <v/>
      </c>
      <c r="E343" s="574">
        <f>IF(' Impaired Loans ASC 310-10'!E343="","",' Impaired Loans ASC 310-10'!E343)</f>
        <v/>
      </c>
      <c r="F343" s="575">
        <f>IF(' Impaired Loans ASC 310-10'!F343="","",' Impaired Loans ASC 310-10'!F343)</f>
        <v/>
      </c>
      <c r="G343" s="574">
        <f>IF(' Impaired Loans ASC 310-10'!G343="","",' Impaired Loans ASC 310-10'!G343)</f>
        <v/>
      </c>
      <c r="H343" s="574">
        <f>IF(' Impaired Loans ASC 310-10'!H343="","",' Impaired Loans ASC 310-10'!H343)</f>
        <v/>
      </c>
      <c r="I343" s="574">
        <f>IF(' Impaired Loans ASC 310-10'!I343="","",' Impaired Loans ASC 310-10'!I343)</f>
        <v/>
      </c>
      <c r="J343" s="574">
        <f>IF(' Impaired Loans ASC 310-10'!J343="","",' Impaired Loans ASC 310-10'!J343)</f>
        <v/>
      </c>
      <c r="K343" s="584" t="n"/>
      <c r="L343" s="578">
        <f>IFERROR(A343,"")</f>
        <v/>
      </c>
      <c r="M343" s="849">
        <f>IF(' Impaired Loans ASC 310-10'!A343="","",' Impaired Loans ASC 310-10'!K343)</f>
        <v/>
      </c>
      <c r="N343" s="580">
        <f>IF(' Impaired Loans ASC 310-10'!A343="","",' Impaired Loans ASC 310-10'!L343)</f>
        <v/>
      </c>
      <c r="O343" s="581">
        <f>IF(' Impaired Loans ASC 310-10'!A343="","",' Impaired Loans ASC 310-10'!M343)</f>
        <v/>
      </c>
      <c r="P343" s="582">
        <f>IF(' Impaired Loans ASC 310-10'!A343="","",' Impaired Loans ASC 310-10'!O343)</f>
        <v/>
      </c>
      <c r="Q343" s="583">
        <f>IF(' Impaired Loans ASC 310-10'!A343="","",' Impaired Loans ASC 310-10'!N343)</f>
        <v/>
      </c>
      <c r="R343" s="583">
        <f>IF(' Impaired Loans ASC 310-10'!A343="","",' Impaired Loans ASC 310-10'!P343)</f>
        <v/>
      </c>
      <c r="S343" s="583">
        <f>IF(' Impaired Loans ASC 310-10'!A343="","",' Impaired Loans ASC 310-10'!Q343)</f>
        <v/>
      </c>
    </row>
    <row r="344">
      <c r="A344" s="573">
        <f>IF(' Impaired Loans ASC 310-10'!A344="","",' Impaired Loans ASC 310-10'!A344)</f>
        <v/>
      </c>
      <c r="B344" s="573">
        <f>IF(' Impaired Loans ASC 310-10'!B344="","",' Impaired Loans ASC 310-10'!B344)</f>
        <v/>
      </c>
      <c r="C344" s="573">
        <f>IF(' Impaired Loans ASC 310-10'!C344="","",' Impaired Loans ASC 310-10'!C344)</f>
        <v/>
      </c>
      <c r="D344" s="573">
        <f>IF(' Impaired Loans ASC 310-10'!D344="","",' Impaired Loans ASC 310-10'!D344)</f>
        <v/>
      </c>
      <c r="E344" s="574">
        <f>IF(' Impaired Loans ASC 310-10'!E344="","",' Impaired Loans ASC 310-10'!E344)</f>
        <v/>
      </c>
      <c r="F344" s="575">
        <f>IF(' Impaired Loans ASC 310-10'!F344="","",' Impaired Loans ASC 310-10'!F344)</f>
        <v/>
      </c>
      <c r="G344" s="574">
        <f>IF(' Impaired Loans ASC 310-10'!G344="","",' Impaired Loans ASC 310-10'!G344)</f>
        <v/>
      </c>
      <c r="H344" s="574">
        <f>IF(' Impaired Loans ASC 310-10'!H344="","",' Impaired Loans ASC 310-10'!H344)</f>
        <v/>
      </c>
      <c r="I344" s="574">
        <f>IF(' Impaired Loans ASC 310-10'!I344="","",' Impaired Loans ASC 310-10'!I344)</f>
        <v/>
      </c>
      <c r="J344" s="574">
        <f>IF(' Impaired Loans ASC 310-10'!J344="","",' Impaired Loans ASC 310-10'!J344)</f>
        <v/>
      </c>
      <c r="K344" s="584" t="n"/>
      <c r="L344" s="578">
        <f>IFERROR(A344,"")</f>
        <v/>
      </c>
      <c r="M344" s="849">
        <f>IF(' Impaired Loans ASC 310-10'!A344="","",' Impaired Loans ASC 310-10'!K344)</f>
        <v/>
      </c>
      <c r="N344" s="580">
        <f>IF(' Impaired Loans ASC 310-10'!A344="","",' Impaired Loans ASC 310-10'!L344)</f>
        <v/>
      </c>
      <c r="O344" s="581">
        <f>IF(' Impaired Loans ASC 310-10'!A344="","",' Impaired Loans ASC 310-10'!M344)</f>
        <v/>
      </c>
      <c r="P344" s="582">
        <f>IF(' Impaired Loans ASC 310-10'!A344="","",' Impaired Loans ASC 310-10'!O344)</f>
        <v/>
      </c>
      <c r="Q344" s="583">
        <f>IF(' Impaired Loans ASC 310-10'!A344="","",' Impaired Loans ASC 310-10'!N344)</f>
        <v/>
      </c>
      <c r="R344" s="583">
        <f>IF(' Impaired Loans ASC 310-10'!A344="","",' Impaired Loans ASC 310-10'!P344)</f>
        <v/>
      </c>
      <c r="S344" s="583">
        <f>IF(' Impaired Loans ASC 310-10'!A344="","",' Impaired Loans ASC 310-10'!Q344)</f>
        <v/>
      </c>
    </row>
    <row r="345">
      <c r="A345" s="573">
        <f>IF(' Impaired Loans ASC 310-10'!A345="","",' Impaired Loans ASC 310-10'!A345)</f>
        <v/>
      </c>
      <c r="B345" s="573">
        <f>IF(' Impaired Loans ASC 310-10'!B345="","",' Impaired Loans ASC 310-10'!B345)</f>
        <v/>
      </c>
      <c r="C345" s="573">
        <f>IF(' Impaired Loans ASC 310-10'!C345="","",' Impaired Loans ASC 310-10'!C345)</f>
        <v/>
      </c>
      <c r="D345" s="573">
        <f>IF(' Impaired Loans ASC 310-10'!D345="","",' Impaired Loans ASC 310-10'!D345)</f>
        <v/>
      </c>
      <c r="E345" s="574">
        <f>IF(' Impaired Loans ASC 310-10'!E345="","",' Impaired Loans ASC 310-10'!E345)</f>
        <v/>
      </c>
      <c r="F345" s="575">
        <f>IF(' Impaired Loans ASC 310-10'!F345="","",' Impaired Loans ASC 310-10'!F345)</f>
        <v/>
      </c>
      <c r="G345" s="574">
        <f>IF(' Impaired Loans ASC 310-10'!G345="","",' Impaired Loans ASC 310-10'!G345)</f>
        <v/>
      </c>
      <c r="H345" s="574">
        <f>IF(' Impaired Loans ASC 310-10'!H345="","",' Impaired Loans ASC 310-10'!H345)</f>
        <v/>
      </c>
      <c r="I345" s="574">
        <f>IF(' Impaired Loans ASC 310-10'!I345="","",' Impaired Loans ASC 310-10'!I345)</f>
        <v/>
      </c>
      <c r="J345" s="574">
        <f>IF(' Impaired Loans ASC 310-10'!J345="","",' Impaired Loans ASC 310-10'!J345)</f>
        <v/>
      </c>
      <c r="K345" s="584" t="n"/>
      <c r="L345" s="578">
        <f>IFERROR(A345,"")</f>
        <v/>
      </c>
      <c r="M345" s="849">
        <f>IF(' Impaired Loans ASC 310-10'!A345="","",' Impaired Loans ASC 310-10'!K345)</f>
        <v/>
      </c>
      <c r="N345" s="580">
        <f>IF(' Impaired Loans ASC 310-10'!A345="","",' Impaired Loans ASC 310-10'!L345)</f>
        <v/>
      </c>
      <c r="O345" s="581">
        <f>IF(' Impaired Loans ASC 310-10'!A345="","",' Impaired Loans ASC 310-10'!M345)</f>
        <v/>
      </c>
      <c r="P345" s="582">
        <f>IF(' Impaired Loans ASC 310-10'!A345="","",' Impaired Loans ASC 310-10'!O345)</f>
        <v/>
      </c>
      <c r="Q345" s="583">
        <f>IF(' Impaired Loans ASC 310-10'!A345="","",' Impaired Loans ASC 310-10'!N345)</f>
        <v/>
      </c>
      <c r="R345" s="583">
        <f>IF(' Impaired Loans ASC 310-10'!A345="","",' Impaired Loans ASC 310-10'!P345)</f>
        <v/>
      </c>
      <c r="S345" s="583">
        <f>IF(' Impaired Loans ASC 310-10'!A345="","",' Impaired Loans ASC 310-10'!Q345)</f>
        <v/>
      </c>
    </row>
    <row r="346">
      <c r="A346" s="573">
        <f>IF(' Impaired Loans ASC 310-10'!A346="","",' Impaired Loans ASC 310-10'!A346)</f>
        <v/>
      </c>
      <c r="B346" s="573">
        <f>IF(' Impaired Loans ASC 310-10'!B346="","",' Impaired Loans ASC 310-10'!B346)</f>
        <v/>
      </c>
      <c r="C346" s="573">
        <f>IF(' Impaired Loans ASC 310-10'!C346="","",' Impaired Loans ASC 310-10'!C346)</f>
        <v/>
      </c>
      <c r="D346" s="573">
        <f>IF(' Impaired Loans ASC 310-10'!D346="","",' Impaired Loans ASC 310-10'!D346)</f>
        <v/>
      </c>
      <c r="E346" s="574">
        <f>IF(' Impaired Loans ASC 310-10'!E346="","",' Impaired Loans ASC 310-10'!E346)</f>
        <v/>
      </c>
      <c r="F346" s="575">
        <f>IF(' Impaired Loans ASC 310-10'!F346="","",' Impaired Loans ASC 310-10'!F346)</f>
        <v/>
      </c>
      <c r="G346" s="574">
        <f>IF(' Impaired Loans ASC 310-10'!G346="","",' Impaired Loans ASC 310-10'!G346)</f>
        <v/>
      </c>
      <c r="H346" s="574">
        <f>IF(' Impaired Loans ASC 310-10'!H346="","",' Impaired Loans ASC 310-10'!H346)</f>
        <v/>
      </c>
      <c r="I346" s="574">
        <f>IF(' Impaired Loans ASC 310-10'!I346="","",' Impaired Loans ASC 310-10'!I346)</f>
        <v/>
      </c>
      <c r="J346" s="574">
        <f>IF(' Impaired Loans ASC 310-10'!J346="","",' Impaired Loans ASC 310-10'!J346)</f>
        <v/>
      </c>
      <c r="K346" s="584" t="n"/>
      <c r="L346" s="578">
        <f>IFERROR(A346,"")</f>
        <v/>
      </c>
      <c r="M346" s="849">
        <f>IF(' Impaired Loans ASC 310-10'!A346="","",' Impaired Loans ASC 310-10'!K346)</f>
        <v/>
      </c>
      <c r="N346" s="580">
        <f>IF(' Impaired Loans ASC 310-10'!A346="","",' Impaired Loans ASC 310-10'!L346)</f>
        <v/>
      </c>
      <c r="O346" s="581">
        <f>IF(' Impaired Loans ASC 310-10'!A346="","",' Impaired Loans ASC 310-10'!M346)</f>
        <v/>
      </c>
      <c r="P346" s="582">
        <f>IF(' Impaired Loans ASC 310-10'!A346="","",' Impaired Loans ASC 310-10'!O346)</f>
        <v/>
      </c>
      <c r="Q346" s="583">
        <f>IF(' Impaired Loans ASC 310-10'!A346="","",' Impaired Loans ASC 310-10'!N346)</f>
        <v/>
      </c>
      <c r="R346" s="583">
        <f>IF(' Impaired Loans ASC 310-10'!A346="","",' Impaired Loans ASC 310-10'!P346)</f>
        <v/>
      </c>
      <c r="S346" s="583">
        <f>IF(' Impaired Loans ASC 310-10'!A346="","",' Impaired Loans ASC 310-10'!Q346)</f>
        <v/>
      </c>
    </row>
    <row r="347">
      <c r="A347" s="573">
        <f>IF(' Impaired Loans ASC 310-10'!A347="","",' Impaired Loans ASC 310-10'!A347)</f>
        <v/>
      </c>
      <c r="B347" s="573">
        <f>IF(' Impaired Loans ASC 310-10'!B347="","",' Impaired Loans ASC 310-10'!B347)</f>
        <v/>
      </c>
      <c r="C347" s="573">
        <f>IF(' Impaired Loans ASC 310-10'!C347="","",' Impaired Loans ASC 310-10'!C347)</f>
        <v/>
      </c>
      <c r="D347" s="573">
        <f>IF(' Impaired Loans ASC 310-10'!D347="","",' Impaired Loans ASC 310-10'!D347)</f>
        <v/>
      </c>
      <c r="E347" s="574">
        <f>IF(' Impaired Loans ASC 310-10'!E347="","",' Impaired Loans ASC 310-10'!E347)</f>
        <v/>
      </c>
      <c r="F347" s="575">
        <f>IF(' Impaired Loans ASC 310-10'!F347="","",' Impaired Loans ASC 310-10'!F347)</f>
        <v/>
      </c>
      <c r="G347" s="574">
        <f>IF(' Impaired Loans ASC 310-10'!G347="","",' Impaired Loans ASC 310-10'!G347)</f>
        <v/>
      </c>
      <c r="H347" s="574">
        <f>IF(' Impaired Loans ASC 310-10'!H347="","",' Impaired Loans ASC 310-10'!H347)</f>
        <v/>
      </c>
      <c r="I347" s="574">
        <f>IF(' Impaired Loans ASC 310-10'!I347="","",' Impaired Loans ASC 310-10'!I347)</f>
        <v/>
      </c>
      <c r="J347" s="574">
        <f>IF(' Impaired Loans ASC 310-10'!J347="","",' Impaired Loans ASC 310-10'!J347)</f>
        <v/>
      </c>
      <c r="K347" s="584" t="n"/>
      <c r="L347" s="578">
        <f>IFERROR(A347,"")</f>
        <v/>
      </c>
      <c r="M347" s="849">
        <f>IF(' Impaired Loans ASC 310-10'!A347="","",' Impaired Loans ASC 310-10'!K347)</f>
        <v/>
      </c>
      <c r="N347" s="580">
        <f>IF(' Impaired Loans ASC 310-10'!A347="","",' Impaired Loans ASC 310-10'!L347)</f>
        <v/>
      </c>
      <c r="O347" s="581">
        <f>IF(' Impaired Loans ASC 310-10'!A347="","",' Impaired Loans ASC 310-10'!M347)</f>
        <v/>
      </c>
      <c r="P347" s="582">
        <f>IF(' Impaired Loans ASC 310-10'!A347="","",' Impaired Loans ASC 310-10'!O347)</f>
        <v/>
      </c>
      <c r="Q347" s="583">
        <f>IF(' Impaired Loans ASC 310-10'!A347="","",' Impaired Loans ASC 310-10'!N347)</f>
        <v/>
      </c>
      <c r="R347" s="583">
        <f>IF(' Impaired Loans ASC 310-10'!A347="","",' Impaired Loans ASC 310-10'!P347)</f>
        <v/>
      </c>
      <c r="S347" s="583">
        <f>IF(' Impaired Loans ASC 310-10'!A347="","",' Impaired Loans ASC 310-10'!Q347)</f>
        <v/>
      </c>
    </row>
    <row r="348">
      <c r="A348" s="573">
        <f>IF(' Impaired Loans ASC 310-10'!A348="","",' Impaired Loans ASC 310-10'!A348)</f>
        <v/>
      </c>
      <c r="B348" s="573">
        <f>IF(' Impaired Loans ASC 310-10'!B348="","",' Impaired Loans ASC 310-10'!B348)</f>
        <v/>
      </c>
      <c r="C348" s="573">
        <f>IF(' Impaired Loans ASC 310-10'!C348="","",' Impaired Loans ASC 310-10'!C348)</f>
        <v/>
      </c>
      <c r="D348" s="573">
        <f>IF(' Impaired Loans ASC 310-10'!D348="","",' Impaired Loans ASC 310-10'!D348)</f>
        <v/>
      </c>
      <c r="E348" s="574">
        <f>IF(' Impaired Loans ASC 310-10'!E348="","",' Impaired Loans ASC 310-10'!E348)</f>
        <v/>
      </c>
      <c r="F348" s="575">
        <f>IF(' Impaired Loans ASC 310-10'!F348="","",' Impaired Loans ASC 310-10'!F348)</f>
        <v/>
      </c>
      <c r="G348" s="574">
        <f>IF(' Impaired Loans ASC 310-10'!G348="","",' Impaired Loans ASC 310-10'!G348)</f>
        <v/>
      </c>
      <c r="H348" s="574">
        <f>IF(' Impaired Loans ASC 310-10'!H348="","",' Impaired Loans ASC 310-10'!H348)</f>
        <v/>
      </c>
      <c r="I348" s="574">
        <f>IF(' Impaired Loans ASC 310-10'!I348="","",' Impaired Loans ASC 310-10'!I348)</f>
        <v/>
      </c>
      <c r="J348" s="574">
        <f>IF(' Impaired Loans ASC 310-10'!J348="","",' Impaired Loans ASC 310-10'!J348)</f>
        <v/>
      </c>
      <c r="K348" s="584" t="n"/>
      <c r="L348" s="578">
        <f>IFERROR(A348,"")</f>
        <v/>
      </c>
      <c r="M348" s="849">
        <f>IF(' Impaired Loans ASC 310-10'!A348="","",' Impaired Loans ASC 310-10'!K348)</f>
        <v/>
      </c>
      <c r="N348" s="580">
        <f>IF(' Impaired Loans ASC 310-10'!A348="","",' Impaired Loans ASC 310-10'!L348)</f>
        <v/>
      </c>
      <c r="O348" s="581">
        <f>IF(' Impaired Loans ASC 310-10'!A348="","",' Impaired Loans ASC 310-10'!M348)</f>
        <v/>
      </c>
      <c r="P348" s="582">
        <f>IF(' Impaired Loans ASC 310-10'!A348="","",' Impaired Loans ASC 310-10'!O348)</f>
        <v/>
      </c>
      <c r="Q348" s="583">
        <f>IF(' Impaired Loans ASC 310-10'!A348="","",' Impaired Loans ASC 310-10'!N348)</f>
        <v/>
      </c>
      <c r="R348" s="583">
        <f>IF(' Impaired Loans ASC 310-10'!A348="","",' Impaired Loans ASC 310-10'!P348)</f>
        <v/>
      </c>
      <c r="S348" s="583">
        <f>IF(' Impaired Loans ASC 310-10'!A348="","",' Impaired Loans ASC 310-10'!Q348)</f>
        <v/>
      </c>
    </row>
    <row r="349">
      <c r="A349" s="573">
        <f>IF(' Impaired Loans ASC 310-10'!A349="","",' Impaired Loans ASC 310-10'!A349)</f>
        <v/>
      </c>
      <c r="B349" s="573">
        <f>IF(' Impaired Loans ASC 310-10'!B349="","",' Impaired Loans ASC 310-10'!B349)</f>
        <v/>
      </c>
      <c r="C349" s="573">
        <f>IF(' Impaired Loans ASC 310-10'!C349="","",' Impaired Loans ASC 310-10'!C349)</f>
        <v/>
      </c>
      <c r="D349" s="573">
        <f>IF(' Impaired Loans ASC 310-10'!D349="","",' Impaired Loans ASC 310-10'!D349)</f>
        <v/>
      </c>
      <c r="E349" s="574">
        <f>IF(' Impaired Loans ASC 310-10'!E349="","",' Impaired Loans ASC 310-10'!E349)</f>
        <v/>
      </c>
      <c r="F349" s="575">
        <f>IF(' Impaired Loans ASC 310-10'!F349="","",' Impaired Loans ASC 310-10'!F349)</f>
        <v/>
      </c>
      <c r="G349" s="574">
        <f>IF(' Impaired Loans ASC 310-10'!G349="","",' Impaired Loans ASC 310-10'!G349)</f>
        <v/>
      </c>
      <c r="H349" s="574">
        <f>IF(' Impaired Loans ASC 310-10'!H349="","",' Impaired Loans ASC 310-10'!H349)</f>
        <v/>
      </c>
      <c r="I349" s="574">
        <f>IF(' Impaired Loans ASC 310-10'!I349="","",' Impaired Loans ASC 310-10'!I349)</f>
        <v/>
      </c>
      <c r="J349" s="574">
        <f>IF(' Impaired Loans ASC 310-10'!J349="","",' Impaired Loans ASC 310-10'!J349)</f>
        <v/>
      </c>
      <c r="K349" s="584" t="n"/>
      <c r="L349" s="578">
        <f>IFERROR(A349,"")</f>
        <v/>
      </c>
      <c r="M349" s="849">
        <f>IF(' Impaired Loans ASC 310-10'!A349="","",' Impaired Loans ASC 310-10'!K349)</f>
        <v/>
      </c>
      <c r="N349" s="580">
        <f>IF(' Impaired Loans ASC 310-10'!A349="","",' Impaired Loans ASC 310-10'!L349)</f>
        <v/>
      </c>
      <c r="O349" s="581">
        <f>IF(' Impaired Loans ASC 310-10'!A349="","",' Impaired Loans ASC 310-10'!M349)</f>
        <v/>
      </c>
      <c r="P349" s="582">
        <f>IF(' Impaired Loans ASC 310-10'!A349="","",' Impaired Loans ASC 310-10'!O349)</f>
        <v/>
      </c>
      <c r="Q349" s="583">
        <f>IF(' Impaired Loans ASC 310-10'!A349="","",' Impaired Loans ASC 310-10'!N349)</f>
        <v/>
      </c>
      <c r="R349" s="583">
        <f>IF(' Impaired Loans ASC 310-10'!A349="","",' Impaired Loans ASC 310-10'!P349)</f>
        <v/>
      </c>
      <c r="S349" s="583">
        <f>IF(' Impaired Loans ASC 310-10'!A349="","",' Impaired Loans ASC 310-10'!Q349)</f>
        <v/>
      </c>
    </row>
    <row r="350">
      <c r="A350" s="573">
        <f>IF(' Impaired Loans ASC 310-10'!A350="","",' Impaired Loans ASC 310-10'!A350)</f>
        <v/>
      </c>
      <c r="B350" s="573">
        <f>IF(' Impaired Loans ASC 310-10'!B350="","",' Impaired Loans ASC 310-10'!B350)</f>
        <v/>
      </c>
      <c r="C350" s="573">
        <f>IF(' Impaired Loans ASC 310-10'!C350="","",' Impaired Loans ASC 310-10'!C350)</f>
        <v/>
      </c>
      <c r="D350" s="573">
        <f>IF(' Impaired Loans ASC 310-10'!D350="","",' Impaired Loans ASC 310-10'!D350)</f>
        <v/>
      </c>
      <c r="E350" s="574">
        <f>IF(' Impaired Loans ASC 310-10'!E350="","",' Impaired Loans ASC 310-10'!E350)</f>
        <v/>
      </c>
      <c r="F350" s="575">
        <f>IF(' Impaired Loans ASC 310-10'!F350="","",' Impaired Loans ASC 310-10'!F350)</f>
        <v/>
      </c>
      <c r="G350" s="574">
        <f>IF(' Impaired Loans ASC 310-10'!G350="","",' Impaired Loans ASC 310-10'!G350)</f>
        <v/>
      </c>
      <c r="H350" s="574">
        <f>IF(' Impaired Loans ASC 310-10'!H350="","",' Impaired Loans ASC 310-10'!H350)</f>
        <v/>
      </c>
      <c r="I350" s="574">
        <f>IF(' Impaired Loans ASC 310-10'!I350="","",' Impaired Loans ASC 310-10'!I350)</f>
        <v/>
      </c>
      <c r="J350" s="574">
        <f>IF(' Impaired Loans ASC 310-10'!J350="","",' Impaired Loans ASC 310-10'!J350)</f>
        <v/>
      </c>
      <c r="K350" s="584" t="n"/>
      <c r="L350" s="578">
        <f>IFERROR(A350,"")</f>
        <v/>
      </c>
      <c r="M350" s="849">
        <f>IF(' Impaired Loans ASC 310-10'!A350="","",' Impaired Loans ASC 310-10'!K350)</f>
        <v/>
      </c>
      <c r="N350" s="580">
        <f>IF(' Impaired Loans ASC 310-10'!A350="","",' Impaired Loans ASC 310-10'!L350)</f>
        <v/>
      </c>
      <c r="O350" s="581">
        <f>IF(' Impaired Loans ASC 310-10'!A350="","",' Impaired Loans ASC 310-10'!M350)</f>
        <v/>
      </c>
      <c r="P350" s="582">
        <f>IF(' Impaired Loans ASC 310-10'!A350="","",' Impaired Loans ASC 310-10'!O350)</f>
        <v/>
      </c>
      <c r="Q350" s="583">
        <f>IF(' Impaired Loans ASC 310-10'!A350="","",' Impaired Loans ASC 310-10'!N350)</f>
        <v/>
      </c>
      <c r="R350" s="583">
        <f>IF(' Impaired Loans ASC 310-10'!A350="","",' Impaired Loans ASC 310-10'!P350)</f>
        <v/>
      </c>
      <c r="S350" s="583">
        <f>IF(' Impaired Loans ASC 310-10'!A350="","",' Impaired Loans ASC 310-10'!Q350)</f>
        <v/>
      </c>
    </row>
    <row r="351">
      <c r="A351" s="573">
        <f>IF(' Impaired Loans ASC 310-10'!A351="","",' Impaired Loans ASC 310-10'!A351)</f>
        <v/>
      </c>
      <c r="B351" s="573">
        <f>IF(' Impaired Loans ASC 310-10'!B351="","",' Impaired Loans ASC 310-10'!B351)</f>
        <v/>
      </c>
      <c r="C351" s="573">
        <f>IF(' Impaired Loans ASC 310-10'!C351="","",' Impaired Loans ASC 310-10'!C351)</f>
        <v/>
      </c>
      <c r="D351" s="573">
        <f>IF(' Impaired Loans ASC 310-10'!D351="","",' Impaired Loans ASC 310-10'!D351)</f>
        <v/>
      </c>
      <c r="E351" s="574">
        <f>IF(' Impaired Loans ASC 310-10'!E351="","",' Impaired Loans ASC 310-10'!E351)</f>
        <v/>
      </c>
      <c r="F351" s="575">
        <f>IF(' Impaired Loans ASC 310-10'!F351="","",' Impaired Loans ASC 310-10'!F351)</f>
        <v/>
      </c>
      <c r="G351" s="574">
        <f>IF(' Impaired Loans ASC 310-10'!G351="","",' Impaired Loans ASC 310-10'!G351)</f>
        <v/>
      </c>
      <c r="H351" s="574">
        <f>IF(' Impaired Loans ASC 310-10'!H351="","",' Impaired Loans ASC 310-10'!H351)</f>
        <v/>
      </c>
      <c r="I351" s="574">
        <f>IF(' Impaired Loans ASC 310-10'!I351="","",' Impaired Loans ASC 310-10'!I351)</f>
        <v/>
      </c>
      <c r="J351" s="574">
        <f>IF(' Impaired Loans ASC 310-10'!J351="","",' Impaired Loans ASC 310-10'!J351)</f>
        <v/>
      </c>
      <c r="K351" s="584" t="n"/>
      <c r="L351" s="578">
        <f>IFERROR(A351,"")</f>
        <v/>
      </c>
      <c r="M351" s="849">
        <f>IF(' Impaired Loans ASC 310-10'!A351="","",' Impaired Loans ASC 310-10'!K351)</f>
        <v/>
      </c>
      <c r="N351" s="580">
        <f>IF(' Impaired Loans ASC 310-10'!A351="","",' Impaired Loans ASC 310-10'!L351)</f>
        <v/>
      </c>
      <c r="O351" s="581">
        <f>IF(' Impaired Loans ASC 310-10'!A351="","",' Impaired Loans ASC 310-10'!M351)</f>
        <v/>
      </c>
      <c r="P351" s="582">
        <f>IF(' Impaired Loans ASC 310-10'!A351="","",' Impaired Loans ASC 310-10'!O351)</f>
        <v/>
      </c>
      <c r="Q351" s="583">
        <f>IF(' Impaired Loans ASC 310-10'!A351="","",' Impaired Loans ASC 310-10'!N351)</f>
        <v/>
      </c>
      <c r="R351" s="583">
        <f>IF(' Impaired Loans ASC 310-10'!A351="","",' Impaired Loans ASC 310-10'!P351)</f>
        <v/>
      </c>
      <c r="S351" s="583">
        <f>IF(' Impaired Loans ASC 310-10'!A351="","",' Impaired Loans ASC 310-10'!Q351)</f>
        <v/>
      </c>
    </row>
    <row r="352">
      <c r="A352" s="573">
        <f>IF(' Impaired Loans ASC 310-10'!A352="","",' Impaired Loans ASC 310-10'!A352)</f>
        <v/>
      </c>
      <c r="B352" s="573">
        <f>IF(' Impaired Loans ASC 310-10'!B352="","",' Impaired Loans ASC 310-10'!B352)</f>
        <v/>
      </c>
      <c r="C352" s="573">
        <f>IF(' Impaired Loans ASC 310-10'!C352="","",' Impaired Loans ASC 310-10'!C352)</f>
        <v/>
      </c>
      <c r="D352" s="573">
        <f>IF(' Impaired Loans ASC 310-10'!D352="","",' Impaired Loans ASC 310-10'!D352)</f>
        <v/>
      </c>
      <c r="E352" s="574">
        <f>IF(' Impaired Loans ASC 310-10'!E352="","",' Impaired Loans ASC 310-10'!E352)</f>
        <v/>
      </c>
      <c r="F352" s="575">
        <f>IF(' Impaired Loans ASC 310-10'!F352="","",' Impaired Loans ASC 310-10'!F352)</f>
        <v/>
      </c>
      <c r="G352" s="574">
        <f>IF(' Impaired Loans ASC 310-10'!G352="","",' Impaired Loans ASC 310-10'!G352)</f>
        <v/>
      </c>
      <c r="H352" s="574">
        <f>IF(' Impaired Loans ASC 310-10'!H352="","",' Impaired Loans ASC 310-10'!H352)</f>
        <v/>
      </c>
      <c r="I352" s="574">
        <f>IF(' Impaired Loans ASC 310-10'!I352="","",' Impaired Loans ASC 310-10'!I352)</f>
        <v/>
      </c>
      <c r="J352" s="574">
        <f>IF(' Impaired Loans ASC 310-10'!J352="","",' Impaired Loans ASC 310-10'!J352)</f>
        <v/>
      </c>
      <c r="K352" s="584" t="n"/>
      <c r="L352" s="578">
        <f>IFERROR(A352,"")</f>
        <v/>
      </c>
      <c r="M352" s="849">
        <f>IF(' Impaired Loans ASC 310-10'!A352="","",' Impaired Loans ASC 310-10'!K352)</f>
        <v/>
      </c>
      <c r="N352" s="580">
        <f>IF(' Impaired Loans ASC 310-10'!A352="","",' Impaired Loans ASC 310-10'!L352)</f>
        <v/>
      </c>
      <c r="O352" s="581">
        <f>IF(' Impaired Loans ASC 310-10'!A352="","",' Impaired Loans ASC 310-10'!M352)</f>
        <v/>
      </c>
      <c r="P352" s="582">
        <f>IF(' Impaired Loans ASC 310-10'!A352="","",' Impaired Loans ASC 310-10'!O352)</f>
        <v/>
      </c>
      <c r="Q352" s="583">
        <f>IF(' Impaired Loans ASC 310-10'!A352="","",' Impaired Loans ASC 310-10'!N352)</f>
        <v/>
      </c>
      <c r="R352" s="583">
        <f>IF(' Impaired Loans ASC 310-10'!A352="","",' Impaired Loans ASC 310-10'!P352)</f>
        <v/>
      </c>
      <c r="S352" s="583">
        <f>IF(' Impaired Loans ASC 310-10'!A352="","",' Impaired Loans ASC 310-10'!Q352)</f>
        <v/>
      </c>
    </row>
    <row r="353">
      <c r="A353" s="573">
        <f>IF(' Impaired Loans ASC 310-10'!A353="","",' Impaired Loans ASC 310-10'!A353)</f>
        <v/>
      </c>
      <c r="B353" s="573">
        <f>IF(' Impaired Loans ASC 310-10'!B353="","",' Impaired Loans ASC 310-10'!B353)</f>
        <v/>
      </c>
      <c r="C353" s="573">
        <f>IF(' Impaired Loans ASC 310-10'!C353="","",' Impaired Loans ASC 310-10'!C353)</f>
        <v/>
      </c>
      <c r="D353" s="573">
        <f>IF(' Impaired Loans ASC 310-10'!D353="","",' Impaired Loans ASC 310-10'!D353)</f>
        <v/>
      </c>
      <c r="E353" s="574">
        <f>IF(' Impaired Loans ASC 310-10'!E353="","",' Impaired Loans ASC 310-10'!E353)</f>
        <v/>
      </c>
      <c r="F353" s="575">
        <f>IF(' Impaired Loans ASC 310-10'!F353="","",' Impaired Loans ASC 310-10'!F353)</f>
        <v/>
      </c>
      <c r="G353" s="574">
        <f>IF(' Impaired Loans ASC 310-10'!G353="","",' Impaired Loans ASC 310-10'!G353)</f>
        <v/>
      </c>
      <c r="H353" s="574">
        <f>IF(' Impaired Loans ASC 310-10'!H353="","",' Impaired Loans ASC 310-10'!H353)</f>
        <v/>
      </c>
      <c r="I353" s="574">
        <f>IF(' Impaired Loans ASC 310-10'!I353="","",' Impaired Loans ASC 310-10'!I353)</f>
        <v/>
      </c>
      <c r="J353" s="574">
        <f>IF(' Impaired Loans ASC 310-10'!J353="","",' Impaired Loans ASC 310-10'!J353)</f>
        <v/>
      </c>
      <c r="K353" s="584" t="n"/>
      <c r="L353" s="578">
        <f>IFERROR(A353,"")</f>
        <v/>
      </c>
      <c r="M353" s="849">
        <f>IF(' Impaired Loans ASC 310-10'!A353="","",' Impaired Loans ASC 310-10'!K353)</f>
        <v/>
      </c>
      <c r="N353" s="580">
        <f>IF(' Impaired Loans ASC 310-10'!A353="","",' Impaired Loans ASC 310-10'!L353)</f>
        <v/>
      </c>
      <c r="O353" s="581">
        <f>IF(' Impaired Loans ASC 310-10'!A353="","",' Impaired Loans ASC 310-10'!M353)</f>
        <v/>
      </c>
      <c r="P353" s="582">
        <f>IF(' Impaired Loans ASC 310-10'!A353="","",' Impaired Loans ASC 310-10'!O353)</f>
        <v/>
      </c>
      <c r="Q353" s="583">
        <f>IF(' Impaired Loans ASC 310-10'!A353="","",' Impaired Loans ASC 310-10'!N353)</f>
        <v/>
      </c>
      <c r="R353" s="583">
        <f>IF(' Impaired Loans ASC 310-10'!A353="","",' Impaired Loans ASC 310-10'!P353)</f>
        <v/>
      </c>
      <c r="S353" s="583">
        <f>IF(' Impaired Loans ASC 310-10'!A353="","",' Impaired Loans ASC 310-10'!Q353)</f>
        <v/>
      </c>
    </row>
    <row r="354">
      <c r="A354" s="573">
        <f>IF(' Impaired Loans ASC 310-10'!A354="","",' Impaired Loans ASC 310-10'!A354)</f>
        <v/>
      </c>
      <c r="B354" s="573">
        <f>IF(' Impaired Loans ASC 310-10'!B354="","",' Impaired Loans ASC 310-10'!B354)</f>
        <v/>
      </c>
      <c r="C354" s="573">
        <f>IF(' Impaired Loans ASC 310-10'!C354="","",' Impaired Loans ASC 310-10'!C354)</f>
        <v/>
      </c>
      <c r="D354" s="573">
        <f>IF(' Impaired Loans ASC 310-10'!D354="","",' Impaired Loans ASC 310-10'!D354)</f>
        <v/>
      </c>
      <c r="E354" s="574">
        <f>IF(' Impaired Loans ASC 310-10'!E354="","",' Impaired Loans ASC 310-10'!E354)</f>
        <v/>
      </c>
      <c r="F354" s="575">
        <f>IF(' Impaired Loans ASC 310-10'!F354="","",' Impaired Loans ASC 310-10'!F354)</f>
        <v/>
      </c>
      <c r="G354" s="574">
        <f>IF(' Impaired Loans ASC 310-10'!G354="","",' Impaired Loans ASC 310-10'!G354)</f>
        <v/>
      </c>
      <c r="H354" s="574">
        <f>IF(' Impaired Loans ASC 310-10'!H354="","",' Impaired Loans ASC 310-10'!H354)</f>
        <v/>
      </c>
      <c r="I354" s="574">
        <f>IF(' Impaired Loans ASC 310-10'!I354="","",' Impaired Loans ASC 310-10'!I354)</f>
        <v/>
      </c>
      <c r="J354" s="574">
        <f>IF(' Impaired Loans ASC 310-10'!J354="","",' Impaired Loans ASC 310-10'!J354)</f>
        <v/>
      </c>
      <c r="K354" s="584" t="n"/>
      <c r="L354" s="578">
        <f>IFERROR(A354,"")</f>
        <v/>
      </c>
      <c r="M354" s="849">
        <f>IF(' Impaired Loans ASC 310-10'!A354="","",' Impaired Loans ASC 310-10'!K354)</f>
        <v/>
      </c>
      <c r="N354" s="580">
        <f>IF(' Impaired Loans ASC 310-10'!A354="","",' Impaired Loans ASC 310-10'!L354)</f>
        <v/>
      </c>
      <c r="O354" s="581">
        <f>IF(' Impaired Loans ASC 310-10'!A354="","",' Impaired Loans ASC 310-10'!M354)</f>
        <v/>
      </c>
      <c r="P354" s="582">
        <f>IF(' Impaired Loans ASC 310-10'!A354="","",' Impaired Loans ASC 310-10'!O354)</f>
        <v/>
      </c>
      <c r="Q354" s="583">
        <f>IF(' Impaired Loans ASC 310-10'!A354="","",' Impaired Loans ASC 310-10'!N354)</f>
        <v/>
      </c>
      <c r="R354" s="583">
        <f>IF(' Impaired Loans ASC 310-10'!A354="","",' Impaired Loans ASC 310-10'!P354)</f>
        <v/>
      </c>
      <c r="S354" s="583">
        <f>IF(' Impaired Loans ASC 310-10'!A354="","",' Impaired Loans ASC 310-10'!Q354)</f>
        <v/>
      </c>
    </row>
    <row r="355">
      <c r="A355" s="573">
        <f>IF(' Impaired Loans ASC 310-10'!A355="","",' Impaired Loans ASC 310-10'!A355)</f>
        <v/>
      </c>
      <c r="B355" s="573">
        <f>IF(' Impaired Loans ASC 310-10'!B355="","",' Impaired Loans ASC 310-10'!B355)</f>
        <v/>
      </c>
      <c r="C355" s="573">
        <f>IF(' Impaired Loans ASC 310-10'!C355="","",' Impaired Loans ASC 310-10'!C355)</f>
        <v/>
      </c>
      <c r="D355" s="573">
        <f>IF(' Impaired Loans ASC 310-10'!D355="","",' Impaired Loans ASC 310-10'!D355)</f>
        <v/>
      </c>
      <c r="E355" s="574">
        <f>IF(' Impaired Loans ASC 310-10'!E355="","",' Impaired Loans ASC 310-10'!E355)</f>
        <v/>
      </c>
      <c r="F355" s="575">
        <f>IF(' Impaired Loans ASC 310-10'!F355="","",' Impaired Loans ASC 310-10'!F355)</f>
        <v/>
      </c>
      <c r="G355" s="574">
        <f>IF(' Impaired Loans ASC 310-10'!G355="","",' Impaired Loans ASC 310-10'!G355)</f>
        <v/>
      </c>
      <c r="H355" s="574">
        <f>IF(' Impaired Loans ASC 310-10'!H355="","",' Impaired Loans ASC 310-10'!H355)</f>
        <v/>
      </c>
      <c r="I355" s="574">
        <f>IF(' Impaired Loans ASC 310-10'!I355="","",' Impaired Loans ASC 310-10'!I355)</f>
        <v/>
      </c>
      <c r="J355" s="574">
        <f>IF(' Impaired Loans ASC 310-10'!J355="","",' Impaired Loans ASC 310-10'!J355)</f>
        <v/>
      </c>
      <c r="K355" s="584" t="n"/>
      <c r="L355" s="578">
        <f>IFERROR(A355,"")</f>
        <v/>
      </c>
      <c r="M355" s="849">
        <f>IF(' Impaired Loans ASC 310-10'!A355="","",' Impaired Loans ASC 310-10'!K355)</f>
        <v/>
      </c>
      <c r="N355" s="580">
        <f>IF(' Impaired Loans ASC 310-10'!A355="","",' Impaired Loans ASC 310-10'!L355)</f>
        <v/>
      </c>
      <c r="O355" s="581">
        <f>IF(' Impaired Loans ASC 310-10'!A355="","",' Impaired Loans ASC 310-10'!M355)</f>
        <v/>
      </c>
      <c r="P355" s="582">
        <f>IF(' Impaired Loans ASC 310-10'!A355="","",' Impaired Loans ASC 310-10'!O355)</f>
        <v/>
      </c>
      <c r="Q355" s="583">
        <f>IF(' Impaired Loans ASC 310-10'!A355="","",' Impaired Loans ASC 310-10'!N355)</f>
        <v/>
      </c>
      <c r="R355" s="583">
        <f>IF(' Impaired Loans ASC 310-10'!A355="","",' Impaired Loans ASC 310-10'!P355)</f>
        <v/>
      </c>
      <c r="S355" s="583">
        <f>IF(' Impaired Loans ASC 310-10'!A355="","",' Impaired Loans ASC 310-10'!Q355)</f>
        <v/>
      </c>
    </row>
    <row r="356">
      <c r="A356" s="573">
        <f>IF(' Impaired Loans ASC 310-10'!A356="","",' Impaired Loans ASC 310-10'!A356)</f>
        <v/>
      </c>
      <c r="B356" s="573">
        <f>IF(' Impaired Loans ASC 310-10'!B356="","",' Impaired Loans ASC 310-10'!B356)</f>
        <v/>
      </c>
      <c r="C356" s="573">
        <f>IF(' Impaired Loans ASC 310-10'!C356="","",' Impaired Loans ASC 310-10'!C356)</f>
        <v/>
      </c>
      <c r="D356" s="573">
        <f>IF(' Impaired Loans ASC 310-10'!D356="","",' Impaired Loans ASC 310-10'!D356)</f>
        <v/>
      </c>
      <c r="E356" s="574">
        <f>IF(' Impaired Loans ASC 310-10'!E356="","",' Impaired Loans ASC 310-10'!E356)</f>
        <v/>
      </c>
      <c r="F356" s="575">
        <f>IF(' Impaired Loans ASC 310-10'!F356="","",' Impaired Loans ASC 310-10'!F356)</f>
        <v/>
      </c>
      <c r="G356" s="574">
        <f>IF(' Impaired Loans ASC 310-10'!G356="","",' Impaired Loans ASC 310-10'!G356)</f>
        <v/>
      </c>
      <c r="H356" s="574">
        <f>IF(' Impaired Loans ASC 310-10'!H356="","",' Impaired Loans ASC 310-10'!H356)</f>
        <v/>
      </c>
      <c r="I356" s="574">
        <f>IF(' Impaired Loans ASC 310-10'!I356="","",' Impaired Loans ASC 310-10'!I356)</f>
        <v/>
      </c>
      <c r="J356" s="574">
        <f>IF(' Impaired Loans ASC 310-10'!J356="","",' Impaired Loans ASC 310-10'!J356)</f>
        <v/>
      </c>
      <c r="K356" s="584" t="n"/>
      <c r="L356" s="578">
        <f>IFERROR(A356,"")</f>
        <v/>
      </c>
      <c r="M356" s="849">
        <f>IF(' Impaired Loans ASC 310-10'!A356="","",' Impaired Loans ASC 310-10'!K356)</f>
        <v/>
      </c>
      <c r="N356" s="580">
        <f>IF(' Impaired Loans ASC 310-10'!A356="","",' Impaired Loans ASC 310-10'!L356)</f>
        <v/>
      </c>
      <c r="O356" s="581">
        <f>IF(' Impaired Loans ASC 310-10'!A356="","",' Impaired Loans ASC 310-10'!M356)</f>
        <v/>
      </c>
      <c r="P356" s="582">
        <f>IF(' Impaired Loans ASC 310-10'!A356="","",' Impaired Loans ASC 310-10'!O356)</f>
        <v/>
      </c>
      <c r="Q356" s="583">
        <f>IF(' Impaired Loans ASC 310-10'!A356="","",' Impaired Loans ASC 310-10'!N356)</f>
        <v/>
      </c>
      <c r="R356" s="583">
        <f>IF(' Impaired Loans ASC 310-10'!A356="","",' Impaired Loans ASC 310-10'!P356)</f>
        <v/>
      </c>
      <c r="S356" s="583">
        <f>IF(' Impaired Loans ASC 310-10'!A356="","",' Impaired Loans ASC 310-10'!Q356)</f>
        <v/>
      </c>
    </row>
    <row r="357">
      <c r="A357" s="573">
        <f>IF(' Impaired Loans ASC 310-10'!A357="","",' Impaired Loans ASC 310-10'!A357)</f>
        <v/>
      </c>
      <c r="B357" s="573">
        <f>IF(' Impaired Loans ASC 310-10'!B357="","",' Impaired Loans ASC 310-10'!B357)</f>
        <v/>
      </c>
      <c r="C357" s="573">
        <f>IF(' Impaired Loans ASC 310-10'!C357="","",' Impaired Loans ASC 310-10'!C357)</f>
        <v/>
      </c>
      <c r="D357" s="573">
        <f>IF(' Impaired Loans ASC 310-10'!D357="","",' Impaired Loans ASC 310-10'!D357)</f>
        <v/>
      </c>
      <c r="E357" s="574">
        <f>IF(' Impaired Loans ASC 310-10'!E357="","",' Impaired Loans ASC 310-10'!E357)</f>
        <v/>
      </c>
      <c r="F357" s="575">
        <f>IF(' Impaired Loans ASC 310-10'!F357="","",' Impaired Loans ASC 310-10'!F357)</f>
        <v/>
      </c>
      <c r="G357" s="574">
        <f>IF(' Impaired Loans ASC 310-10'!G357="","",' Impaired Loans ASC 310-10'!G357)</f>
        <v/>
      </c>
      <c r="H357" s="574">
        <f>IF(' Impaired Loans ASC 310-10'!H357="","",' Impaired Loans ASC 310-10'!H357)</f>
        <v/>
      </c>
      <c r="I357" s="574">
        <f>IF(' Impaired Loans ASC 310-10'!I357="","",' Impaired Loans ASC 310-10'!I357)</f>
        <v/>
      </c>
      <c r="J357" s="574">
        <f>IF(' Impaired Loans ASC 310-10'!J357="","",' Impaired Loans ASC 310-10'!J357)</f>
        <v/>
      </c>
      <c r="K357" s="584" t="n"/>
      <c r="L357" s="578">
        <f>IFERROR(A357,"")</f>
        <v/>
      </c>
      <c r="M357" s="849">
        <f>IF(' Impaired Loans ASC 310-10'!A357="","",' Impaired Loans ASC 310-10'!K357)</f>
        <v/>
      </c>
      <c r="N357" s="580">
        <f>IF(' Impaired Loans ASC 310-10'!A357="","",' Impaired Loans ASC 310-10'!L357)</f>
        <v/>
      </c>
      <c r="O357" s="581">
        <f>IF(' Impaired Loans ASC 310-10'!A357="","",' Impaired Loans ASC 310-10'!M357)</f>
        <v/>
      </c>
      <c r="P357" s="582">
        <f>IF(' Impaired Loans ASC 310-10'!A357="","",' Impaired Loans ASC 310-10'!O357)</f>
        <v/>
      </c>
      <c r="Q357" s="583">
        <f>IF(' Impaired Loans ASC 310-10'!A357="","",' Impaired Loans ASC 310-10'!N357)</f>
        <v/>
      </c>
      <c r="R357" s="583">
        <f>IF(' Impaired Loans ASC 310-10'!A357="","",' Impaired Loans ASC 310-10'!P357)</f>
        <v/>
      </c>
      <c r="S357" s="583">
        <f>IF(' Impaired Loans ASC 310-10'!A357="","",' Impaired Loans ASC 310-10'!Q357)</f>
        <v/>
      </c>
    </row>
    <row r="358">
      <c r="A358" s="573">
        <f>IF(' Impaired Loans ASC 310-10'!A358="","",' Impaired Loans ASC 310-10'!A358)</f>
        <v/>
      </c>
      <c r="B358" s="573">
        <f>IF(' Impaired Loans ASC 310-10'!B358="","",' Impaired Loans ASC 310-10'!B358)</f>
        <v/>
      </c>
      <c r="C358" s="573">
        <f>IF(' Impaired Loans ASC 310-10'!C358="","",' Impaired Loans ASC 310-10'!C358)</f>
        <v/>
      </c>
      <c r="D358" s="573">
        <f>IF(' Impaired Loans ASC 310-10'!D358="","",' Impaired Loans ASC 310-10'!D358)</f>
        <v/>
      </c>
      <c r="E358" s="574">
        <f>IF(' Impaired Loans ASC 310-10'!E358="","",' Impaired Loans ASC 310-10'!E358)</f>
        <v/>
      </c>
      <c r="F358" s="575">
        <f>IF(' Impaired Loans ASC 310-10'!F358="","",' Impaired Loans ASC 310-10'!F358)</f>
        <v/>
      </c>
      <c r="G358" s="574">
        <f>IF(' Impaired Loans ASC 310-10'!G358="","",' Impaired Loans ASC 310-10'!G358)</f>
        <v/>
      </c>
      <c r="H358" s="574">
        <f>IF(' Impaired Loans ASC 310-10'!H358="","",' Impaired Loans ASC 310-10'!H358)</f>
        <v/>
      </c>
      <c r="I358" s="574">
        <f>IF(' Impaired Loans ASC 310-10'!I358="","",' Impaired Loans ASC 310-10'!I358)</f>
        <v/>
      </c>
      <c r="J358" s="574">
        <f>IF(' Impaired Loans ASC 310-10'!J358="","",' Impaired Loans ASC 310-10'!J358)</f>
        <v/>
      </c>
      <c r="K358" s="584" t="n"/>
      <c r="L358" s="578">
        <f>IFERROR(A358,"")</f>
        <v/>
      </c>
      <c r="M358" s="849">
        <f>IF(' Impaired Loans ASC 310-10'!A358="","",' Impaired Loans ASC 310-10'!K358)</f>
        <v/>
      </c>
      <c r="N358" s="580">
        <f>IF(' Impaired Loans ASC 310-10'!A358="","",' Impaired Loans ASC 310-10'!L358)</f>
        <v/>
      </c>
      <c r="O358" s="581">
        <f>IF(' Impaired Loans ASC 310-10'!A358="","",' Impaired Loans ASC 310-10'!M358)</f>
        <v/>
      </c>
      <c r="P358" s="582">
        <f>IF(' Impaired Loans ASC 310-10'!A358="","",' Impaired Loans ASC 310-10'!O358)</f>
        <v/>
      </c>
      <c r="Q358" s="583">
        <f>IF(' Impaired Loans ASC 310-10'!A358="","",' Impaired Loans ASC 310-10'!N358)</f>
        <v/>
      </c>
      <c r="R358" s="583">
        <f>IF(' Impaired Loans ASC 310-10'!A358="","",' Impaired Loans ASC 310-10'!P358)</f>
        <v/>
      </c>
      <c r="S358" s="583">
        <f>IF(' Impaired Loans ASC 310-10'!A358="","",' Impaired Loans ASC 310-10'!Q358)</f>
        <v/>
      </c>
    </row>
    <row r="359">
      <c r="A359" s="573">
        <f>IF(' Impaired Loans ASC 310-10'!A359="","",' Impaired Loans ASC 310-10'!A359)</f>
        <v/>
      </c>
      <c r="B359" s="573">
        <f>IF(' Impaired Loans ASC 310-10'!B359="","",' Impaired Loans ASC 310-10'!B359)</f>
        <v/>
      </c>
      <c r="C359" s="573">
        <f>IF(' Impaired Loans ASC 310-10'!C359="","",' Impaired Loans ASC 310-10'!C359)</f>
        <v/>
      </c>
      <c r="D359" s="573">
        <f>IF(' Impaired Loans ASC 310-10'!D359="","",' Impaired Loans ASC 310-10'!D359)</f>
        <v/>
      </c>
      <c r="E359" s="574">
        <f>IF(' Impaired Loans ASC 310-10'!E359="","",' Impaired Loans ASC 310-10'!E359)</f>
        <v/>
      </c>
      <c r="F359" s="575">
        <f>IF(' Impaired Loans ASC 310-10'!F359="","",' Impaired Loans ASC 310-10'!F359)</f>
        <v/>
      </c>
      <c r="G359" s="574">
        <f>IF(' Impaired Loans ASC 310-10'!G359="","",' Impaired Loans ASC 310-10'!G359)</f>
        <v/>
      </c>
      <c r="H359" s="574">
        <f>IF(' Impaired Loans ASC 310-10'!H359="","",' Impaired Loans ASC 310-10'!H359)</f>
        <v/>
      </c>
      <c r="I359" s="574">
        <f>IF(' Impaired Loans ASC 310-10'!I359="","",' Impaired Loans ASC 310-10'!I359)</f>
        <v/>
      </c>
      <c r="J359" s="574">
        <f>IF(' Impaired Loans ASC 310-10'!J359="","",' Impaired Loans ASC 310-10'!J359)</f>
        <v/>
      </c>
      <c r="K359" s="584" t="n"/>
      <c r="L359" s="578">
        <f>IFERROR(A359,"")</f>
        <v/>
      </c>
      <c r="M359" s="849">
        <f>IF(' Impaired Loans ASC 310-10'!A359="","",' Impaired Loans ASC 310-10'!K359)</f>
        <v/>
      </c>
      <c r="N359" s="580">
        <f>IF(' Impaired Loans ASC 310-10'!A359="","",' Impaired Loans ASC 310-10'!L359)</f>
        <v/>
      </c>
      <c r="O359" s="581">
        <f>IF(' Impaired Loans ASC 310-10'!A359="","",' Impaired Loans ASC 310-10'!M359)</f>
        <v/>
      </c>
      <c r="P359" s="582">
        <f>IF(' Impaired Loans ASC 310-10'!A359="","",' Impaired Loans ASC 310-10'!O359)</f>
        <v/>
      </c>
      <c r="Q359" s="583">
        <f>IF(' Impaired Loans ASC 310-10'!A359="","",' Impaired Loans ASC 310-10'!N359)</f>
        <v/>
      </c>
      <c r="R359" s="583">
        <f>IF(' Impaired Loans ASC 310-10'!A359="","",' Impaired Loans ASC 310-10'!P359)</f>
        <v/>
      </c>
      <c r="S359" s="583">
        <f>IF(' Impaired Loans ASC 310-10'!A359="","",' Impaired Loans ASC 310-10'!Q359)</f>
        <v/>
      </c>
    </row>
    <row r="360">
      <c r="A360" s="573">
        <f>IF(' Impaired Loans ASC 310-10'!A360="","",' Impaired Loans ASC 310-10'!A360)</f>
        <v/>
      </c>
      <c r="B360" s="573">
        <f>IF(' Impaired Loans ASC 310-10'!B360="","",' Impaired Loans ASC 310-10'!B360)</f>
        <v/>
      </c>
      <c r="C360" s="573">
        <f>IF(' Impaired Loans ASC 310-10'!C360="","",' Impaired Loans ASC 310-10'!C360)</f>
        <v/>
      </c>
      <c r="D360" s="573">
        <f>IF(' Impaired Loans ASC 310-10'!D360="","",' Impaired Loans ASC 310-10'!D360)</f>
        <v/>
      </c>
      <c r="E360" s="574">
        <f>IF(' Impaired Loans ASC 310-10'!E360="","",' Impaired Loans ASC 310-10'!E360)</f>
        <v/>
      </c>
      <c r="F360" s="575">
        <f>IF(' Impaired Loans ASC 310-10'!F360="","",' Impaired Loans ASC 310-10'!F360)</f>
        <v/>
      </c>
      <c r="G360" s="574">
        <f>IF(' Impaired Loans ASC 310-10'!G360="","",' Impaired Loans ASC 310-10'!G360)</f>
        <v/>
      </c>
      <c r="H360" s="574">
        <f>IF(' Impaired Loans ASC 310-10'!H360="","",' Impaired Loans ASC 310-10'!H360)</f>
        <v/>
      </c>
      <c r="I360" s="574">
        <f>IF(' Impaired Loans ASC 310-10'!I360="","",' Impaired Loans ASC 310-10'!I360)</f>
        <v/>
      </c>
      <c r="J360" s="574">
        <f>IF(' Impaired Loans ASC 310-10'!J360="","",' Impaired Loans ASC 310-10'!J360)</f>
        <v/>
      </c>
      <c r="K360" s="584" t="n"/>
      <c r="L360" s="578">
        <f>IFERROR(A360,"")</f>
        <v/>
      </c>
      <c r="M360" s="849">
        <f>IF(' Impaired Loans ASC 310-10'!A360="","",' Impaired Loans ASC 310-10'!K360)</f>
        <v/>
      </c>
      <c r="N360" s="580">
        <f>IF(' Impaired Loans ASC 310-10'!A360="","",' Impaired Loans ASC 310-10'!L360)</f>
        <v/>
      </c>
      <c r="O360" s="581">
        <f>IF(' Impaired Loans ASC 310-10'!A360="","",' Impaired Loans ASC 310-10'!M360)</f>
        <v/>
      </c>
      <c r="P360" s="582">
        <f>IF(' Impaired Loans ASC 310-10'!A360="","",' Impaired Loans ASC 310-10'!O360)</f>
        <v/>
      </c>
      <c r="Q360" s="583">
        <f>IF(' Impaired Loans ASC 310-10'!A360="","",' Impaired Loans ASC 310-10'!N360)</f>
        <v/>
      </c>
      <c r="R360" s="583">
        <f>IF(' Impaired Loans ASC 310-10'!A360="","",' Impaired Loans ASC 310-10'!P360)</f>
        <v/>
      </c>
      <c r="S360" s="583">
        <f>IF(' Impaired Loans ASC 310-10'!A360="","",' Impaired Loans ASC 310-10'!Q360)</f>
        <v/>
      </c>
    </row>
    <row r="361">
      <c r="A361" s="573">
        <f>IF(' Impaired Loans ASC 310-10'!A361="","",' Impaired Loans ASC 310-10'!A361)</f>
        <v/>
      </c>
      <c r="B361" s="573">
        <f>IF(' Impaired Loans ASC 310-10'!B361="","",' Impaired Loans ASC 310-10'!B361)</f>
        <v/>
      </c>
      <c r="C361" s="573">
        <f>IF(' Impaired Loans ASC 310-10'!C361="","",' Impaired Loans ASC 310-10'!C361)</f>
        <v/>
      </c>
      <c r="D361" s="573">
        <f>IF(' Impaired Loans ASC 310-10'!D361="","",' Impaired Loans ASC 310-10'!D361)</f>
        <v/>
      </c>
      <c r="E361" s="574">
        <f>IF(' Impaired Loans ASC 310-10'!E361="","",' Impaired Loans ASC 310-10'!E361)</f>
        <v/>
      </c>
      <c r="F361" s="575">
        <f>IF(' Impaired Loans ASC 310-10'!F361="","",' Impaired Loans ASC 310-10'!F361)</f>
        <v/>
      </c>
      <c r="G361" s="574">
        <f>IF(' Impaired Loans ASC 310-10'!G361="","",' Impaired Loans ASC 310-10'!G361)</f>
        <v/>
      </c>
      <c r="H361" s="574">
        <f>IF(' Impaired Loans ASC 310-10'!H361="","",' Impaired Loans ASC 310-10'!H361)</f>
        <v/>
      </c>
      <c r="I361" s="574">
        <f>IF(' Impaired Loans ASC 310-10'!I361="","",' Impaired Loans ASC 310-10'!I361)</f>
        <v/>
      </c>
      <c r="J361" s="574">
        <f>IF(' Impaired Loans ASC 310-10'!J361="","",' Impaired Loans ASC 310-10'!J361)</f>
        <v/>
      </c>
      <c r="K361" s="584" t="n"/>
      <c r="L361" s="578">
        <f>IFERROR(A361,"")</f>
        <v/>
      </c>
      <c r="M361" s="849">
        <f>IF(' Impaired Loans ASC 310-10'!A361="","",' Impaired Loans ASC 310-10'!K361)</f>
        <v/>
      </c>
      <c r="N361" s="580">
        <f>IF(' Impaired Loans ASC 310-10'!A361="","",' Impaired Loans ASC 310-10'!L361)</f>
        <v/>
      </c>
      <c r="O361" s="581">
        <f>IF(' Impaired Loans ASC 310-10'!A361="","",' Impaired Loans ASC 310-10'!M361)</f>
        <v/>
      </c>
      <c r="P361" s="582">
        <f>IF(' Impaired Loans ASC 310-10'!A361="","",' Impaired Loans ASC 310-10'!O361)</f>
        <v/>
      </c>
      <c r="Q361" s="583">
        <f>IF(' Impaired Loans ASC 310-10'!A361="","",' Impaired Loans ASC 310-10'!N361)</f>
        <v/>
      </c>
      <c r="R361" s="583">
        <f>IF(' Impaired Loans ASC 310-10'!A361="","",' Impaired Loans ASC 310-10'!P361)</f>
        <v/>
      </c>
      <c r="S361" s="583">
        <f>IF(' Impaired Loans ASC 310-10'!A361="","",' Impaired Loans ASC 310-10'!Q361)</f>
        <v/>
      </c>
    </row>
    <row r="362">
      <c r="A362" s="573">
        <f>IF(' Impaired Loans ASC 310-10'!A362="","",' Impaired Loans ASC 310-10'!A362)</f>
        <v/>
      </c>
      <c r="B362" s="573">
        <f>IF(' Impaired Loans ASC 310-10'!B362="","",' Impaired Loans ASC 310-10'!B362)</f>
        <v/>
      </c>
      <c r="C362" s="573">
        <f>IF(' Impaired Loans ASC 310-10'!C362="","",' Impaired Loans ASC 310-10'!C362)</f>
        <v/>
      </c>
      <c r="D362" s="573">
        <f>IF(' Impaired Loans ASC 310-10'!D362="","",' Impaired Loans ASC 310-10'!D362)</f>
        <v/>
      </c>
      <c r="E362" s="574">
        <f>IF(' Impaired Loans ASC 310-10'!E362="","",' Impaired Loans ASC 310-10'!E362)</f>
        <v/>
      </c>
      <c r="F362" s="575">
        <f>IF(' Impaired Loans ASC 310-10'!F362="","",' Impaired Loans ASC 310-10'!F362)</f>
        <v/>
      </c>
      <c r="G362" s="574">
        <f>IF(' Impaired Loans ASC 310-10'!G362="","",' Impaired Loans ASC 310-10'!G362)</f>
        <v/>
      </c>
      <c r="H362" s="574">
        <f>IF(' Impaired Loans ASC 310-10'!H362="","",' Impaired Loans ASC 310-10'!H362)</f>
        <v/>
      </c>
      <c r="I362" s="574">
        <f>IF(' Impaired Loans ASC 310-10'!I362="","",' Impaired Loans ASC 310-10'!I362)</f>
        <v/>
      </c>
      <c r="J362" s="574">
        <f>IF(' Impaired Loans ASC 310-10'!J362="","",' Impaired Loans ASC 310-10'!J362)</f>
        <v/>
      </c>
      <c r="K362" s="584" t="n"/>
      <c r="L362" s="578">
        <f>IFERROR(A362,"")</f>
        <v/>
      </c>
      <c r="M362" s="849">
        <f>IF(' Impaired Loans ASC 310-10'!A362="","",' Impaired Loans ASC 310-10'!K362)</f>
        <v/>
      </c>
      <c r="N362" s="580">
        <f>IF(' Impaired Loans ASC 310-10'!A362="","",' Impaired Loans ASC 310-10'!L362)</f>
        <v/>
      </c>
      <c r="O362" s="581">
        <f>IF(' Impaired Loans ASC 310-10'!A362="","",' Impaired Loans ASC 310-10'!M362)</f>
        <v/>
      </c>
      <c r="P362" s="582">
        <f>IF(' Impaired Loans ASC 310-10'!A362="","",' Impaired Loans ASC 310-10'!O362)</f>
        <v/>
      </c>
      <c r="Q362" s="583">
        <f>IF(' Impaired Loans ASC 310-10'!A362="","",' Impaired Loans ASC 310-10'!N362)</f>
        <v/>
      </c>
      <c r="R362" s="583">
        <f>IF(' Impaired Loans ASC 310-10'!A362="","",' Impaired Loans ASC 310-10'!P362)</f>
        <v/>
      </c>
      <c r="S362" s="583">
        <f>IF(' Impaired Loans ASC 310-10'!A362="","",' Impaired Loans ASC 310-10'!Q362)</f>
        <v/>
      </c>
    </row>
    <row r="363">
      <c r="A363" s="573">
        <f>IF(' Impaired Loans ASC 310-10'!A363="","",' Impaired Loans ASC 310-10'!A363)</f>
        <v/>
      </c>
      <c r="B363" s="573">
        <f>IF(' Impaired Loans ASC 310-10'!B363="","",' Impaired Loans ASC 310-10'!B363)</f>
        <v/>
      </c>
      <c r="C363" s="573">
        <f>IF(' Impaired Loans ASC 310-10'!C363="","",' Impaired Loans ASC 310-10'!C363)</f>
        <v/>
      </c>
      <c r="D363" s="573">
        <f>IF(' Impaired Loans ASC 310-10'!D363="","",' Impaired Loans ASC 310-10'!D363)</f>
        <v/>
      </c>
      <c r="E363" s="574">
        <f>IF(' Impaired Loans ASC 310-10'!E363="","",' Impaired Loans ASC 310-10'!E363)</f>
        <v/>
      </c>
      <c r="F363" s="575">
        <f>IF(' Impaired Loans ASC 310-10'!F363="","",' Impaired Loans ASC 310-10'!F363)</f>
        <v/>
      </c>
      <c r="G363" s="574">
        <f>IF(' Impaired Loans ASC 310-10'!G363="","",' Impaired Loans ASC 310-10'!G363)</f>
        <v/>
      </c>
      <c r="H363" s="574">
        <f>IF(' Impaired Loans ASC 310-10'!H363="","",' Impaired Loans ASC 310-10'!H363)</f>
        <v/>
      </c>
      <c r="I363" s="574">
        <f>IF(' Impaired Loans ASC 310-10'!I363="","",' Impaired Loans ASC 310-10'!I363)</f>
        <v/>
      </c>
      <c r="J363" s="574">
        <f>IF(' Impaired Loans ASC 310-10'!J363="","",' Impaired Loans ASC 310-10'!J363)</f>
        <v/>
      </c>
      <c r="K363" s="584" t="n"/>
      <c r="L363" s="578">
        <f>IFERROR(A363,"")</f>
        <v/>
      </c>
      <c r="M363" s="849">
        <f>IF(' Impaired Loans ASC 310-10'!A363="","",' Impaired Loans ASC 310-10'!K363)</f>
        <v/>
      </c>
      <c r="N363" s="580">
        <f>IF(' Impaired Loans ASC 310-10'!A363="","",' Impaired Loans ASC 310-10'!L363)</f>
        <v/>
      </c>
      <c r="O363" s="581">
        <f>IF(' Impaired Loans ASC 310-10'!A363="","",' Impaired Loans ASC 310-10'!M363)</f>
        <v/>
      </c>
      <c r="P363" s="582">
        <f>IF(' Impaired Loans ASC 310-10'!A363="","",' Impaired Loans ASC 310-10'!O363)</f>
        <v/>
      </c>
      <c r="Q363" s="583">
        <f>IF(' Impaired Loans ASC 310-10'!A363="","",' Impaired Loans ASC 310-10'!N363)</f>
        <v/>
      </c>
      <c r="R363" s="583">
        <f>IF(' Impaired Loans ASC 310-10'!A363="","",' Impaired Loans ASC 310-10'!P363)</f>
        <v/>
      </c>
      <c r="S363" s="583">
        <f>IF(' Impaired Loans ASC 310-10'!A363="","",' Impaired Loans ASC 310-10'!Q363)</f>
        <v/>
      </c>
    </row>
    <row r="364">
      <c r="A364" s="573">
        <f>IF(' Impaired Loans ASC 310-10'!A364="","",' Impaired Loans ASC 310-10'!A364)</f>
        <v/>
      </c>
      <c r="B364" s="573">
        <f>IF(' Impaired Loans ASC 310-10'!B364="","",' Impaired Loans ASC 310-10'!B364)</f>
        <v/>
      </c>
      <c r="C364" s="573">
        <f>IF(' Impaired Loans ASC 310-10'!C364="","",' Impaired Loans ASC 310-10'!C364)</f>
        <v/>
      </c>
      <c r="D364" s="573">
        <f>IF(' Impaired Loans ASC 310-10'!D364="","",' Impaired Loans ASC 310-10'!D364)</f>
        <v/>
      </c>
      <c r="E364" s="574">
        <f>IF(' Impaired Loans ASC 310-10'!E364="","",' Impaired Loans ASC 310-10'!E364)</f>
        <v/>
      </c>
      <c r="F364" s="575">
        <f>IF(' Impaired Loans ASC 310-10'!F364="","",' Impaired Loans ASC 310-10'!F364)</f>
        <v/>
      </c>
      <c r="G364" s="574">
        <f>IF(' Impaired Loans ASC 310-10'!G364="","",' Impaired Loans ASC 310-10'!G364)</f>
        <v/>
      </c>
      <c r="H364" s="574">
        <f>IF(' Impaired Loans ASC 310-10'!H364="","",' Impaired Loans ASC 310-10'!H364)</f>
        <v/>
      </c>
      <c r="I364" s="574">
        <f>IF(' Impaired Loans ASC 310-10'!I364="","",' Impaired Loans ASC 310-10'!I364)</f>
        <v/>
      </c>
      <c r="J364" s="574">
        <f>IF(' Impaired Loans ASC 310-10'!J364="","",' Impaired Loans ASC 310-10'!J364)</f>
        <v/>
      </c>
      <c r="K364" s="584" t="n"/>
      <c r="L364" s="578">
        <f>IFERROR(A364,"")</f>
        <v/>
      </c>
      <c r="M364" s="849">
        <f>IF(' Impaired Loans ASC 310-10'!A364="","",' Impaired Loans ASC 310-10'!K364)</f>
        <v/>
      </c>
      <c r="N364" s="580">
        <f>IF(' Impaired Loans ASC 310-10'!A364="","",' Impaired Loans ASC 310-10'!L364)</f>
        <v/>
      </c>
      <c r="O364" s="581">
        <f>IF(' Impaired Loans ASC 310-10'!A364="","",' Impaired Loans ASC 310-10'!M364)</f>
        <v/>
      </c>
      <c r="P364" s="582">
        <f>IF(' Impaired Loans ASC 310-10'!A364="","",' Impaired Loans ASC 310-10'!O364)</f>
        <v/>
      </c>
      <c r="Q364" s="583">
        <f>IF(' Impaired Loans ASC 310-10'!A364="","",' Impaired Loans ASC 310-10'!N364)</f>
        <v/>
      </c>
      <c r="R364" s="583">
        <f>IF(' Impaired Loans ASC 310-10'!A364="","",' Impaired Loans ASC 310-10'!P364)</f>
        <v/>
      </c>
      <c r="S364" s="583">
        <f>IF(' Impaired Loans ASC 310-10'!A364="","",' Impaired Loans ASC 310-10'!Q364)</f>
        <v/>
      </c>
    </row>
    <row r="365">
      <c r="A365" s="573">
        <f>IF(' Impaired Loans ASC 310-10'!A365="","",' Impaired Loans ASC 310-10'!A365)</f>
        <v/>
      </c>
      <c r="B365" s="573">
        <f>IF(' Impaired Loans ASC 310-10'!B365="","",' Impaired Loans ASC 310-10'!B365)</f>
        <v/>
      </c>
      <c r="C365" s="573">
        <f>IF(' Impaired Loans ASC 310-10'!C365="","",' Impaired Loans ASC 310-10'!C365)</f>
        <v/>
      </c>
      <c r="D365" s="573">
        <f>IF(' Impaired Loans ASC 310-10'!D365="","",' Impaired Loans ASC 310-10'!D365)</f>
        <v/>
      </c>
      <c r="E365" s="574">
        <f>IF(' Impaired Loans ASC 310-10'!E365="","",' Impaired Loans ASC 310-10'!E365)</f>
        <v/>
      </c>
      <c r="F365" s="575">
        <f>IF(' Impaired Loans ASC 310-10'!F365="","",' Impaired Loans ASC 310-10'!F365)</f>
        <v/>
      </c>
      <c r="G365" s="574">
        <f>IF(' Impaired Loans ASC 310-10'!G365="","",' Impaired Loans ASC 310-10'!G365)</f>
        <v/>
      </c>
      <c r="H365" s="574">
        <f>IF(' Impaired Loans ASC 310-10'!H365="","",' Impaired Loans ASC 310-10'!H365)</f>
        <v/>
      </c>
      <c r="I365" s="574">
        <f>IF(' Impaired Loans ASC 310-10'!I365="","",' Impaired Loans ASC 310-10'!I365)</f>
        <v/>
      </c>
      <c r="J365" s="574">
        <f>IF(' Impaired Loans ASC 310-10'!J365="","",' Impaired Loans ASC 310-10'!J365)</f>
        <v/>
      </c>
      <c r="K365" s="584" t="n"/>
      <c r="L365" s="578">
        <f>IFERROR(A365,"")</f>
        <v/>
      </c>
      <c r="M365" s="849">
        <f>IF(' Impaired Loans ASC 310-10'!A365="","",' Impaired Loans ASC 310-10'!K365)</f>
        <v/>
      </c>
      <c r="N365" s="580">
        <f>IF(' Impaired Loans ASC 310-10'!A365="","",' Impaired Loans ASC 310-10'!L365)</f>
        <v/>
      </c>
      <c r="O365" s="581">
        <f>IF(' Impaired Loans ASC 310-10'!A365="","",' Impaired Loans ASC 310-10'!M365)</f>
        <v/>
      </c>
      <c r="P365" s="582">
        <f>IF(' Impaired Loans ASC 310-10'!A365="","",' Impaired Loans ASC 310-10'!O365)</f>
        <v/>
      </c>
      <c r="Q365" s="583">
        <f>IF(' Impaired Loans ASC 310-10'!A365="","",' Impaired Loans ASC 310-10'!N365)</f>
        <v/>
      </c>
      <c r="R365" s="583">
        <f>IF(' Impaired Loans ASC 310-10'!A365="","",' Impaired Loans ASC 310-10'!P365)</f>
        <v/>
      </c>
      <c r="S365" s="583">
        <f>IF(' Impaired Loans ASC 310-10'!A365="","",' Impaired Loans ASC 310-10'!Q365)</f>
        <v/>
      </c>
    </row>
    <row r="366">
      <c r="A366" s="573">
        <f>IF(' Impaired Loans ASC 310-10'!A366="","",' Impaired Loans ASC 310-10'!A366)</f>
        <v/>
      </c>
      <c r="B366" s="573">
        <f>IF(' Impaired Loans ASC 310-10'!B366="","",' Impaired Loans ASC 310-10'!B366)</f>
        <v/>
      </c>
      <c r="C366" s="573">
        <f>IF(' Impaired Loans ASC 310-10'!C366="","",' Impaired Loans ASC 310-10'!C366)</f>
        <v/>
      </c>
      <c r="D366" s="573">
        <f>IF(' Impaired Loans ASC 310-10'!D366="","",' Impaired Loans ASC 310-10'!D366)</f>
        <v/>
      </c>
      <c r="E366" s="574">
        <f>IF(' Impaired Loans ASC 310-10'!E366="","",' Impaired Loans ASC 310-10'!E366)</f>
        <v/>
      </c>
      <c r="F366" s="575">
        <f>IF(' Impaired Loans ASC 310-10'!F366="","",' Impaired Loans ASC 310-10'!F366)</f>
        <v/>
      </c>
      <c r="G366" s="574">
        <f>IF(' Impaired Loans ASC 310-10'!G366="","",' Impaired Loans ASC 310-10'!G366)</f>
        <v/>
      </c>
      <c r="H366" s="574">
        <f>IF(' Impaired Loans ASC 310-10'!H366="","",' Impaired Loans ASC 310-10'!H366)</f>
        <v/>
      </c>
      <c r="I366" s="574">
        <f>IF(' Impaired Loans ASC 310-10'!I366="","",' Impaired Loans ASC 310-10'!I366)</f>
        <v/>
      </c>
      <c r="J366" s="574">
        <f>IF(' Impaired Loans ASC 310-10'!J366="","",' Impaired Loans ASC 310-10'!J366)</f>
        <v/>
      </c>
      <c r="K366" s="584" t="n"/>
      <c r="L366" s="578">
        <f>IFERROR(A366,"")</f>
        <v/>
      </c>
      <c r="M366" s="849">
        <f>IF(' Impaired Loans ASC 310-10'!A366="","",' Impaired Loans ASC 310-10'!K366)</f>
        <v/>
      </c>
      <c r="N366" s="580">
        <f>IF(' Impaired Loans ASC 310-10'!A366="","",' Impaired Loans ASC 310-10'!L366)</f>
        <v/>
      </c>
      <c r="O366" s="581">
        <f>IF(' Impaired Loans ASC 310-10'!A366="","",' Impaired Loans ASC 310-10'!M366)</f>
        <v/>
      </c>
      <c r="P366" s="582">
        <f>IF(' Impaired Loans ASC 310-10'!A366="","",' Impaired Loans ASC 310-10'!O366)</f>
        <v/>
      </c>
      <c r="Q366" s="583">
        <f>IF(' Impaired Loans ASC 310-10'!A366="","",' Impaired Loans ASC 310-10'!N366)</f>
        <v/>
      </c>
      <c r="R366" s="583">
        <f>IF(' Impaired Loans ASC 310-10'!A366="","",' Impaired Loans ASC 310-10'!P366)</f>
        <v/>
      </c>
      <c r="S366" s="583">
        <f>IF(' Impaired Loans ASC 310-10'!A366="","",' Impaired Loans ASC 310-10'!Q366)</f>
        <v/>
      </c>
    </row>
    <row r="367">
      <c r="A367" s="573">
        <f>IF(' Impaired Loans ASC 310-10'!A367="","",' Impaired Loans ASC 310-10'!A367)</f>
        <v/>
      </c>
      <c r="B367" s="573">
        <f>IF(' Impaired Loans ASC 310-10'!B367="","",' Impaired Loans ASC 310-10'!B367)</f>
        <v/>
      </c>
      <c r="C367" s="573">
        <f>IF(' Impaired Loans ASC 310-10'!C367="","",' Impaired Loans ASC 310-10'!C367)</f>
        <v/>
      </c>
      <c r="D367" s="573">
        <f>IF(' Impaired Loans ASC 310-10'!D367="","",' Impaired Loans ASC 310-10'!D367)</f>
        <v/>
      </c>
      <c r="E367" s="574">
        <f>IF(' Impaired Loans ASC 310-10'!E367="","",' Impaired Loans ASC 310-10'!E367)</f>
        <v/>
      </c>
      <c r="F367" s="575">
        <f>IF(' Impaired Loans ASC 310-10'!F367="","",' Impaired Loans ASC 310-10'!F367)</f>
        <v/>
      </c>
      <c r="G367" s="574">
        <f>IF(' Impaired Loans ASC 310-10'!G367="","",' Impaired Loans ASC 310-10'!G367)</f>
        <v/>
      </c>
      <c r="H367" s="574">
        <f>IF(' Impaired Loans ASC 310-10'!H367="","",' Impaired Loans ASC 310-10'!H367)</f>
        <v/>
      </c>
      <c r="I367" s="574">
        <f>IF(' Impaired Loans ASC 310-10'!I367="","",' Impaired Loans ASC 310-10'!I367)</f>
        <v/>
      </c>
      <c r="J367" s="574">
        <f>IF(' Impaired Loans ASC 310-10'!J367="","",' Impaired Loans ASC 310-10'!J367)</f>
        <v/>
      </c>
      <c r="K367" s="584" t="n"/>
      <c r="L367" s="578">
        <f>IFERROR(A367,"")</f>
        <v/>
      </c>
      <c r="M367" s="849">
        <f>IF(' Impaired Loans ASC 310-10'!A367="","",' Impaired Loans ASC 310-10'!K367)</f>
        <v/>
      </c>
      <c r="N367" s="580">
        <f>IF(' Impaired Loans ASC 310-10'!A367="","",' Impaired Loans ASC 310-10'!L367)</f>
        <v/>
      </c>
      <c r="O367" s="581">
        <f>IF(' Impaired Loans ASC 310-10'!A367="","",' Impaired Loans ASC 310-10'!M367)</f>
        <v/>
      </c>
      <c r="P367" s="582">
        <f>IF(' Impaired Loans ASC 310-10'!A367="","",' Impaired Loans ASC 310-10'!O367)</f>
        <v/>
      </c>
      <c r="Q367" s="583">
        <f>IF(' Impaired Loans ASC 310-10'!A367="","",' Impaired Loans ASC 310-10'!N367)</f>
        <v/>
      </c>
      <c r="R367" s="583">
        <f>IF(' Impaired Loans ASC 310-10'!A367="","",' Impaired Loans ASC 310-10'!P367)</f>
        <v/>
      </c>
      <c r="S367" s="583">
        <f>IF(' Impaired Loans ASC 310-10'!A367="","",' Impaired Loans ASC 310-10'!Q367)</f>
        <v/>
      </c>
    </row>
    <row r="368">
      <c r="A368" s="573">
        <f>IF(' Impaired Loans ASC 310-10'!A368="","",' Impaired Loans ASC 310-10'!A368)</f>
        <v/>
      </c>
      <c r="B368" s="573">
        <f>IF(' Impaired Loans ASC 310-10'!B368="","",' Impaired Loans ASC 310-10'!B368)</f>
        <v/>
      </c>
      <c r="C368" s="573">
        <f>IF(' Impaired Loans ASC 310-10'!C368="","",' Impaired Loans ASC 310-10'!C368)</f>
        <v/>
      </c>
      <c r="D368" s="573">
        <f>IF(' Impaired Loans ASC 310-10'!D368="","",' Impaired Loans ASC 310-10'!D368)</f>
        <v/>
      </c>
      <c r="E368" s="574">
        <f>IF(' Impaired Loans ASC 310-10'!E368="","",' Impaired Loans ASC 310-10'!E368)</f>
        <v/>
      </c>
      <c r="F368" s="575">
        <f>IF(' Impaired Loans ASC 310-10'!F368="","",' Impaired Loans ASC 310-10'!F368)</f>
        <v/>
      </c>
      <c r="G368" s="574">
        <f>IF(' Impaired Loans ASC 310-10'!G368="","",' Impaired Loans ASC 310-10'!G368)</f>
        <v/>
      </c>
      <c r="H368" s="574">
        <f>IF(' Impaired Loans ASC 310-10'!H368="","",' Impaired Loans ASC 310-10'!H368)</f>
        <v/>
      </c>
      <c r="I368" s="574">
        <f>IF(' Impaired Loans ASC 310-10'!I368="","",' Impaired Loans ASC 310-10'!I368)</f>
        <v/>
      </c>
      <c r="J368" s="574">
        <f>IF(' Impaired Loans ASC 310-10'!J368="","",' Impaired Loans ASC 310-10'!J368)</f>
        <v/>
      </c>
      <c r="K368" s="584" t="n"/>
      <c r="L368" s="578">
        <f>IFERROR(A368,"")</f>
        <v/>
      </c>
      <c r="M368" s="849">
        <f>IF(' Impaired Loans ASC 310-10'!A368="","",' Impaired Loans ASC 310-10'!K368)</f>
        <v/>
      </c>
      <c r="N368" s="580">
        <f>IF(' Impaired Loans ASC 310-10'!A368="","",' Impaired Loans ASC 310-10'!L368)</f>
        <v/>
      </c>
      <c r="O368" s="581">
        <f>IF(' Impaired Loans ASC 310-10'!A368="","",' Impaired Loans ASC 310-10'!M368)</f>
        <v/>
      </c>
      <c r="P368" s="582">
        <f>IF(' Impaired Loans ASC 310-10'!A368="","",' Impaired Loans ASC 310-10'!O368)</f>
        <v/>
      </c>
      <c r="Q368" s="583">
        <f>IF(' Impaired Loans ASC 310-10'!A368="","",' Impaired Loans ASC 310-10'!N368)</f>
        <v/>
      </c>
      <c r="R368" s="583">
        <f>IF(' Impaired Loans ASC 310-10'!A368="","",' Impaired Loans ASC 310-10'!P368)</f>
        <v/>
      </c>
      <c r="S368" s="583">
        <f>IF(' Impaired Loans ASC 310-10'!A368="","",' Impaired Loans ASC 310-10'!Q368)</f>
        <v/>
      </c>
    </row>
    <row r="369">
      <c r="A369" s="573">
        <f>IF(' Impaired Loans ASC 310-10'!A369="","",' Impaired Loans ASC 310-10'!A369)</f>
        <v/>
      </c>
      <c r="B369" s="573">
        <f>IF(' Impaired Loans ASC 310-10'!B369="","",' Impaired Loans ASC 310-10'!B369)</f>
        <v/>
      </c>
      <c r="C369" s="573">
        <f>IF(' Impaired Loans ASC 310-10'!C369="","",' Impaired Loans ASC 310-10'!C369)</f>
        <v/>
      </c>
      <c r="D369" s="573">
        <f>IF(' Impaired Loans ASC 310-10'!D369="","",' Impaired Loans ASC 310-10'!D369)</f>
        <v/>
      </c>
      <c r="E369" s="574">
        <f>IF(' Impaired Loans ASC 310-10'!E369="","",' Impaired Loans ASC 310-10'!E369)</f>
        <v/>
      </c>
      <c r="F369" s="575">
        <f>IF(' Impaired Loans ASC 310-10'!F369="","",' Impaired Loans ASC 310-10'!F369)</f>
        <v/>
      </c>
      <c r="G369" s="574">
        <f>IF(' Impaired Loans ASC 310-10'!G369="","",' Impaired Loans ASC 310-10'!G369)</f>
        <v/>
      </c>
      <c r="H369" s="574">
        <f>IF(' Impaired Loans ASC 310-10'!H369="","",' Impaired Loans ASC 310-10'!H369)</f>
        <v/>
      </c>
      <c r="I369" s="574">
        <f>IF(' Impaired Loans ASC 310-10'!I369="","",' Impaired Loans ASC 310-10'!I369)</f>
        <v/>
      </c>
      <c r="J369" s="574">
        <f>IF(' Impaired Loans ASC 310-10'!J369="","",' Impaired Loans ASC 310-10'!J369)</f>
        <v/>
      </c>
      <c r="K369" s="584" t="n"/>
      <c r="L369" s="578">
        <f>IFERROR(A369,"")</f>
        <v/>
      </c>
      <c r="M369" s="849">
        <f>IF(' Impaired Loans ASC 310-10'!A369="","",' Impaired Loans ASC 310-10'!K369)</f>
        <v/>
      </c>
      <c r="N369" s="580">
        <f>IF(' Impaired Loans ASC 310-10'!A369="","",' Impaired Loans ASC 310-10'!L369)</f>
        <v/>
      </c>
      <c r="O369" s="581">
        <f>IF(' Impaired Loans ASC 310-10'!A369="","",' Impaired Loans ASC 310-10'!M369)</f>
        <v/>
      </c>
      <c r="P369" s="582">
        <f>IF(' Impaired Loans ASC 310-10'!A369="","",' Impaired Loans ASC 310-10'!O369)</f>
        <v/>
      </c>
      <c r="Q369" s="583">
        <f>IF(' Impaired Loans ASC 310-10'!A369="","",' Impaired Loans ASC 310-10'!N369)</f>
        <v/>
      </c>
      <c r="R369" s="583">
        <f>IF(' Impaired Loans ASC 310-10'!A369="","",' Impaired Loans ASC 310-10'!P369)</f>
        <v/>
      </c>
      <c r="S369" s="583">
        <f>IF(' Impaired Loans ASC 310-10'!A369="","",' Impaired Loans ASC 310-10'!Q369)</f>
        <v/>
      </c>
    </row>
    <row r="370">
      <c r="A370" s="573">
        <f>IF(' Impaired Loans ASC 310-10'!A370="","",' Impaired Loans ASC 310-10'!A370)</f>
        <v/>
      </c>
      <c r="B370" s="573">
        <f>IF(' Impaired Loans ASC 310-10'!B370="","",' Impaired Loans ASC 310-10'!B370)</f>
        <v/>
      </c>
      <c r="C370" s="573">
        <f>IF(' Impaired Loans ASC 310-10'!C370="","",' Impaired Loans ASC 310-10'!C370)</f>
        <v/>
      </c>
      <c r="D370" s="573">
        <f>IF(' Impaired Loans ASC 310-10'!D370="","",' Impaired Loans ASC 310-10'!D370)</f>
        <v/>
      </c>
      <c r="E370" s="574">
        <f>IF(' Impaired Loans ASC 310-10'!E370="","",' Impaired Loans ASC 310-10'!E370)</f>
        <v/>
      </c>
      <c r="F370" s="575">
        <f>IF(' Impaired Loans ASC 310-10'!F370="","",' Impaired Loans ASC 310-10'!F370)</f>
        <v/>
      </c>
      <c r="G370" s="574">
        <f>IF(' Impaired Loans ASC 310-10'!G370="","",' Impaired Loans ASC 310-10'!G370)</f>
        <v/>
      </c>
      <c r="H370" s="574">
        <f>IF(' Impaired Loans ASC 310-10'!H370="","",' Impaired Loans ASC 310-10'!H370)</f>
        <v/>
      </c>
      <c r="I370" s="574">
        <f>IF(' Impaired Loans ASC 310-10'!I370="","",' Impaired Loans ASC 310-10'!I370)</f>
        <v/>
      </c>
      <c r="J370" s="574">
        <f>IF(' Impaired Loans ASC 310-10'!J370="","",' Impaired Loans ASC 310-10'!J370)</f>
        <v/>
      </c>
      <c r="K370" s="584" t="n"/>
      <c r="L370" s="578">
        <f>IFERROR(A370,"")</f>
        <v/>
      </c>
      <c r="M370" s="849">
        <f>IF(' Impaired Loans ASC 310-10'!A370="","",' Impaired Loans ASC 310-10'!K370)</f>
        <v/>
      </c>
      <c r="N370" s="580">
        <f>IF(' Impaired Loans ASC 310-10'!A370="","",' Impaired Loans ASC 310-10'!L370)</f>
        <v/>
      </c>
      <c r="O370" s="581">
        <f>IF(' Impaired Loans ASC 310-10'!A370="","",' Impaired Loans ASC 310-10'!M370)</f>
        <v/>
      </c>
      <c r="P370" s="582">
        <f>IF(' Impaired Loans ASC 310-10'!A370="","",' Impaired Loans ASC 310-10'!O370)</f>
        <v/>
      </c>
      <c r="Q370" s="583">
        <f>IF(' Impaired Loans ASC 310-10'!A370="","",' Impaired Loans ASC 310-10'!N370)</f>
        <v/>
      </c>
      <c r="R370" s="583">
        <f>IF(' Impaired Loans ASC 310-10'!A370="","",' Impaired Loans ASC 310-10'!P370)</f>
        <v/>
      </c>
      <c r="S370" s="583">
        <f>IF(' Impaired Loans ASC 310-10'!A370="","",' Impaired Loans ASC 310-10'!Q370)</f>
        <v/>
      </c>
    </row>
    <row r="371">
      <c r="A371" s="573">
        <f>IF(' Impaired Loans ASC 310-10'!A371="","",' Impaired Loans ASC 310-10'!A371)</f>
        <v/>
      </c>
      <c r="B371" s="573">
        <f>IF(' Impaired Loans ASC 310-10'!B371="","",' Impaired Loans ASC 310-10'!B371)</f>
        <v/>
      </c>
      <c r="C371" s="573">
        <f>IF(' Impaired Loans ASC 310-10'!C371="","",' Impaired Loans ASC 310-10'!C371)</f>
        <v/>
      </c>
      <c r="D371" s="573">
        <f>IF(' Impaired Loans ASC 310-10'!D371="","",' Impaired Loans ASC 310-10'!D371)</f>
        <v/>
      </c>
      <c r="E371" s="574">
        <f>IF(' Impaired Loans ASC 310-10'!E371="","",' Impaired Loans ASC 310-10'!E371)</f>
        <v/>
      </c>
      <c r="F371" s="575">
        <f>IF(' Impaired Loans ASC 310-10'!F371="","",' Impaired Loans ASC 310-10'!F371)</f>
        <v/>
      </c>
      <c r="G371" s="574">
        <f>IF(' Impaired Loans ASC 310-10'!G371="","",' Impaired Loans ASC 310-10'!G371)</f>
        <v/>
      </c>
      <c r="H371" s="574">
        <f>IF(' Impaired Loans ASC 310-10'!H371="","",' Impaired Loans ASC 310-10'!H371)</f>
        <v/>
      </c>
      <c r="I371" s="574">
        <f>IF(' Impaired Loans ASC 310-10'!I371="","",' Impaired Loans ASC 310-10'!I371)</f>
        <v/>
      </c>
      <c r="J371" s="574">
        <f>IF(' Impaired Loans ASC 310-10'!J371="","",' Impaired Loans ASC 310-10'!J371)</f>
        <v/>
      </c>
      <c r="K371" s="584" t="n"/>
      <c r="L371" s="578">
        <f>IFERROR(A371,"")</f>
        <v/>
      </c>
      <c r="M371" s="849">
        <f>IF(' Impaired Loans ASC 310-10'!A371="","",' Impaired Loans ASC 310-10'!K371)</f>
        <v/>
      </c>
      <c r="N371" s="580">
        <f>IF(' Impaired Loans ASC 310-10'!A371="","",' Impaired Loans ASC 310-10'!L371)</f>
        <v/>
      </c>
      <c r="O371" s="581">
        <f>IF(' Impaired Loans ASC 310-10'!A371="","",' Impaired Loans ASC 310-10'!M371)</f>
        <v/>
      </c>
      <c r="P371" s="582">
        <f>IF(' Impaired Loans ASC 310-10'!A371="","",' Impaired Loans ASC 310-10'!O371)</f>
        <v/>
      </c>
      <c r="Q371" s="583">
        <f>IF(' Impaired Loans ASC 310-10'!A371="","",' Impaired Loans ASC 310-10'!N371)</f>
        <v/>
      </c>
      <c r="R371" s="583">
        <f>IF(' Impaired Loans ASC 310-10'!A371="","",' Impaired Loans ASC 310-10'!P371)</f>
        <v/>
      </c>
      <c r="S371" s="583">
        <f>IF(' Impaired Loans ASC 310-10'!A371="","",' Impaired Loans ASC 310-10'!Q371)</f>
        <v/>
      </c>
    </row>
    <row r="372">
      <c r="A372" s="573">
        <f>IF(' Impaired Loans ASC 310-10'!A372="","",' Impaired Loans ASC 310-10'!A372)</f>
        <v/>
      </c>
      <c r="B372" s="573">
        <f>IF(' Impaired Loans ASC 310-10'!B372="","",' Impaired Loans ASC 310-10'!B372)</f>
        <v/>
      </c>
      <c r="C372" s="573">
        <f>IF(' Impaired Loans ASC 310-10'!C372="","",' Impaired Loans ASC 310-10'!C372)</f>
        <v/>
      </c>
      <c r="D372" s="573">
        <f>IF(' Impaired Loans ASC 310-10'!D372="","",' Impaired Loans ASC 310-10'!D372)</f>
        <v/>
      </c>
      <c r="E372" s="574">
        <f>IF(' Impaired Loans ASC 310-10'!E372="","",' Impaired Loans ASC 310-10'!E372)</f>
        <v/>
      </c>
      <c r="F372" s="575">
        <f>IF(' Impaired Loans ASC 310-10'!F372="","",' Impaired Loans ASC 310-10'!F372)</f>
        <v/>
      </c>
      <c r="G372" s="574">
        <f>IF(' Impaired Loans ASC 310-10'!G372="","",' Impaired Loans ASC 310-10'!G372)</f>
        <v/>
      </c>
      <c r="H372" s="574">
        <f>IF(' Impaired Loans ASC 310-10'!H372="","",' Impaired Loans ASC 310-10'!H372)</f>
        <v/>
      </c>
      <c r="I372" s="574">
        <f>IF(' Impaired Loans ASC 310-10'!I372="","",' Impaired Loans ASC 310-10'!I372)</f>
        <v/>
      </c>
      <c r="J372" s="574">
        <f>IF(' Impaired Loans ASC 310-10'!J372="","",' Impaired Loans ASC 310-10'!J372)</f>
        <v/>
      </c>
      <c r="K372" s="584" t="n"/>
      <c r="L372" s="578">
        <f>IFERROR(A372,"")</f>
        <v/>
      </c>
      <c r="M372" s="849">
        <f>IF(' Impaired Loans ASC 310-10'!A372="","",' Impaired Loans ASC 310-10'!K372)</f>
        <v/>
      </c>
      <c r="N372" s="580">
        <f>IF(' Impaired Loans ASC 310-10'!A372="","",' Impaired Loans ASC 310-10'!L372)</f>
        <v/>
      </c>
      <c r="O372" s="581">
        <f>IF(' Impaired Loans ASC 310-10'!A372="","",' Impaired Loans ASC 310-10'!M372)</f>
        <v/>
      </c>
      <c r="P372" s="582">
        <f>IF(' Impaired Loans ASC 310-10'!A372="","",' Impaired Loans ASC 310-10'!O372)</f>
        <v/>
      </c>
      <c r="Q372" s="583">
        <f>IF(' Impaired Loans ASC 310-10'!A372="","",' Impaired Loans ASC 310-10'!N372)</f>
        <v/>
      </c>
      <c r="R372" s="583">
        <f>IF(' Impaired Loans ASC 310-10'!A372="","",' Impaired Loans ASC 310-10'!P372)</f>
        <v/>
      </c>
      <c r="S372" s="583">
        <f>IF(' Impaired Loans ASC 310-10'!A372="","",' Impaired Loans ASC 310-10'!Q372)</f>
        <v/>
      </c>
    </row>
    <row r="373">
      <c r="A373" s="573">
        <f>IF(' Impaired Loans ASC 310-10'!A373="","",' Impaired Loans ASC 310-10'!A373)</f>
        <v/>
      </c>
      <c r="B373" s="573">
        <f>IF(' Impaired Loans ASC 310-10'!B373="","",' Impaired Loans ASC 310-10'!B373)</f>
        <v/>
      </c>
      <c r="C373" s="573">
        <f>IF(' Impaired Loans ASC 310-10'!C373="","",' Impaired Loans ASC 310-10'!C373)</f>
        <v/>
      </c>
      <c r="D373" s="573">
        <f>IF(' Impaired Loans ASC 310-10'!D373="","",' Impaired Loans ASC 310-10'!D373)</f>
        <v/>
      </c>
      <c r="E373" s="574">
        <f>IF(' Impaired Loans ASC 310-10'!E373="","",' Impaired Loans ASC 310-10'!E373)</f>
        <v/>
      </c>
      <c r="F373" s="575">
        <f>IF(' Impaired Loans ASC 310-10'!F373="","",' Impaired Loans ASC 310-10'!F373)</f>
        <v/>
      </c>
      <c r="G373" s="574">
        <f>IF(' Impaired Loans ASC 310-10'!G373="","",' Impaired Loans ASC 310-10'!G373)</f>
        <v/>
      </c>
      <c r="H373" s="574">
        <f>IF(' Impaired Loans ASC 310-10'!H373="","",' Impaired Loans ASC 310-10'!H373)</f>
        <v/>
      </c>
      <c r="I373" s="574">
        <f>IF(' Impaired Loans ASC 310-10'!I373="","",' Impaired Loans ASC 310-10'!I373)</f>
        <v/>
      </c>
      <c r="J373" s="574">
        <f>IF(' Impaired Loans ASC 310-10'!J373="","",' Impaired Loans ASC 310-10'!J373)</f>
        <v/>
      </c>
      <c r="K373" s="584" t="n"/>
      <c r="L373" s="578">
        <f>IFERROR(A373,"")</f>
        <v/>
      </c>
      <c r="M373" s="849">
        <f>IF(' Impaired Loans ASC 310-10'!A373="","",' Impaired Loans ASC 310-10'!K373)</f>
        <v/>
      </c>
      <c r="N373" s="580">
        <f>IF(' Impaired Loans ASC 310-10'!A373="","",' Impaired Loans ASC 310-10'!L373)</f>
        <v/>
      </c>
      <c r="O373" s="581">
        <f>IF(' Impaired Loans ASC 310-10'!A373="","",' Impaired Loans ASC 310-10'!M373)</f>
        <v/>
      </c>
      <c r="P373" s="582">
        <f>IF(' Impaired Loans ASC 310-10'!A373="","",' Impaired Loans ASC 310-10'!O373)</f>
        <v/>
      </c>
      <c r="Q373" s="583">
        <f>IF(' Impaired Loans ASC 310-10'!A373="","",' Impaired Loans ASC 310-10'!N373)</f>
        <v/>
      </c>
      <c r="R373" s="583">
        <f>IF(' Impaired Loans ASC 310-10'!A373="","",' Impaired Loans ASC 310-10'!P373)</f>
        <v/>
      </c>
      <c r="S373" s="583">
        <f>IF(' Impaired Loans ASC 310-10'!A373="","",' Impaired Loans ASC 310-10'!Q373)</f>
        <v/>
      </c>
    </row>
    <row r="374">
      <c r="A374" s="573">
        <f>IF(' Impaired Loans ASC 310-10'!A374="","",' Impaired Loans ASC 310-10'!A374)</f>
        <v/>
      </c>
      <c r="B374" s="573">
        <f>IF(' Impaired Loans ASC 310-10'!B374="","",' Impaired Loans ASC 310-10'!B374)</f>
        <v/>
      </c>
      <c r="C374" s="573">
        <f>IF(' Impaired Loans ASC 310-10'!C374="","",' Impaired Loans ASC 310-10'!C374)</f>
        <v/>
      </c>
      <c r="D374" s="573">
        <f>IF(' Impaired Loans ASC 310-10'!D374="","",' Impaired Loans ASC 310-10'!D374)</f>
        <v/>
      </c>
      <c r="E374" s="574">
        <f>IF(' Impaired Loans ASC 310-10'!E374="","",' Impaired Loans ASC 310-10'!E374)</f>
        <v/>
      </c>
      <c r="F374" s="575">
        <f>IF(' Impaired Loans ASC 310-10'!F374="","",' Impaired Loans ASC 310-10'!F374)</f>
        <v/>
      </c>
      <c r="G374" s="574">
        <f>IF(' Impaired Loans ASC 310-10'!G374="","",' Impaired Loans ASC 310-10'!G374)</f>
        <v/>
      </c>
      <c r="H374" s="574">
        <f>IF(' Impaired Loans ASC 310-10'!H374="","",' Impaired Loans ASC 310-10'!H374)</f>
        <v/>
      </c>
      <c r="I374" s="574">
        <f>IF(' Impaired Loans ASC 310-10'!I374="","",' Impaired Loans ASC 310-10'!I374)</f>
        <v/>
      </c>
      <c r="J374" s="574">
        <f>IF(' Impaired Loans ASC 310-10'!J374="","",' Impaired Loans ASC 310-10'!J374)</f>
        <v/>
      </c>
      <c r="K374" s="584" t="n"/>
      <c r="L374" s="578">
        <f>IFERROR(A374,"")</f>
        <v/>
      </c>
      <c r="M374" s="849">
        <f>IF(' Impaired Loans ASC 310-10'!A374="","",' Impaired Loans ASC 310-10'!K374)</f>
        <v/>
      </c>
      <c r="N374" s="580">
        <f>IF(' Impaired Loans ASC 310-10'!A374="","",' Impaired Loans ASC 310-10'!L374)</f>
        <v/>
      </c>
      <c r="O374" s="581">
        <f>IF(' Impaired Loans ASC 310-10'!A374="","",' Impaired Loans ASC 310-10'!M374)</f>
        <v/>
      </c>
      <c r="P374" s="582">
        <f>IF(' Impaired Loans ASC 310-10'!A374="","",' Impaired Loans ASC 310-10'!O374)</f>
        <v/>
      </c>
      <c r="Q374" s="583">
        <f>IF(' Impaired Loans ASC 310-10'!A374="","",' Impaired Loans ASC 310-10'!N374)</f>
        <v/>
      </c>
      <c r="R374" s="583">
        <f>IF(' Impaired Loans ASC 310-10'!A374="","",' Impaired Loans ASC 310-10'!P374)</f>
        <v/>
      </c>
      <c r="S374" s="583">
        <f>IF(' Impaired Loans ASC 310-10'!A374="","",' Impaired Loans ASC 310-10'!Q374)</f>
        <v/>
      </c>
    </row>
    <row r="375">
      <c r="A375" s="573">
        <f>IF(' Impaired Loans ASC 310-10'!A375="","",' Impaired Loans ASC 310-10'!A375)</f>
        <v/>
      </c>
      <c r="B375" s="573">
        <f>IF(' Impaired Loans ASC 310-10'!B375="","",' Impaired Loans ASC 310-10'!B375)</f>
        <v/>
      </c>
      <c r="C375" s="573">
        <f>IF(' Impaired Loans ASC 310-10'!C375="","",' Impaired Loans ASC 310-10'!C375)</f>
        <v/>
      </c>
      <c r="D375" s="573">
        <f>IF(' Impaired Loans ASC 310-10'!D375="","",' Impaired Loans ASC 310-10'!D375)</f>
        <v/>
      </c>
      <c r="E375" s="574">
        <f>IF(' Impaired Loans ASC 310-10'!E375="","",' Impaired Loans ASC 310-10'!E375)</f>
        <v/>
      </c>
      <c r="F375" s="575">
        <f>IF(' Impaired Loans ASC 310-10'!F375="","",' Impaired Loans ASC 310-10'!F375)</f>
        <v/>
      </c>
      <c r="G375" s="574">
        <f>IF(' Impaired Loans ASC 310-10'!G375="","",' Impaired Loans ASC 310-10'!G375)</f>
        <v/>
      </c>
      <c r="H375" s="574">
        <f>IF(' Impaired Loans ASC 310-10'!H375="","",' Impaired Loans ASC 310-10'!H375)</f>
        <v/>
      </c>
      <c r="I375" s="574">
        <f>IF(' Impaired Loans ASC 310-10'!I375="","",' Impaired Loans ASC 310-10'!I375)</f>
        <v/>
      </c>
      <c r="J375" s="574">
        <f>IF(' Impaired Loans ASC 310-10'!J375="","",' Impaired Loans ASC 310-10'!J375)</f>
        <v/>
      </c>
      <c r="K375" s="584" t="n"/>
      <c r="L375" s="578">
        <f>IFERROR(A375,"")</f>
        <v/>
      </c>
      <c r="M375" s="849">
        <f>IF(' Impaired Loans ASC 310-10'!A375="","",' Impaired Loans ASC 310-10'!K375)</f>
        <v/>
      </c>
      <c r="N375" s="580">
        <f>IF(' Impaired Loans ASC 310-10'!A375="","",' Impaired Loans ASC 310-10'!L375)</f>
        <v/>
      </c>
      <c r="O375" s="581">
        <f>IF(' Impaired Loans ASC 310-10'!A375="","",' Impaired Loans ASC 310-10'!M375)</f>
        <v/>
      </c>
      <c r="P375" s="582">
        <f>IF(' Impaired Loans ASC 310-10'!A375="","",' Impaired Loans ASC 310-10'!O375)</f>
        <v/>
      </c>
      <c r="Q375" s="583">
        <f>IF(' Impaired Loans ASC 310-10'!A375="","",' Impaired Loans ASC 310-10'!N375)</f>
        <v/>
      </c>
      <c r="R375" s="583">
        <f>IF(' Impaired Loans ASC 310-10'!A375="","",' Impaired Loans ASC 310-10'!P375)</f>
        <v/>
      </c>
      <c r="S375" s="583">
        <f>IF(' Impaired Loans ASC 310-10'!A375="","",' Impaired Loans ASC 310-10'!Q375)</f>
        <v/>
      </c>
    </row>
    <row r="376">
      <c r="A376" s="573">
        <f>IF(' Impaired Loans ASC 310-10'!A376="","",' Impaired Loans ASC 310-10'!A376)</f>
        <v/>
      </c>
      <c r="B376" s="573">
        <f>IF(' Impaired Loans ASC 310-10'!B376="","",' Impaired Loans ASC 310-10'!B376)</f>
        <v/>
      </c>
      <c r="C376" s="573">
        <f>IF(' Impaired Loans ASC 310-10'!C376="","",' Impaired Loans ASC 310-10'!C376)</f>
        <v/>
      </c>
      <c r="D376" s="573">
        <f>IF(' Impaired Loans ASC 310-10'!D376="","",' Impaired Loans ASC 310-10'!D376)</f>
        <v/>
      </c>
      <c r="E376" s="574">
        <f>IF(' Impaired Loans ASC 310-10'!E376="","",' Impaired Loans ASC 310-10'!E376)</f>
        <v/>
      </c>
      <c r="F376" s="575">
        <f>IF(' Impaired Loans ASC 310-10'!F376="","",' Impaired Loans ASC 310-10'!F376)</f>
        <v/>
      </c>
      <c r="G376" s="574">
        <f>IF(' Impaired Loans ASC 310-10'!G376="","",' Impaired Loans ASC 310-10'!G376)</f>
        <v/>
      </c>
      <c r="H376" s="574">
        <f>IF(' Impaired Loans ASC 310-10'!H376="","",' Impaired Loans ASC 310-10'!H376)</f>
        <v/>
      </c>
      <c r="I376" s="574">
        <f>IF(' Impaired Loans ASC 310-10'!I376="","",' Impaired Loans ASC 310-10'!I376)</f>
        <v/>
      </c>
      <c r="J376" s="574">
        <f>IF(' Impaired Loans ASC 310-10'!J376="","",' Impaired Loans ASC 310-10'!J376)</f>
        <v/>
      </c>
      <c r="K376" s="584" t="n"/>
      <c r="L376" s="578">
        <f>IFERROR(A376,"")</f>
        <v/>
      </c>
      <c r="M376" s="849">
        <f>IF(' Impaired Loans ASC 310-10'!A376="","",' Impaired Loans ASC 310-10'!K376)</f>
        <v/>
      </c>
      <c r="N376" s="580">
        <f>IF(' Impaired Loans ASC 310-10'!A376="","",' Impaired Loans ASC 310-10'!L376)</f>
        <v/>
      </c>
      <c r="O376" s="581">
        <f>IF(' Impaired Loans ASC 310-10'!A376="","",' Impaired Loans ASC 310-10'!M376)</f>
        <v/>
      </c>
      <c r="P376" s="582">
        <f>IF(' Impaired Loans ASC 310-10'!A376="","",' Impaired Loans ASC 310-10'!O376)</f>
        <v/>
      </c>
      <c r="Q376" s="583">
        <f>IF(' Impaired Loans ASC 310-10'!A376="","",' Impaired Loans ASC 310-10'!N376)</f>
        <v/>
      </c>
      <c r="R376" s="583">
        <f>IF(' Impaired Loans ASC 310-10'!A376="","",' Impaired Loans ASC 310-10'!P376)</f>
        <v/>
      </c>
      <c r="S376" s="583">
        <f>IF(' Impaired Loans ASC 310-10'!A376="","",' Impaired Loans ASC 310-10'!Q376)</f>
        <v/>
      </c>
    </row>
    <row r="377">
      <c r="A377" s="573">
        <f>IF(' Impaired Loans ASC 310-10'!A377="","",' Impaired Loans ASC 310-10'!A377)</f>
        <v/>
      </c>
      <c r="B377" s="573">
        <f>IF(' Impaired Loans ASC 310-10'!B377="","",' Impaired Loans ASC 310-10'!B377)</f>
        <v/>
      </c>
      <c r="C377" s="573">
        <f>IF(' Impaired Loans ASC 310-10'!C377="","",' Impaired Loans ASC 310-10'!C377)</f>
        <v/>
      </c>
      <c r="D377" s="573">
        <f>IF(' Impaired Loans ASC 310-10'!D377="","",' Impaired Loans ASC 310-10'!D377)</f>
        <v/>
      </c>
      <c r="E377" s="574">
        <f>IF(' Impaired Loans ASC 310-10'!E377="","",' Impaired Loans ASC 310-10'!E377)</f>
        <v/>
      </c>
      <c r="F377" s="575">
        <f>IF(' Impaired Loans ASC 310-10'!F377="","",' Impaired Loans ASC 310-10'!F377)</f>
        <v/>
      </c>
      <c r="G377" s="574">
        <f>IF(' Impaired Loans ASC 310-10'!G377="","",' Impaired Loans ASC 310-10'!G377)</f>
        <v/>
      </c>
      <c r="H377" s="574">
        <f>IF(' Impaired Loans ASC 310-10'!H377="","",' Impaired Loans ASC 310-10'!H377)</f>
        <v/>
      </c>
      <c r="I377" s="574">
        <f>IF(' Impaired Loans ASC 310-10'!I377="","",' Impaired Loans ASC 310-10'!I377)</f>
        <v/>
      </c>
      <c r="J377" s="574">
        <f>IF(' Impaired Loans ASC 310-10'!J377="","",' Impaired Loans ASC 310-10'!J377)</f>
        <v/>
      </c>
      <c r="K377" s="584" t="n"/>
      <c r="L377" s="578">
        <f>IFERROR(A377,"")</f>
        <v/>
      </c>
      <c r="M377" s="849">
        <f>IF(' Impaired Loans ASC 310-10'!A377="","",' Impaired Loans ASC 310-10'!K377)</f>
        <v/>
      </c>
      <c r="N377" s="580">
        <f>IF(' Impaired Loans ASC 310-10'!A377="","",' Impaired Loans ASC 310-10'!L377)</f>
        <v/>
      </c>
      <c r="O377" s="581">
        <f>IF(' Impaired Loans ASC 310-10'!A377="","",' Impaired Loans ASC 310-10'!M377)</f>
        <v/>
      </c>
      <c r="P377" s="582">
        <f>IF(' Impaired Loans ASC 310-10'!A377="","",' Impaired Loans ASC 310-10'!O377)</f>
        <v/>
      </c>
      <c r="Q377" s="583">
        <f>IF(' Impaired Loans ASC 310-10'!A377="","",' Impaired Loans ASC 310-10'!N377)</f>
        <v/>
      </c>
      <c r="R377" s="583">
        <f>IF(' Impaired Loans ASC 310-10'!A377="","",' Impaired Loans ASC 310-10'!P377)</f>
        <v/>
      </c>
      <c r="S377" s="583">
        <f>IF(' Impaired Loans ASC 310-10'!A377="","",' Impaired Loans ASC 310-10'!Q377)</f>
        <v/>
      </c>
    </row>
    <row r="378">
      <c r="A378" s="573">
        <f>IF(' Impaired Loans ASC 310-10'!A378="","",' Impaired Loans ASC 310-10'!A378)</f>
        <v/>
      </c>
      <c r="B378" s="573">
        <f>IF(' Impaired Loans ASC 310-10'!B378="","",' Impaired Loans ASC 310-10'!B378)</f>
        <v/>
      </c>
      <c r="C378" s="573">
        <f>IF(' Impaired Loans ASC 310-10'!C378="","",' Impaired Loans ASC 310-10'!C378)</f>
        <v/>
      </c>
      <c r="D378" s="573">
        <f>IF(' Impaired Loans ASC 310-10'!D378="","",' Impaired Loans ASC 310-10'!D378)</f>
        <v/>
      </c>
      <c r="E378" s="574">
        <f>IF(' Impaired Loans ASC 310-10'!E378="","",' Impaired Loans ASC 310-10'!E378)</f>
        <v/>
      </c>
      <c r="F378" s="575">
        <f>IF(' Impaired Loans ASC 310-10'!F378="","",' Impaired Loans ASC 310-10'!F378)</f>
        <v/>
      </c>
      <c r="G378" s="574">
        <f>IF(' Impaired Loans ASC 310-10'!G378="","",' Impaired Loans ASC 310-10'!G378)</f>
        <v/>
      </c>
      <c r="H378" s="574">
        <f>IF(' Impaired Loans ASC 310-10'!H378="","",' Impaired Loans ASC 310-10'!H378)</f>
        <v/>
      </c>
      <c r="I378" s="574">
        <f>IF(' Impaired Loans ASC 310-10'!I378="","",' Impaired Loans ASC 310-10'!I378)</f>
        <v/>
      </c>
      <c r="J378" s="574">
        <f>IF(' Impaired Loans ASC 310-10'!J378="","",' Impaired Loans ASC 310-10'!J378)</f>
        <v/>
      </c>
      <c r="K378" s="584" t="n"/>
      <c r="L378" s="578">
        <f>IFERROR(A378,"")</f>
        <v/>
      </c>
      <c r="M378" s="849">
        <f>IF(' Impaired Loans ASC 310-10'!A378="","",' Impaired Loans ASC 310-10'!K378)</f>
        <v/>
      </c>
      <c r="N378" s="580">
        <f>IF(' Impaired Loans ASC 310-10'!A378="","",' Impaired Loans ASC 310-10'!L378)</f>
        <v/>
      </c>
      <c r="O378" s="581">
        <f>IF(' Impaired Loans ASC 310-10'!A378="","",' Impaired Loans ASC 310-10'!M378)</f>
        <v/>
      </c>
      <c r="P378" s="582">
        <f>IF(' Impaired Loans ASC 310-10'!A378="","",' Impaired Loans ASC 310-10'!O378)</f>
        <v/>
      </c>
      <c r="Q378" s="583">
        <f>IF(' Impaired Loans ASC 310-10'!A378="","",' Impaired Loans ASC 310-10'!N378)</f>
        <v/>
      </c>
      <c r="R378" s="583">
        <f>IF(' Impaired Loans ASC 310-10'!A378="","",' Impaired Loans ASC 310-10'!P378)</f>
        <v/>
      </c>
      <c r="S378" s="583">
        <f>IF(' Impaired Loans ASC 310-10'!A378="","",' Impaired Loans ASC 310-10'!Q378)</f>
        <v/>
      </c>
    </row>
    <row r="379">
      <c r="A379" s="573">
        <f>IF(' Impaired Loans ASC 310-10'!A379="","",' Impaired Loans ASC 310-10'!A379)</f>
        <v/>
      </c>
      <c r="B379" s="573">
        <f>IF(' Impaired Loans ASC 310-10'!B379="","",' Impaired Loans ASC 310-10'!B379)</f>
        <v/>
      </c>
      <c r="C379" s="573">
        <f>IF(' Impaired Loans ASC 310-10'!C379="","",' Impaired Loans ASC 310-10'!C379)</f>
        <v/>
      </c>
      <c r="D379" s="573">
        <f>IF(' Impaired Loans ASC 310-10'!D379="","",' Impaired Loans ASC 310-10'!D379)</f>
        <v/>
      </c>
      <c r="E379" s="574">
        <f>IF(' Impaired Loans ASC 310-10'!E379="","",' Impaired Loans ASC 310-10'!E379)</f>
        <v/>
      </c>
      <c r="F379" s="575">
        <f>IF(' Impaired Loans ASC 310-10'!F379="","",' Impaired Loans ASC 310-10'!F379)</f>
        <v/>
      </c>
      <c r="G379" s="574">
        <f>IF(' Impaired Loans ASC 310-10'!G379="","",' Impaired Loans ASC 310-10'!G379)</f>
        <v/>
      </c>
      <c r="H379" s="574">
        <f>IF(' Impaired Loans ASC 310-10'!H379="","",' Impaired Loans ASC 310-10'!H379)</f>
        <v/>
      </c>
      <c r="I379" s="574">
        <f>IF(' Impaired Loans ASC 310-10'!I379="","",' Impaired Loans ASC 310-10'!I379)</f>
        <v/>
      </c>
      <c r="J379" s="574">
        <f>IF(' Impaired Loans ASC 310-10'!J379="","",' Impaired Loans ASC 310-10'!J379)</f>
        <v/>
      </c>
      <c r="K379" s="584" t="n"/>
      <c r="L379" s="578">
        <f>IFERROR(A379,"")</f>
        <v/>
      </c>
      <c r="M379" s="849">
        <f>IF(' Impaired Loans ASC 310-10'!A379="","",' Impaired Loans ASC 310-10'!K379)</f>
        <v/>
      </c>
      <c r="N379" s="580">
        <f>IF(' Impaired Loans ASC 310-10'!A379="","",' Impaired Loans ASC 310-10'!L379)</f>
        <v/>
      </c>
      <c r="O379" s="581">
        <f>IF(' Impaired Loans ASC 310-10'!A379="","",' Impaired Loans ASC 310-10'!M379)</f>
        <v/>
      </c>
      <c r="P379" s="582">
        <f>IF(' Impaired Loans ASC 310-10'!A379="","",' Impaired Loans ASC 310-10'!O379)</f>
        <v/>
      </c>
      <c r="Q379" s="583">
        <f>IF(' Impaired Loans ASC 310-10'!A379="","",' Impaired Loans ASC 310-10'!N379)</f>
        <v/>
      </c>
      <c r="R379" s="583">
        <f>IF(' Impaired Loans ASC 310-10'!A379="","",' Impaired Loans ASC 310-10'!P379)</f>
        <v/>
      </c>
      <c r="S379" s="583">
        <f>IF(' Impaired Loans ASC 310-10'!A379="","",' Impaired Loans ASC 310-10'!Q379)</f>
        <v/>
      </c>
    </row>
    <row r="380">
      <c r="A380" s="573">
        <f>IF(' Impaired Loans ASC 310-10'!A380="","",' Impaired Loans ASC 310-10'!A380)</f>
        <v/>
      </c>
      <c r="B380" s="573">
        <f>IF(' Impaired Loans ASC 310-10'!B380="","",' Impaired Loans ASC 310-10'!B380)</f>
        <v/>
      </c>
      <c r="C380" s="573">
        <f>IF(' Impaired Loans ASC 310-10'!C380="","",' Impaired Loans ASC 310-10'!C380)</f>
        <v/>
      </c>
      <c r="D380" s="573">
        <f>IF(' Impaired Loans ASC 310-10'!D380="","",' Impaired Loans ASC 310-10'!D380)</f>
        <v/>
      </c>
      <c r="E380" s="574">
        <f>IF(' Impaired Loans ASC 310-10'!E380="","",' Impaired Loans ASC 310-10'!E380)</f>
        <v/>
      </c>
      <c r="F380" s="575">
        <f>IF(' Impaired Loans ASC 310-10'!F380="","",' Impaired Loans ASC 310-10'!F380)</f>
        <v/>
      </c>
      <c r="G380" s="574">
        <f>IF(' Impaired Loans ASC 310-10'!G380="","",' Impaired Loans ASC 310-10'!G380)</f>
        <v/>
      </c>
      <c r="H380" s="574">
        <f>IF(' Impaired Loans ASC 310-10'!H380="","",' Impaired Loans ASC 310-10'!H380)</f>
        <v/>
      </c>
      <c r="I380" s="574">
        <f>IF(' Impaired Loans ASC 310-10'!I380="","",' Impaired Loans ASC 310-10'!I380)</f>
        <v/>
      </c>
      <c r="J380" s="574">
        <f>IF(' Impaired Loans ASC 310-10'!J380="","",' Impaired Loans ASC 310-10'!J380)</f>
        <v/>
      </c>
      <c r="K380" s="584" t="n"/>
      <c r="L380" s="578">
        <f>IFERROR(A380,"")</f>
        <v/>
      </c>
      <c r="M380" s="849">
        <f>IF(' Impaired Loans ASC 310-10'!A380="","",' Impaired Loans ASC 310-10'!K380)</f>
        <v/>
      </c>
      <c r="N380" s="580">
        <f>IF(' Impaired Loans ASC 310-10'!A380="","",' Impaired Loans ASC 310-10'!L380)</f>
        <v/>
      </c>
      <c r="O380" s="581">
        <f>IF(' Impaired Loans ASC 310-10'!A380="","",' Impaired Loans ASC 310-10'!M380)</f>
        <v/>
      </c>
      <c r="P380" s="582">
        <f>IF(' Impaired Loans ASC 310-10'!A380="","",' Impaired Loans ASC 310-10'!O380)</f>
        <v/>
      </c>
      <c r="Q380" s="583">
        <f>IF(' Impaired Loans ASC 310-10'!A380="","",' Impaired Loans ASC 310-10'!N380)</f>
        <v/>
      </c>
      <c r="R380" s="583">
        <f>IF(' Impaired Loans ASC 310-10'!A380="","",' Impaired Loans ASC 310-10'!P380)</f>
        <v/>
      </c>
      <c r="S380" s="583">
        <f>IF(' Impaired Loans ASC 310-10'!A380="","",' Impaired Loans ASC 310-10'!Q380)</f>
        <v/>
      </c>
    </row>
    <row r="381">
      <c r="A381" s="573">
        <f>IF(' Impaired Loans ASC 310-10'!A381="","",' Impaired Loans ASC 310-10'!A381)</f>
        <v/>
      </c>
      <c r="B381" s="573">
        <f>IF(' Impaired Loans ASC 310-10'!B381="","",' Impaired Loans ASC 310-10'!B381)</f>
        <v/>
      </c>
      <c r="C381" s="573">
        <f>IF(' Impaired Loans ASC 310-10'!C381="","",' Impaired Loans ASC 310-10'!C381)</f>
        <v/>
      </c>
      <c r="D381" s="573">
        <f>IF(' Impaired Loans ASC 310-10'!D381="","",' Impaired Loans ASC 310-10'!D381)</f>
        <v/>
      </c>
      <c r="E381" s="574">
        <f>IF(' Impaired Loans ASC 310-10'!E381="","",' Impaired Loans ASC 310-10'!E381)</f>
        <v/>
      </c>
      <c r="F381" s="575">
        <f>IF(' Impaired Loans ASC 310-10'!F381="","",' Impaired Loans ASC 310-10'!F381)</f>
        <v/>
      </c>
      <c r="G381" s="574">
        <f>IF(' Impaired Loans ASC 310-10'!G381="","",' Impaired Loans ASC 310-10'!G381)</f>
        <v/>
      </c>
      <c r="H381" s="574">
        <f>IF(' Impaired Loans ASC 310-10'!H381="","",' Impaired Loans ASC 310-10'!H381)</f>
        <v/>
      </c>
      <c r="I381" s="574">
        <f>IF(' Impaired Loans ASC 310-10'!I381="","",' Impaired Loans ASC 310-10'!I381)</f>
        <v/>
      </c>
      <c r="J381" s="574">
        <f>IF(' Impaired Loans ASC 310-10'!J381="","",' Impaired Loans ASC 310-10'!J381)</f>
        <v/>
      </c>
      <c r="K381" s="584" t="n"/>
      <c r="L381" s="578">
        <f>IFERROR(A381,"")</f>
        <v/>
      </c>
      <c r="M381" s="849">
        <f>IF(' Impaired Loans ASC 310-10'!A381="","",' Impaired Loans ASC 310-10'!K381)</f>
        <v/>
      </c>
      <c r="N381" s="580">
        <f>IF(' Impaired Loans ASC 310-10'!A381="","",' Impaired Loans ASC 310-10'!L381)</f>
        <v/>
      </c>
      <c r="O381" s="581">
        <f>IF(' Impaired Loans ASC 310-10'!A381="","",' Impaired Loans ASC 310-10'!M381)</f>
        <v/>
      </c>
      <c r="P381" s="582">
        <f>IF(' Impaired Loans ASC 310-10'!A381="","",' Impaired Loans ASC 310-10'!O381)</f>
        <v/>
      </c>
      <c r="Q381" s="583">
        <f>IF(' Impaired Loans ASC 310-10'!A381="","",' Impaired Loans ASC 310-10'!N381)</f>
        <v/>
      </c>
      <c r="R381" s="583">
        <f>IF(' Impaired Loans ASC 310-10'!A381="","",' Impaired Loans ASC 310-10'!P381)</f>
        <v/>
      </c>
      <c r="S381" s="583">
        <f>IF(' Impaired Loans ASC 310-10'!A381="","",' Impaired Loans ASC 310-10'!Q381)</f>
        <v/>
      </c>
    </row>
    <row r="382">
      <c r="A382" s="573">
        <f>IF(' Impaired Loans ASC 310-10'!A382="","",' Impaired Loans ASC 310-10'!A382)</f>
        <v/>
      </c>
      <c r="B382" s="573">
        <f>IF(' Impaired Loans ASC 310-10'!B382="","",' Impaired Loans ASC 310-10'!B382)</f>
        <v/>
      </c>
      <c r="C382" s="573">
        <f>IF(' Impaired Loans ASC 310-10'!C382="","",' Impaired Loans ASC 310-10'!C382)</f>
        <v/>
      </c>
      <c r="D382" s="573">
        <f>IF(' Impaired Loans ASC 310-10'!D382="","",' Impaired Loans ASC 310-10'!D382)</f>
        <v/>
      </c>
      <c r="E382" s="574">
        <f>IF(' Impaired Loans ASC 310-10'!E382="","",' Impaired Loans ASC 310-10'!E382)</f>
        <v/>
      </c>
      <c r="F382" s="575">
        <f>IF(' Impaired Loans ASC 310-10'!F382="","",' Impaired Loans ASC 310-10'!F382)</f>
        <v/>
      </c>
      <c r="G382" s="574">
        <f>IF(' Impaired Loans ASC 310-10'!G382="","",' Impaired Loans ASC 310-10'!G382)</f>
        <v/>
      </c>
      <c r="H382" s="574">
        <f>IF(' Impaired Loans ASC 310-10'!H382="","",' Impaired Loans ASC 310-10'!H382)</f>
        <v/>
      </c>
      <c r="I382" s="574">
        <f>IF(' Impaired Loans ASC 310-10'!I382="","",' Impaired Loans ASC 310-10'!I382)</f>
        <v/>
      </c>
      <c r="J382" s="574">
        <f>IF(' Impaired Loans ASC 310-10'!J382="","",' Impaired Loans ASC 310-10'!J382)</f>
        <v/>
      </c>
      <c r="K382" s="584" t="n"/>
      <c r="L382" s="578">
        <f>IFERROR(A382,"")</f>
        <v/>
      </c>
      <c r="M382" s="849">
        <f>IF(' Impaired Loans ASC 310-10'!A382="","",' Impaired Loans ASC 310-10'!K382)</f>
        <v/>
      </c>
      <c r="N382" s="580">
        <f>IF(' Impaired Loans ASC 310-10'!A382="","",' Impaired Loans ASC 310-10'!L382)</f>
        <v/>
      </c>
      <c r="O382" s="581">
        <f>IF(' Impaired Loans ASC 310-10'!A382="","",' Impaired Loans ASC 310-10'!M382)</f>
        <v/>
      </c>
      <c r="P382" s="582">
        <f>IF(' Impaired Loans ASC 310-10'!A382="","",' Impaired Loans ASC 310-10'!O382)</f>
        <v/>
      </c>
      <c r="Q382" s="583">
        <f>IF(' Impaired Loans ASC 310-10'!A382="","",' Impaired Loans ASC 310-10'!N382)</f>
        <v/>
      </c>
      <c r="R382" s="583">
        <f>IF(' Impaired Loans ASC 310-10'!A382="","",' Impaired Loans ASC 310-10'!P382)</f>
        <v/>
      </c>
      <c r="S382" s="583">
        <f>IF(' Impaired Loans ASC 310-10'!A382="","",' Impaired Loans ASC 310-10'!Q382)</f>
        <v/>
      </c>
    </row>
    <row r="383">
      <c r="A383" s="573">
        <f>IF(' Impaired Loans ASC 310-10'!A383="","",' Impaired Loans ASC 310-10'!A383)</f>
        <v/>
      </c>
      <c r="B383" s="573">
        <f>IF(' Impaired Loans ASC 310-10'!B383="","",' Impaired Loans ASC 310-10'!B383)</f>
        <v/>
      </c>
      <c r="C383" s="573">
        <f>IF(' Impaired Loans ASC 310-10'!C383="","",' Impaired Loans ASC 310-10'!C383)</f>
        <v/>
      </c>
      <c r="D383" s="573">
        <f>IF(' Impaired Loans ASC 310-10'!D383="","",' Impaired Loans ASC 310-10'!D383)</f>
        <v/>
      </c>
      <c r="E383" s="574">
        <f>IF(' Impaired Loans ASC 310-10'!E383="","",' Impaired Loans ASC 310-10'!E383)</f>
        <v/>
      </c>
      <c r="F383" s="575">
        <f>IF(' Impaired Loans ASC 310-10'!F383="","",' Impaired Loans ASC 310-10'!F383)</f>
        <v/>
      </c>
      <c r="G383" s="574">
        <f>IF(' Impaired Loans ASC 310-10'!G383="","",' Impaired Loans ASC 310-10'!G383)</f>
        <v/>
      </c>
      <c r="H383" s="574">
        <f>IF(' Impaired Loans ASC 310-10'!H383="","",' Impaired Loans ASC 310-10'!H383)</f>
        <v/>
      </c>
      <c r="I383" s="574">
        <f>IF(' Impaired Loans ASC 310-10'!I383="","",' Impaired Loans ASC 310-10'!I383)</f>
        <v/>
      </c>
      <c r="J383" s="574">
        <f>IF(' Impaired Loans ASC 310-10'!J383="","",' Impaired Loans ASC 310-10'!J383)</f>
        <v/>
      </c>
      <c r="K383" s="584" t="n"/>
      <c r="L383" s="578">
        <f>IFERROR(A383,"")</f>
        <v/>
      </c>
      <c r="M383" s="849">
        <f>IF(' Impaired Loans ASC 310-10'!A383="","",' Impaired Loans ASC 310-10'!K383)</f>
        <v/>
      </c>
      <c r="N383" s="580">
        <f>IF(' Impaired Loans ASC 310-10'!A383="","",' Impaired Loans ASC 310-10'!L383)</f>
        <v/>
      </c>
      <c r="O383" s="581">
        <f>IF(' Impaired Loans ASC 310-10'!A383="","",' Impaired Loans ASC 310-10'!M383)</f>
        <v/>
      </c>
      <c r="P383" s="582">
        <f>IF(' Impaired Loans ASC 310-10'!A383="","",' Impaired Loans ASC 310-10'!O383)</f>
        <v/>
      </c>
      <c r="Q383" s="583">
        <f>IF(' Impaired Loans ASC 310-10'!A383="","",' Impaired Loans ASC 310-10'!N383)</f>
        <v/>
      </c>
      <c r="R383" s="583">
        <f>IF(' Impaired Loans ASC 310-10'!A383="","",' Impaired Loans ASC 310-10'!P383)</f>
        <v/>
      </c>
      <c r="S383" s="583">
        <f>IF(' Impaired Loans ASC 310-10'!A383="","",' Impaired Loans ASC 310-10'!Q383)</f>
        <v/>
      </c>
    </row>
    <row r="384">
      <c r="A384" s="573">
        <f>IF(' Impaired Loans ASC 310-10'!A384="","",' Impaired Loans ASC 310-10'!A384)</f>
        <v/>
      </c>
      <c r="B384" s="573">
        <f>IF(' Impaired Loans ASC 310-10'!B384="","",' Impaired Loans ASC 310-10'!B384)</f>
        <v/>
      </c>
      <c r="C384" s="573">
        <f>IF(' Impaired Loans ASC 310-10'!C384="","",' Impaired Loans ASC 310-10'!C384)</f>
        <v/>
      </c>
      <c r="D384" s="573">
        <f>IF(' Impaired Loans ASC 310-10'!D384="","",' Impaired Loans ASC 310-10'!D384)</f>
        <v/>
      </c>
      <c r="E384" s="574">
        <f>IF(' Impaired Loans ASC 310-10'!E384="","",' Impaired Loans ASC 310-10'!E384)</f>
        <v/>
      </c>
      <c r="F384" s="575">
        <f>IF(' Impaired Loans ASC 310-10'!F384="","",' Impaired Loans ASC 310-10'!F384)</f>
        <v/>
      </c>
      <c r="G384" s="574">
        <f>IF(' Impaired Loans ASC 310-10'!G384="","",' Impaired Loans ASC 310-10'!G384)</f>
        <v/>
      </c>
      <c r="H384" s="574">
        <f>IF(' Impaired Loans ASC 310-10'!H384="","",' Impaired Loans ASC 310-10'!H384)</f>
        <v/>
      </c>
      <c r="I384" s="574">
        <f>IF(' Impaired Loans ASC 310-10'!I384="","",' Impaired Loans ASC 310-10'!I384)</f>
        <v/>
      </c>
      <c r="J384" s="574">
        <f>IF(' Impaired Loans ASC 310-10'!J384="","",' Impaired Loans ASC 310-10'!J384)</f>
        <v/>
      </c>
      <c r="K384" s="584" t="n"/>
      <c r="L384" s="578">
        <f>IFERROR(A384,"")</f>
        <v/>
      </c>
      <c r="M384" s="849">
        <f>IF(' Impaired Loans ASC 310-10'!A384="","",' Impaired Loans ASC 310-10'!K384)</f>
        <v/>
      </c>
      <c r="N384" s="580">
        <f>IF(' Impaired Loans ASC 310-10'!A384="","",' Impaired Loans ASC 310-10'!L384)</f>
        <v/>
      </c>
      <c r="O384" s="581">
        <f>IF(' Impaired Loans ASC 310-10'!A384="","",' Impaired Loans ASC 310-10'!M384)</f>
        <v/>
      </c>
      <c r="P384" s="582">
        <f>IF(' Impaired Loans ASC 310-10'!A384="","",' Impaired Loans ASC 310-10'!O384)</f>
        <v/>
      </c>
      <c r="Q384" s="583">
        <f>IF(' Impaired Loans ASC 310-10'!A384="","",' Impaired Loans ASC 310-10'!N384)</f>
        <v/>
      </c>
      <c r="R384" s="583">
        <f>IF(' Impaired Loans ASC 310-10'!A384="","",' Impaired Loans ASC 310-10'!P384)</f>
        <v/>
      </c>
      <c r="S384" s="583">
        <f>IF(' Impaired Loans ASC 310-10'!A384="","",' Impaired Loans ASC 310-10'!Q384)</f>
        <v/>
      </c>
    </row>
    <row r="385">
      <c r="A385" s="573">
        <f>IF(' Impaired Loans ASC 310-10'!A385="","",' Impaired Loans ASC 310-10'!A385)</f>
        <v/>
      </c>
      <c r="B385" s="573">
        <f>IF(' Impaired Loans ASC 310-10'!B385="","",' Impaired Loans ASC 310-10'!B385)</f>
        <v/>
      </c>
      <c r="C385" s="573">
        <f>IF(' Impaired Loans ASC 310-10'!C385="","",' Impaired Loans ASC 310-10'!C385)</f>
        <v/>
      </c>
      <c r="D385" s="573">
        <f>IF(' Impaired Loans ASC 310-10'!D385="","",' Impaired Loans ASC 310-10'!D385)</f>
        <v/>
      </c>
      <c r="E385" s="574">
        <f>IF(' Impaired Loans ASC 310-10'!E385="","",' Impaired Loans ASC 310-10'!E385)</f>
        <v/>
      </c>
      <c r="F385" s="575">
        <f>IF(' Impaired Loans ASC 310-10'!F385="","",' Impaired Loans ASC 310-10'!F385)</f>
        <v/>
      </c>
      <c r="G385" s="574">
        <f>IF(' Impaired Loans ASC 310-10'!G385="","",' Impaired Loans ASC 310-10'!G385)</f>
        <v/>
      </c>
      <c r="H385" s="574">
        <f>IF(' Impaired Loans ASC 310-10'!H385="","",' Impaired Loans ASC 310-10'!H385)</f>
        <v/>
      </c>
      <c r="I385" s="574">
        <f>IF(' Impaired Loans ASC 310-10'!I385="","",' Impaired Loans ASC 310-10'!I385)</f>
        <v/>
      </c>
      <c r="J385" s="574">
        <f>IF(' Impaired Loans ASC 310-10'!J385="","",' Impaired Loans ASC 310-10'!J385)</f>
        <v/>
      </c>
      <c r="K385" s="584" t="n"/>
      <c r="L385" s="578">
        <f>IFERROR(A385,"")</f>
        <v/>
      </c>
      <c r="M385" s="849">
        <f>IF(' Impaired Loans ASC 310-10'!A385="","",' Impaired Loans ASC 310-10'!K385)</f>
        <v/>
      </c>
      <c r="N385" s="580">
        <f>IF(' Impaired Loans ASC 310-10'!A385="","",' Impaired Loans ASC 310-10'!L385)</f>
        <v/>
      </c>
      <c r="O385" s="581">
        <f>IF(' Impaired Loans ASC 310-10'!A385="","",' Impaired Loans ASC 310-10'!M385)</f>
        <v/>
      </c>
      <c r="P385" s="582">
        <f>IF(' Impaired Loans ASC 310-10'!A385="","",' Impaired Loans ASC 310-10'!O385)</f>
        <v/>
      </c>
      <c r="Q385" s="583">
        <f>IF(' Impaired Loans ASC 310-10'!A385="","",' Impaired Loans ASC 310-10'!N385)</f>
        <v/>
      </c>
      <c r="R385" s="583">
        <f>IF(' Impaired Loans ASC 310-10'!A385="","",' Impaired Loans ASC 310-10'!P385)</f>
        <v/>
      </c>
      <c r="S385" s="583">
        <f>IF(' Impaired Loans ASC 310-10'!A385="","",' Impaired Loans ASC 310-10'!Q385)</f>
        <v/>
      </c>
    </row>
    <row r="386">
      <c r="A386" s="573">
        <f>IF(' Impaired Loans ASC 310-10'!A386="","",' Impaired Loans ASC 310-10'!A386)</f>
        <v/>
      </c>
      <c r="B386" s="573">
        <f>IF(' Impaired Loans ASC 310-10'!B386="","",' Impaired Loans ASC 310-10'!B386)</f>
        <v/>
      </c>
      <c r="C386" s="573">
        <f>IF(' Impaired Loans ASC 310-10'!C386="","",' Impaired Loans ASC 310-10'!C386)</f>
        <v/>
      </c>
      <c r="D386" s="573">
        <f>IF(' Impaired Loans ASC 310-10'!D386="","",' Impaired Loans ASC 310-10'!D386)</f>
        <v/>
      </c>
      <c r="E386" s="574">
        <f>IF(' Impaired Loans ASC 310-10'!E386="","",' Impaired Loans ASC 310-10'!E386)</f>
        <v/>
      </c>
      <c r="F386" s="575">
        <f>IF(' Impaired Loans ASC 310-10'!F386="","",' Impaired Loans ASC 310-10'!F386)</f>
        <v/>
      </c>
      <c r="G386" s="574">
        <f>IF(' Impaired Loans ASC 310-10'!G386="","",' Impaired Loans ASC 310-10'!G386)</f>
        <v/>
      </c>
      <c r="H386" s="574">
        <f>IF(' Impaired Loans ASC 310-10'!H386="","",' Impaired Loans ASC 310-10'!H386)</f>
        <v/>
      </c>
      <c r="I386" s="574">
        <f>IF(' Impaired Loans ASC 310-10'!I386="","",' Impaired Loans ASC 310-10'!I386)</f>
        <v/>
      </c>
      <c r="J386" s="574">
        <f>IF(' Impaired Loans ASC 310-10'!J386="","",' Impaired Loans ASC 310-10'!J386)</f>
        <v/>
      </c>
      <c r="K386" s="584" t="n"/>
      <c r="L386" s="578">
        <f>IFERROR(A386,"")</f>
        <v/>
      </c>
      <c r="M386" s="849">
        <f>IF(' Impaired Loans ASC 310-10'!A386="","",' Impaired Loans ASC 310-10'!K386)</f>
        <v/>
      </c>
      <c r="N386" s="580">
        <f>IF(' Impaired Loans ASC 310-10'!A386="","",' Impaired Loans ASC 310-10'!L386)</f>
        <v/>
      </c>
      <c r="O386" s="581">
        <f>IF(' Impaired Loans ASC 310-10'!A386="","",' Impaired Loans ASC 310-10'!M386)</f>
        <v/>
      </c>
      <c r="P386" s="582">
        <f>IF(' Impaired Loans ASC 310-10'!A386="","",' Impaired Loans ASC 310-10'!O386)</f>
        <v/>
      </c>
      <c r="Q386" s="583">
        <f>IF(' Impaired Loans ASC 310-10'!A386="","",' Impaired Loans ASC 310-10'!N386)</f>
        <v/>
      </c>
      <c r="R386" s="583">
        <f>IF(' Impaired Loans ASC 310-10'!A386="","",' Impaired Loans ASC 310-10'!P386)</f>
        <v/>
      </c>
      <c r="S386" s="583">
        <f>IF(' Impaired Loans ASC 310-10'!A386="","",' Impaired Loans ASC 310-10'!Q386)</f>
        <v/>
      </c>
    </row>
    <row r="387">
      <c r="A387" s="573">
        <f>IF(' Impaired Loans ASC 310-10'!A387="","",' Impaired Loans ASC 310-10'!A387)</f>
        <v/>
      </c>
      <c r="B387" s="573">
        <f>IF(' Impaired Loans ASC 310-10'!B387="","",' Impaired Loans ASC 310-10'!B387)</f>
        <v/>
      </c>
      <c r="C387" s="573">
        <f>IF(' Impaired Loans ASC 310-10'!C387="","",' Impaired Loans ASC 310-10'!C387)</f>
        <v/>
      </c>
      <c r="D387" s="573">
        <f>IF(' Impaired Loans ASC 310-10'!D387="","",' Impaired Loans ASC 310-10'!D387)</f>
        <v/>
      </c>
      <c r="E387" s="574">
        <f>IF(' Impaired Loans ASC 310-10'!E387="","",' Impaired Loans ASC 310-10'!E387)</f>
        <v/>
      </c>
      <c r="F387" s="575">
        <f>IF(' Impaired Loans ASC 310-10'!F387="","",' Impaired Loans ASC 310-10'!F387)</f>
        <v/>
      </c>
      <c r="G387" s="574">
        <f>IF(' Impaired Loans ASC 310-10'!G387="","",' Impaired Loans ASC 310-10'!G387)</f>
        <v/>
      </c>
      <c r="H387" s="574">
        <f>IF(' Impaired Loans ASC 310-10'!H387="","",' Impaired Loans ASC 310-10'!H387)</f>
        <v/>
      </c>
      <c r="I387" s="574">
        <f>IF(' Impaired Loans ASC 310-10'!I387="","",' Impaired Loans ASC 310-10'!I387)</f>
        <v/>
      </c>
      <c r="J387" s="574">
        <f>IF(' Impaired Loans ASC 310-10'!J387="","",' Impaired Loans ASC 310-10'!J387)</f>
        <v/>
      </c>
      <c r="K387" s="584" t="n"/>
      <c r="L387" s="578">
        <f>IFERROR(A387,"")</f>
        <v/>
      </c>
      <c r="M387" s="849">
        <f>IF(' Impaired Loans ASC 310-10'!A387="","",' Impaired Loans ASC 310-10'!K387)</f>
        <v/>
      </c>
      <c r="N387" s="580">
        <f>IF(' Impaired Loans ASC 310-10'!A387="","",' Impaired Loans ASC 310-10'!L387)</f>
        <v/>
      </c>
      <c r="O387" s="581">
        <f>IF(' Impaired Loans ASC 310-10'!A387="","",' Impaired Loans ASC 310-10'!M387)</f>
        <v/>
      </c>
      <c r="P387" s="582">
        <f>IF(' Impaired Loans ASC 310-10'!A387="","",' Impaired Loans ASC 310-10'!O387)</f>
        <v/>
      </c>
      <c r="Q387" s="583">
        <f>IF(' Impaired Loans ASC 310-10'!A387="","",' Impaired Loans ASC 310-10'!N387)</f>
        <v/>
      </c>
      <c r="R387" s="583">
        <f>IF(' Impaired Loans ASC 310-10'!A387="","",' Impaired Loans ASC 310-10'!P387)</f>
        <v/>
      </c>
      <c r="S387" s="583">
        <f>IF(' Impaired Loans ASC 310-10'!A387="","",' Impaired Loans ASC 310-10'!Q387)</f>
        <v/>
      </c>
    </row>
    <row r="388">
      <c r="A388" s="573">
        <f>IF(' Impaired Loans ASC 310-10'!A388="","",' Impaired Loans ASC 310-10'!A388)</f>
        <v/>
      </c>
      <c r="B388" s="573">
        <f>IF(' Impaired Loans ASC 310-10'!B388="","",' Impaired Loans ASC 310-10'!B388)</f>
        <v/>
      </c>
      <c r="C388" s="573">
        <f>IF(' Impaired Loans ASC 310-10'!C388="","",' Impaired Loans ASC 310-10'!C388)</f>
        <v/>
      </c>
      <c r="D388" s="573">
        <f>IF(' Impaired Loans ASC 310-10'!D388="","",' Impaired Loans ASC 310-10'!D388)</f>
        <v/>
      </c>
      <c r="E388" s="574">
        <f>IF(' Impaired Loans ASC 310-10'!E388="","",' Impaired Loans ASC 310-10'!E388)</f>
        <v/>
      </c>
      <c r="F388" s="575">
        <f>IF(' Impaired Loans ASC 310-10'!F388="","",' Impaired Loans ASC 310-10'!F388)</f>
        <v/>
      </c>
      <c r="G388" s="574">
        <f>IF(' Impaired Loans ASC 310-10'!G388="","",' Impaired Loans ASC 310-10'!G388)</f>
        <v/>
      </c>
      <c r="H388" s="574">
        <f>IF(' Impaired Loans ASC 310-10'!H388="","",' Impaired Loans ASC 310-10'!H388)</f>
        <v/>
      </c>
      <c r="I388" s="574">
        <f>IF(' Impaired Loans ASC 310-10'!I388="","",' Impaired Loans ASC 310-10'!I388)</f>
        <v/>
      </c>
      <c r="J388" s="574">
        <f>IF(' Impaired Loans ASC 310-10'!J388="","",' Impaired Loans ASC 310-10'!J388)</f>
        <v/>
      </c>
      <c r="K388" s="584" t="n"/>
      <c r="L388" s="578">
        <f>IFERROR(A388,"")</f>
        <v/>
      </c>
      <c r="M388" s="849">
        <f>IF(' Impaired Loans ASC 310-10'!A388="","",' Impaired Loans ASC 310-10'!K388)</f>
        <v/>
      </c>
      <c r="N388" s="580">
        <f>IF(' Impaired Loans ASC 310-10'!A388="","",' Impaired Loans ASC 310-10'!L388)</f>
        <v/>
      </c>
      <c r="O388" s="581">
        <f>IF(' Impaired Loans ASC 310-10'!A388="","",' Impaired Loans ASC 310-10'!M388)</f>
        <v/>
      </c>
      <c r="P388" s="582">
        <f>IF(' Impaired Loans ASC 310-10'!A388="","",' Impaired Loans ASC 310-10'!O388)</f>
        <v/>
      </c>
      <c r="Q388" s="583">
        <f>IF(' Impaired Loans ASC 310-10'!A388="","",' Impaired Loans ASC 310-10'!N388)</f>
        <v/>
      </c>
      <c r="R388" s="583">
        <f>IF(' Impaired Loans ASC 310-10'!A388="","",' Impaired Loans ASC 310-10'!P388)</f>
        <v/>
      </c>
      <c r="S388" s="583">
        <f>IF(' Impaired Loans ASC 310-10'!A388="","",' Impaired Loans ASC 310-10'!Q388)</f>
        <v/>
      </c>
    </row>
    <row r="389">
      <c r="A389" s="573">
        <f>IF(' Impaired Loans ASC 310-10'!A389="","",' Impaired Loans ASC 310-10'!A389)</f>
        <v/>
      </c>
      <c r="B389" s="573">
        <f>IF(' Impaired Loans ASC 310-10'!B389="","",' Impaired Loans ASC 310-10'!B389)</f>
        <v/>
      </c>
      <c r="C389" s="573">
        <f>IF(' Impaired Loans ASC 310-10'!C389="","",' Impaired Loans ASC 310-10'!C389)</f>
        <v/>
      </c>
      <c r="D389" s="573">
        <f>IF(' Impaired Loans ASC 310-10'!D389="","",' Impaired Loans ASC 310-10'!D389)</f>
        <v/>
      </c>
      <c r="E389" s="574">
        <f>IF(' Impaired Loans ASC 310-10'!E389="","",' Impaired Loans ASC 310-10'!E389)</f>
        <v/>
      </c>
      <c r="F389" s="575">
        <f>IF(' Impaired Loans ASC 310-10'!F389="","",' Impaired Loans ASC 310-10'!F389)</f>
        <v/>
      </c>
      <c r="G389" s="574">
        <f>IF(' Impaired Loans ASC 310-10'!G389="","",' Impaired Loans ASC 310-10'!G389)</f>
        <v/>
      </c>
      <c r="H389" s="574">
        <f>IF(' Impaired Loans ASC 310-10'!H389="","",' Impaired Loans ASC 310-10'!H389)</f>
        <v/>
      </c>
      <c r="I389" s="574">
        <f>IF(' Impaired Loans ASC 310-10'!I389="","",' Impaired Loans ASC 310-10'!I389)</f>
        <v/>
      </c>
      <c r="J389" s="574">
        <f>IF(' Impaired Loans ASC 310-10'!J389="","",' Impaired Loans ASC 310-10'!J389)</f>
        <v/>
      </c>
      <c r="K389" s="584" t="n"/>
      <c r="L389" s="578">
        <f>IFERROR(A389,"")</f>
        <v/>
      </c>
      <c r="M389" s="849">
        <f>IF(' Impaired Loans ASC 310-10'!A389="","",' Impaired Loans ASC 310-10'!K389)</f>
        <v/>
      </c>
      <c r="N389" s="580">
        <f>IF(' Impaired Loans ASC 310-10'!A389="","",' Impaired Loans ASC 310-10'!L389)</f>
        <v/>
      </c>
      <c r="O389" s="581">
        <f>IF(' Impaired Loans ASC 310-10'!A389="","",' Impaired Loans ASC 310-10'!M389)</f>
        <v/>
      </c>
      <c r="P389" s="582">
        <f>IF(' Impaired Loans ASC 310-10'!A389="","",' Impaired Loans ASC 310-10'!O389)</f>
        <v/>
      </c>
      <c r="Q389" s="583">
        <f>IF(' Impaired Loans ASC 310-10'!A389="","",' Impaired Loans ASC 310-10'!N389)</f>
        <v/>
      </c>
      <c r="R389" s="583">
        <f>IF(' Impaired Loans ASC 310-10'!A389="","",' Impaired Loans ASC 310-10'!P389)</f>
        <v/>
      </c>
      <c r="S389" s="583">
        <f>IF(' Impaired Loans ASC 310-10'!A389="","",' Impaired Loans ASC 310-10'!Q389)</f>
        <v/>
      </c>
    </row>
    <row r="390">
      <c r="A390" s="573">
        <f>IF(' Impaired Loans ASC 310-10'!A390="","",' Impaired Loans ASC 310-10'!A390)</f>
        <v/>
      </c>
      <c r="B390" s="573">
        <f>IF(' Impaired Loans ASC 310-10'!B390="","",' Impaired Loans ASC 310-10'!B390)</f>
        <v/>
      </c>
      <c r="C390" s="573">
        <f>IF(' Impaired Loans ASC 310-10'!C390="","",' Impaired Loans ASC 310-10'!C390)</f>
        <v/>
      </c>
      <c r="D390" s="573">
        <f>IF(' Impaired Loans ASC 310-10'!D390="","",' Impaired Loans ASC 310-10'!D390)</f>
        <v/>
      </c>
      <c r="E390" s="574">
        <f>IF(' Impaired Loans ASC 310-10'!E390="","",' Impaired Loans ASC 310-10'!E390)</f>
        <v/>
      </c>
      <c r="F390" s="575">
        <f>IF(' Impaired Loans ASC 310-10'!F390="","",' Impaired Loans ASC 310-10'!F390)</f>
        <v/>
      </c>
      <c r="G390" s="574">
        <f>IF(' Impaired Loans ASC 310-10'!G390="","",' Impaired Loans ASC 310-10'!G390)</f>
        <v/>
      </c>
      <c r="H390" s="574">
        <f>IF(' Impaired Loans ASC 310-10'!H390="","",' Impaired Loans ASC 310-10'!H390)</f>
        <v/>
      </c>
      <c r="I390" s="574">
        <f>IF(' Impaired Loans ASC 310-10'!I390="","",' Impaired Loans ASC 310-10'!I390)</f>
        <v/>
      </c>
      <c r="J390" s="574">
        <f>IF(' Impaired Loans ASC 310-10'!J390="","",' Impaired Loans ASC 310-10'!J390)</f>
        <v/>
      </c>
      <c r="K390" s="584" t="n"/>
      <c r="L390" s="578">
        <f>IFERROR(A390,"")</f>
        <v/>
      </c>
      <c r="M390" s="849">
        <f>IF(' Impaired Loans ASC 310-10'!A390="","",' Impaired Loans ASC 310-10'!K390)</f>
        <v/>
      </c>
      <c r="N390" s="580">
        <f>IF(' Impaired Loans ASC 310-10'!A390="","",' Impaired Loans ASC 310-10'!L390)</f>
        <v/>
      </c>
      <c r="O390" s="581">
        <f>IF(' Impaired Loans ASC 310-10'!A390="","",' Impaired Loans ASC 310-10'!M390)</f>
        <v/>
      </c>
      <c r="P390" s="582">
        <f>IF(' Impaired Loans ASC 310-10'!A390="","",' Impaired Loans ASC 310-10'!O390)</f>
        <v/>
      </c>
      <c r="Q390" s="583">
        <f>IF(' Impaired Loans ASC 310-10'!A390="","",' Impaired Loans ASC 310-10'!N390)</f>
        <v/>
      </c>
      <c r="R390" s="583">
        <f>IF(' Impaired Loans ASC 310-10'!A390="","",' Impaired Loans ASC 310-10'!P390)</f>
        <v/>
      </c>
      <c r="S390" s="583">
        <f>IF(' Impaired Loans ASC 310-10'!A390="","",' Impaired Loans ASC 310-10'!Q390)</f>
        <v/>
      </c>
    </row>
    <row r="391">
      <c r="A391" s="573">
        <f>IF(' Impaired Loans ASC 310-10'!A391="","",' Impaired Loans ASC 310-10'!A391)</f>
        <v/>
      </c>
      <c r="B391" s="573">
        <f>IF(' Impaired Loans ASC 310-10'!B391="","",' Impaired Loans ASC 310-10'!B391)</f>
        <v/>
      </c>
      <c r="C391" s="573">
        <f>IF(' Impaired Loans ASC 310-10'!C391="","",' Impaired Loans ASC 310-10'!C391)</f>
        <v/>
      </c>
      <c r="D391" s="573">
        <f>IF(' Impaired Loans ASC 310-10'!D391="","",' Impaired Loans ASC 310-10'!D391)</f>
        <v/>
      </c>
      <c r="E391" s="574">
        <f>IF(' Impaired Loans ASC 310-10'!E391="","",' Impaired Loans ASC 310-10'!E391)</f>
        <v/>
      </c>
      <c r="F391" s="575">
        <f>IF(' Impaired Loans ASC 310-10'!F391="","",' Impaired Loans ASC 310-10'!F391)</f>
        <v/>
      </c>
      <c r="G391" s="574">
        <f>IF(' Impaired Loans ASC 310-10'!G391="","",' Impaired Loans ASC 310-10'!G391)</f>
        <v/>
      </c>
      <c r="H391" s="574">
        <f>IF(' Impaired Loans ASC 310-10'!H391="","",' Impaired Loans ASC 310-10'!H391)</f>
        <v/>
      </c>
      <c r="I391" s="574">
        <f>IF(' Impaired Loans ASC 310-10'!I391="","",' Impaired Loans ASC 310-10'!I391)</f>
        <v/>
      </c>
      <c r="J391" s="574">
        <f>IF(' Impaired Loans ASC 310-10'!J391="","",' Impaired Loans ASC 310-10'!J391)</f>
        <v/>
      </c>
      <c r="K391" s="584" t="n"/>
      <c r="L391" s="578">
        <f>IFERROR(A391,"")</f>
        <v/>
      </c>
      <c r="M391" s="849">
        <f>IF(' Impaired Loans ASC 310-10'!A391="","",' Impaired Loans ASC 310-10'!K391)</f>
        <v/>
      </c>
      <c r="N391" s="580">
        <f>IF(' Impaired Loans ASC 310-10'!A391="","",' Impaired Loans ASC 310-10'!L391)</f>
        <v/>
      </c>
      <c r="O391" s="581">
        <f>IF(' Impaired Loans ASC 310-10'!A391="","",' Impaired Loans ASC 310-10'!M391)</f>
        <v/>
      </c>
      <c r="P391" s="582">
        <f>IF(' Impaired Loans ASC 310-10'!A391="","",' Impaired Loans ASC 310-10'!O391)</f>
        <v/>
      </c>
      <c r="Q391" s="583">
        <f>IF(' Impaired Loans ASC 310-10'!A391="","",' Impaired Loans ASC 310-10'!N391)</f>
        <v/>
      </c>
      <c r="R391" s="583">
        <f>IF(' Impaired Loans ASC 310-10'!A391="","",' Impaired Loans ASC 310-10'!P391)</f>
        <v/>
      </c>
      <c r="S391" s="583">
        <f>IF(' Impaired Loans ASC 310-10'!A391="","",' Impaired Loans ASC 310-10'!Q391)</f>
        <v/>
      </c>
    </row>
    <row r="392">
      <c r="A392" s="573">
        <f>IF(' Impaired Loans ASC 310-10'!A392="","",' Impaired Loans ASC 310-10'!A392)</f>
        <v/>
      </c>
      <c r="B392" s="573">
        <f>IF(' Impaired Loans ASC 310-10'!B392="","",' Impaired Loans ASC 310-10'!B392)</f>
        <v/>
      </c>
      <c r="C392" s="573">
        <f>IF(' Impaired Loans ASC 310-10'!C392="","",' Impaired Loans ASC 310-10'!C392)</f>
        <v/>
      </c>
      <c r="D392" s="573">
        <f>IF(' Impaired Loans ASC 310-10'!D392="","",' Impaired Loans ASC 310-10'!D392)</f>
        <v/>
      </c>
      <c r="E392" s="574">
        <f>IF(' Impaired Loans ASC 310-10'!E392="","",' Impaired Loans ASC 310-10'!E392)</f>
        <v/>
      </c>
      <c r="F392" s="575">
        <f>IF(' Impaired Loans ASC 310-10'!F392="","",' Impaired Loans ASC 310-10'!F392)</f>
        <v/>
      </c>
      <c r="G392" s="574">
        <f>IF(' Impaired Loans ASC 310-10'!G392="","",' Impaired Loans ASC 310-10'!G392)</f>
        <v/>
      </c>
      <c r="H392" s="574">
        <f>IF(' Impaired Loans ASC 310-10'!H392="","",' Impaired Loans ASC 310-10'!H392)</f>
        <v/>
      </c>
      <c r="I392" s="574">
        <f>IF(' Impaired Loans ASC 310-10'!I392="","",' Impaired Loans ASC 310-10'!I392)</f>
        <v/>
      </c>
      <c r="J392" s="574">
        <f>IF(' Impaired Loans ASC 310-10'!J392="","",' Impaired Loans ASC 310-10'!J392)</f>
        <v/>
      </c>
      <c r="K392" s="584" t="n"/>
      <c r="L392" s="578">
        <f>IFERROR(A392,"")</f>
        <v/>
      </c>
      <c r="M392" s="849">
        <f>IF(' Impaired Loans ASC 310-10'!A392="","",' Impaired Loans ASC 310-10'!K392)</f>
        <v/>
      </c>
      <c r="N392" s="580">
        <f>IF(' Impaired Loans ASC 310-10'!A392="","",' Impaired Loans ASC 310-10'!L392)</f>
        <v/>
      </c>
      <c r="O392" s="581">
        <f>IF(' Impaired Loans ASC 310-10'!A392="","",' Impaired Loans ASC 310-10'!M392)</f>
        <v/>
      </c>
      <c r="P392" s="582">
        <f>IF(' Impaired Loans ASC 310-10'!A392="","",' Impaired Loans ASC 310-10'!O392)</f>
        <v/>
      </c>
      <c r="Q392" s="583">
        <f>IF(' Impaired Loans ASC 310-10'!A392="","",' Impaired Loans ASC 310-10'!N392)</f>
        <v/>
      </c>
      <c r="R392" s="583">
        <f>IF(' Impaired Loans ASC 310-10'!A392="","",' Impaired Loans ASC 310-10'!P392)</f>
        <v/>
      </c>
      <c r="S392" s="583">
        <f>IF(' Impaired Loans ASC 310-10'!A392="","",' Impaired Loans ASC 310-10'!Q392)</f>
        <v/>
      </c>
    </row>
    <row r="393">
      <c r="A393" s="573">
        <f>IF(' Impaired Loans ASC 310-10'!A393="","",' Impaired Loans ASC 310-10'!A393)</f>
        <v/>
      </c>
      <c r="B393" s="573">
        <f>IF(' Impaired Loans ASC 310-10'!B393="","",' Impaired Loans ASC 310-10'!B393)</f>
        <v/>
      </c>
      <c r="C393" s="573">
        <f>IF(' Impaired Loans ASC 310-10'!C393="","",' Impaired Loans ASC 310-10'!C393)</f>
        <v/>
      </c>
      <c r="D393" s="573">
        <f>IF(' Impaired Loans ASC 310-10'!D393="","",' Impaired Loans ASC 310-10'!D393)</f>
        <v/>
      </c>
      <c r="E393" s="574">
        <f>IF(' Impaired Loans ASC 310-10'!E393="","",' Impaired Loans ASC 310-10'!E393)</f>
        <v/>
      </c>
      <c r="F393" s="575">
        <f>IF(' Impaired Loans ASC 310-10'!F393="","",' Impaired Loans ASC 310-10'!F393)</f>
        <v/>
      </c>
      <c r="G393" s="574">
        <f>IF(' Impaired Loans ASC 310-10'!G393="","",' Impaired Loans ASC 310-10'!G393)</f>
        <v/>
      </c>
      <c r="H393" s="574">
        <f>IF(' Impaired Loans ASC 310-10'!H393="","",' Impaired Loans ASC 310-10'!H393)</f>
        <v/>
      </c>
      <c r="I393" s="574">
        <f>IF(' Impaired Loans ASC 310-10'!I393="","",' Impaired Loans ASC 310-10'!I393)</f>
        <v/>
      </c>
      <c r="J393" s="574">
        <f>IF(' Impaired Loans ASC 310-10'!J393="","",' Impaired Loans ASC 310-10'!J393)</f>
        <v/>
      </c>
      <c r="K393" s="584" t="n"/>
      <c r="L393" s="578">
        <f>IFERROR(A393,"")</f>
        <v/>
      </c>
      <c r="M393" s="849">
        <f>IF(' Impaired Loans ASC 310-10'!A393="","",' Impaired Loans ASC 310-10'!K393)</f>
        <v/>
      </c>
      <c r="N393" s="580">
        <f>IF(' Impaired Loans ASC 310-10'!A393="","",' Impaired Loans ASC 310-10'!L393)</f>
        <v/>
      </c>
      <c r="O393" s="581">
        <f>IF(' Impaired Loans ASC 310-10'!A393="","",' Impaired Loans ASC 310-10'!M393)</f>
        <v/>
      </c>
      <c r="P393" s="582">
        <f>IF(' Impaired Loans ASC 310-10'!A393="","",' Impaired Loans ASC 310-10'!O393)</f>
        <v/>
      </c>
      <c r="Q393" s="583">
        <f>IF(' Impaired Loans ASC 310-10'!A393="","",' Impaired Loans ASC 310-10'!N393)</f>
        <v/>
      </c>
      <c r="R393" s="583">
        <f>IF(' Impaired Loans ASC 310-10'!A393="","",' Impaired Loans ASC 310-10'!P393)</f>
        <v/>
      </c>
      <c r="S393" s="583">
        <f>IF(' Impaired Loans ASC 310-10'!A393="","",' Impaired Loans ASC 310-10'!Q393)</f>
        <v/>
      </c>
    </row>
    <row r="394">
      <c r="A394" s="573">
        <f>IF(' Impaired Loans ASC 310-10'!A394="","",' Impaired Loans ASC 310-10'!A394)</f>
        <v/>
      </c>
      <c r="B394" s="573">
        <f>IF(' Impaired Loans ASC 310-10'!B394="","",' Impaired Loans ASC 310-10'!B394)</f>
        <v/>
      </c>
      <c r="C394" s="573">
        <f>IF(' Impaired Loans ASC 310-10'!C394="","",' Impaired Loans ASC 310-10'!C394)</f>
        <v/>
      </c>
      <c r="D394" s="573">
        <f>IF(' Impaired Loans ASC 310-10'!D394="","",' Impaired Loans ASC 310-10'!D394)</f>
        <v/>
      </c>
      <c r="E394" s="574">
        <f>IF(' Impaired Loans ASC 310-10'!E394="","",' Impaired Loans ASC 310-10'!E394)</f>
        <v/>
      </c>
      <c r="F394" s="575">
        <f>IF(' Impaired Loans ASC 310-10'!F394="","",' Impaired Loans ASC 310-10'!F394)</f>
        <v/>
      </c>
      <c r="G394" s="574">
        <f>IF(' Impaired Loans ASC 310-10'!G394="","",' Impaired Loans ASC 310-10'!G394)</f>
        <v/>
      </c>
      <c r="H394" s="574">
        <f>IF(' Impaired Loans ASC 310-10'!H394="","",' Impaired Loans ASC 310-10'!H394)</f>
        <v/>
      </c>
      <c r="I394" s="574">
        <f>IF(' Impaired Loans ASC 310-10'!I394="","",' Impaired Loans ASC 310-10'!I394)</f>
        <v/>
      </c>
      <c r="J394" s="574">
        <f>IF(' Impaired Loans ASC 310-10'!J394="","",' Impaired Loans ASC 310-10'!J394)</f>
        <v/>
      </c>
      <c r="K394" s="584" t="n"/>
      <c r="L394" s="578">
        <f>IFERROR(A394,"")</f>
        <v/>
      </c>
      <c r="M394" s="849">
        <f>IF(' Impaired Loans ASC 310-10'!A394="","",' Impaired Loans ASC 310-10'!K394)</f>
        <v/>
      </c>
      <c r="N394" s="580">
        <f>IF(' Impaired Loans ASC 310-10'!A394="","",' Impaired Loans ASC 310-10'!L394)</f>
        <v/>
      </c>
      <c r="O394" s="581">
        <f>IF(' Impaired Loans ASC 310-10'!A394="","",' Impaired Loans ASC 310-10'!M394)</f>
        <v/>
      </c>
      <c r="P394" s="582">
        <f>IF(' Impaired Loans ASC 310-10'!A394="","",' Impaired Loans ASC 310-10'!O394)</f>
        <v/>
      </c>
      <c r="Q394" s="583">
        <f>IF(' Impaired Loans ASC 310-10'!A394="","",' Impaired Loans ASC 310-10'!N394)</f>
        <v/>
      </c>
      <c r="R394" s="583">
        <f>IF(' Impaired Loans ASC 310-10'!A394="","",' Impaired Loans ASC 310-10'!P394)</f>
        <v/>
      </c>
      <c r="S394" s="583">
        <f>IF(' Impaired Loans ASC 310-10'!A394="","",' Impaired Loans ASC 310-10'!Q394)</f>
        <v/>
      </c>
    </row>
    <row r="395">
      <c r="A395" s="573">
        <f>IF(' Impaired Loans ASC 310-10'!A395="","",' Impaired Loans ASC 310-10'!A395)</f>
        <v/>
      </c>
      <c r="B395" s="573">
        <f>IF(' Impaired Loans ASC 310-10'!B395="","",' Impaired Loans ASC 310-10'!B395)</f>
        <v/>
      </c>
      <c r="C395" s="573">
        <f>IF(' Impaired Loans ASC 310-10'!C395="","",' Impaired Loans ASC 310-10'!C395)</f>
        <v/>
      </c>
      <c r="D395" s="573">
        <f>IF(' Impaired Loans ASC 310-10'!D395="","",' Impaired Loans ASC 310-10'!D395)</f>
        <v/>
      </c>
      <c r="E395" s="574">
        <f>IF(' Impaired Loans ASC 310-10'!E395="","",' Impaired Loans ASC 310-10'!E395)</f>
        <v/>
      </c>
      <c r="F395" s="575">
        <f>IF(' Impaired Loans ASC 310-10'!F395="","",' Impaired Loans ASC 310-10'!F395)</f>
        <v/>
      </c>
      <c r="G395" s="574">
        <f>IF(' Impaired Loans ASC 310-10'!G395="","",' Impaired Loans ASC 310-10'!G395)</f>
        <v/>
      </c>
      <c r="H395" s="574">
        <f>IF(' Impaired Loans ASC 310-10'!H395="","",' Impaired Loans ASC 310-10'!H395)</f>
        <v/>
      </c>
      <c r="I395" s="574">
        <f>IF(' Impaired Loans ASC 310-10'!I395="","",' Impaired Loans ASC 310-10'!I395)</f>
        <v/>
      </c>
      <c r="J395" s="574">
        <f>IF(' Impaired Loans ASC 310-10'!J395="","",' Impaired Loans ASC 310-10'!J395)</f>
        <v/>
      </c>
      <c r="K395" s="584" t="n"/>
      <c r="L395" s="578">
        <f>IFERROR(A395,"")</f>
        <v/>
      </c>
      <c r="M395" s="849">
        <f>IF(' Impaired Loans ASC 310-10'!A395="","",' Impaired Loans ASC 310-10'!K395)</f>
        <v/>
      </c>
      <c r="N395" s="580">
        <f>IF(' Impaired Loans ASC 310-10'!A395="","",' Impaired Loans ASC 310-10'!L395)</f>
        <v/>
      </c>
      <c r="O395" s="581">
        <f>IF(' Impaired Loans ASC 310-10'!A395="","",' Impaired Loans ASC 310-10'!M395)</f>
        <v/>
      </c>
      <c r="P395" s="582">
        <f>IF(' Impaired Loans ASC 310-10'!A395="","",' Impaired Loans ASC 310-10'!O395)</f>
        <v/>
      </c>
      <c r="Q395" s="583">
        <f>IF(' Impaired Loans ASC 310-10'!A395="","",' Impaired Loans ASC 310-10'!N395)</f>
        <v/>
      </c>
      <c r="R395" s="583">
        <f>IF(' Impaired Loans ASC 310-10'!A395="","",' Impaired Loans ASC 310-10'!P395)</f>
        <v/>
      </c>
      <c r="S395" s="583">
        <f>IF(' Impaired Loans ASC 310-10'!A395="","",' Impaired Loans ASC 310-10'!Q395)</f>
        <v/>
      </c>
    </row>
    <row r="396">
      <c r="A396" s="573">
        <f>IF(' Impaired Loans ASC 310-10'!A396="","",' Impaired Loans ASC 310-10'!A396)</f>
        <v/>
      </c>
      <c r="B396" s="573">
        <f>IF(' Impaired Loans ASC 310-10'!B396="","",' Impaired Loans ASC 310-10'!B396)</f>
        <v/>
      </c>
      <c r="C396" s="573">
        <f>IF(' Impaired Loans ASC 310-10'!C396="","",' Impaired Loans ASC 310-10'!C396)</f>
        <v/>
      </c>
      <c r="D396" s="573">
        <f>IF(' Impaired Loans ASC 310-10'!D396="","",' Impaired Loans ASC 310-10'!D396)</f>
        <v/>
      </c>
      <c r="E396" s="574">
        <f>IF(' Impaired Loans ASC 310-10'!E396="","",' Impaired Loans ASC 310-10'!E396)</f>
        <v/>
      </c>
      <c r="F396" s="575">
        <f>IF(' Impaired Loans ASC 310-10'!F396="","",' Impaired Loans ASC 310-10'!F396)</f>
        <v/>
      </c>
      <c r="G396" s="574">
        <f>IF(' Impaired Loans ASC 310-10'!G396="","",' Impaired Loans ASC 310-10'!G396)</f>
        <v/>
      </c>
      <c r="H396" s="574">
        <f>IF(' Impaired Loans ASC 310-10'!H396="","",' Impaired Loans ASC 310-10'!H396)</f>
        <v/>
      </c>
      <c r="I396" s="574">
        <f>IF(' Impaired Loans ASC 310-10'!I396="","",' Impaired Loans ASC 310-10'!I396)</f>
        <v/>
      </c>
      <c r="J396" s="574">
        <f>IF(' Impaired Loans ASC 310-10'!J396="","",' Impaired Loans ASC 310-10'!J396)</f>
        <v/>
      </c>
      <c r="K396" s="584" t="n"/>
      <c r="L396" s="578">
        <f>IFERROR(A396,"")</f>
        <v/>
      </c>
      <c r="M396" s="849">
        <f>IF(' Impaired Loans ASC 310-10'!A396="","",' Impaired Loans ASC 310-10'!K396)</f>
        <v/>
      </c>
      <c r="N396" s="580">
        <f>IF(' Impaired Loans ASC 310-10'!A396="","",' Impaired Loans ASC 310-10'!L396)</f>
        <v/>
      </c>
      <c r="O396" s="581">
        <f>IF(' Impaired Loans ASC 310-10'!A396="","",' Impaired Loans ASC 310-10'!M396)</f>
        <v/>
      </c>
      <c r="P396" s="582">
        <f>IF(' Impaired Loans ASC 310-10'!A396="","",' Impaired Loans ASC 310-10'!O396)</f>
        <v/>
      </c>
      <c r="Q396" s="583">
        <f>IF(' Impaired Loans ASC 310-10'!A396="","",' Impaired Loans ASC 310-10'!N396)</f>
        <v/>
      </c>
      <c r="R396" s="583">
        <f>IF(' Impaired Loans ASC 310-10'!A396="","",' Impaired Loans ASC 310-10'!P396)</f>
        <v/>
      </c>
      <c r="S396" s="583">
        <f>IF(' Impaired Loans ASC 310-10'!A396="","",' Impaired Loans ASC 310-10'!Q396)</f>
        <v/>
      </c>
    </row>
    <row r="397">
      <c r="A397" s="573">
        <f>IF(' Impaired Loans ASC 310-10'!A397="","",' Impaired Loans ASC 310-10'!A397)</f>
        <v/>
      </c>
      <c r="B397" s="573">
        <f>IF(' Impaired Loans ASC 310-10'!B397="","",' Impaired Loans ASC 310-10'!B397)</f>
        <v/>
      </c>
      <c r="C397" s="573">
        <f>IF(' Impaired Loans ASC 310-10'!C397="","",' Impaired Loans ASC 310-10'!C397)</f>
        <v/>
      </c>
      <c r="D397" s="573">
        <f>IF(' Impaired Loans ASC 310-10'!D397="","",' Impaired Loans ASC 310-10'!D397)</f>
        <v/>
      </c>
      <c r="E397" s="574">
        <f>IF(' Impaired Loans ASC 310-10'!E397="","",' Impaired Loans ASC 310-10'!E397)</f>
        <v/>
      </c>
      <c r="F397" s="575">
        <f>IF(' Impaired Loans ASC 310-10'!F397="","",' Impaired Loans ASC 310-10'!F397)</f>
        <v/>
      </c>
      <c r="G397" s="574">
        <f>IF(' Impaired Loans ASC 310-10'!G397="","",' Impaired Loans ASC 310-10'!G397)</f>
        <v/>
      </c>
      <c r="H397" s="574">
        <f>IF(' Impaired Loans ASC 310-10'!H397="","",' Impaired Loans ASC 310-10'!H397)</f>
        <v/>
      </c>
      <c r="I397" s="574">
        <f>IF(' Impaired Loans ASC 310-10'!I397="","",' Impaired Loans ASC 310-10'!I397)</f>
        <v/>
      </c>
      <c r="J397" s="574">
        <f>IF(' Impaired Loans ASC 310-10'!J397="","",' Impaired Loans ASC 310-10'!J397)</f>
        <v/>
      </c>
      <c r="K397" s="584" t="n"/>
      <c r="L397" s="578">
        <f>IFERROR(A397,"")</f>
        <v/>
      </c>
      <c r="M397" s="849">
        <f>IF(' Impaired Loans ASC 310-10'!A397="","",' Impaired Loans ASC 310-10'!K397)</f>
        <v/>
      </c>
      <c r="N397" s="580">
        <f>IF(' Impaired Loans ASC 310-10'!A397="","",' Impaired Loans ASC 310-10'!L397)</f>
        <v/>
      </c>
      <c r="O397" s="581">
        <f>IF(' Impaired Loans ASC 310-10'!A397="","",' Impaired Loans ASC 310-10'!M397)</f>
        <v/>
      </c>
      <c r="P397" s="582">
        <f>IF(' Impaired Loans ASC 310-10'!A397="","",' Impaired Loans ASC 310-10'!O397)</f>
        <v/>
      </c>
      <c r="Q397" s="583">
        <f>IF(' Impaired Loans ASC 310-10'!A397="","",' Impaired Loans ASC 310-10'!N397)</f>
        <v/>
      </c>
      <c r="R397" s="583">
        <f>IF(' Impaired Loans ASC 310-10'!A397="","",' Impaired Loans ASC 310-10'!P397)</f>
        <v/>
      </c>
      <c r="S397" s="583">
        <f>IF(' Impaired Loans ASC 310-10'!A397="","",' Impaired Loans ASC 310-10'!Q397)</f>
        <v/>
      </c>
    </row>
    <row r="398">
      <c r="A398" s="573">
        <f>IF(' Impaired Loans ASC 310-10'!A398="","",' Impaired Loans ASC 310-10'!A398)</f>
        <v/>
      </c>
      <c r="B398" s="573">
        <f>IF(' Impaired Loans ASC 310-10'!B398="","",' Impaired Loans ASC 310-10'!B398)</f>
        <v/>
      </c>
      <c r="C398" s="573">
        <f>IF(' Impaired Loans ASC 310-10'!C398="","",' Impaired Loans ASC 310-10'!C398)</f>
        <v/>
      </c>
      <c r="D398" s="573">
        <f>IF(' Impaired Loans ASC 310-10'!D398="","",' Impaired Loans ASC 310-10'!D398)</f>
        <v/>
      </c>
      <c r="E398" s="574">
        <f>IF(' Impaired Loans ASC 310-10'!E398="","",' Impaired Loans ASC 310-10'!E398)</f>
        <v/>
      </c>
      <c r="F398" s="575">
        <f>IF(' Impaired Loans ASC 310-10'!F398="","",' Impaired Loans ASC 310-10'!F398)</f>
        <v/>
      </c>
      <c r="G398" s="574">
        <f>IF(' Impaired Loans ASC 310-10'!G398="","",' Impaired Loans ASC 310-10'!G398)</f>
        <v/>
      </c>
      <c r="H398" s="574">
        <f>IF(' Impaired Loans ASC 310-10'!H398="","",' Impaired Loans ASC 310-10'!H398)</f>
        <v/>
      </c>
      <c r="I398" s="574">
        <f>IF(' Impaired Loans ASC 310-10'!I398="","",' Impaired Loans ASC 310-10'!I398)</f>
        <v/>
      </c>
      <c r="J398" s="574">
        <f>IF(' Impaired Loans ASC 310-10'!J398="","",' Impaired Loans ASC 310-10'!J398)</f>
        <v/>
      </c>
      <c r="K398" s="584" t="n"/>
      <c r="L398" s="578">
        <f>IFERROR(A398,"")</f>
        <v/>
      </c>
      <c r="M398" s="849">
        <f>IF(' Impaired Loans ASC 310-10'!A398="","",' Impaired Loans ASC 310-10'!K398)</f>
        <v/>
      </c>
      <c r="N398" s="580">
        <f>IF(' Impaired Loans ASC 310-10'!A398="","",' Impaired Loans ASC 310-10'!L398)</f>
        <v/>
      </c>
      <c r="O398" s="581">
        <f>IF(' Impaired Loans ASC 310-10'!A398="","",' Impaired Loans ASC 310-10'!M398)</f>
        <v/>
      </c>
      <c r="P398" s="582">
        <f>IF(' Impaired Loans ASC 310-10'!A398="","",' Impaired Loans ASC 310-10'!O398)</f>
        <v/>
      </c>
      <c r="Q398" s="583">
        <f>IF(' Impaired Loans ASC 310-10'!A398="","",' Impaired Loans ASC 310-10'!N398)</f>
        <v/>
      </c>
      <c r="R398" s="583">
        <f>IF(' Impaired Loans ASC 310-10'!A398="","",' Impaired Loans ASC 310-10'!P398)</f>
        <v/>
      </c>
      <c r="S398" s="583">
        <f>IF(' Impaired Loans ASC 310-10'!A398="","",' Impaired Loans ASC 310-10'!Q398)</f>
        <v/>
      </c>
    </row>
    <row r="399">
      <c r="A399" s="573">
        <f>IF(' Impaired Loans ASC 310-10'!A399="","",' Impaired Loans ASC 310-10'!A399)</f>
        <v/>
      </c>
      <c r="B399" s="573">
        <f>IF(' Impaired Loans ASC 310-10'!B399="","",' Impaired Loans ASC 310-10'!B399)</f>
        <v/>
      </c>
      <c r="C399" s="573">
        <f>IF(' Impaired Loans ASC 310-10'!C399="","",' Impaired Loans ASC 310-10'!C399)</f>
        <v/>
      </c>
      <c r="D399" s="573">
        <f>IF(' Impaired Loans ASC 310-10'!D399="","",' Impaired Loans ASC 310-10'!D399)</f>
        <v/>
      </c>
      <c r="E399" s="574">
        <f>IF(' Impaired Loans ASC 310-10'!E399="","",' Impaired Loans ASC 310-10'!E399)</f>
        <v/>
      </c>
      <c r="F399" s="575">
        <f>IF(' Impaired Loans ASC 310-10'!F399="","",' Impaired Loans ASC 310-10'!F399)</f>
        <v/>
      </c>
      <c r="G399" s="574">
        <f>IF(' Impaired Loans ASC 310-10'!G399="","",' Impaired Loans ASC 310-10'!G399)</f>
        <v/>
      </c>
      <c r="H399" s="574">
        <f>IF(' Impaired Loans ASC 310-10'!H399="","",' Impaired Loans ASC 310-10'!H399)</f>
        <v/>
      </c>
      <c r="I399" s="574">
        <f>IF(' Impaired Loans ASC 310-10'!I399="","",' Impaired Loans ASC 310-10'!I399)</f>
        <v/>
      </c>
      <c r="J399" s="574">
        <f>IF(' Impaired Loans ASC 310-10'!J399="","",' Impaired Loans ASC 310-10'!J399)</f>
        <v/>
      </c>
      <c r="K399" s="584" t="n"/>
      <c r="L399" s="578">
        <f>IFERROR(A399,"")</f>
        <v/>
      </c>
      <c r="M399" s="849">
        <f>IF(' Impaired Loans ASC 310-10'!A399="","",' Impaired Loans ASC 310-10'!K399)</f>
        <v/>
      </c>
      <c r="N399" s="580">
        <f>IF(' Impaired Loans ASC 310-10'!A399="","",' Impaired Loans ASC 310-10'!L399)</f>
        <v/>
      </c>
      <c r="O399" s="581">
        <f>IF(' Impaired Loans ASC 310-10'!A399="","",' Impaired Loans ASC 310-10'!M399)</f>
        <v/>
      </c>
      <c r="P399" s="582">
        <f>IF(' Impaired Loans ASC 310-10'!A399="","",' Impaired Loans ASC 310-10'!O399)</f>
        <v/>
      </c>
      <c r="Q399" s="583">
        <f>IF(' Impaired Loans ASC 310-10'!A399="","",' Impaired Loans ASC 310-10'!N399)</f>
        <v/>
      </c>
      <c r="R399" s="583">
        <f>IF(' Impaired Loans ASC 310-10'!A399="","",' Impaired Loans ASC 310-10'!P399)</f>
        <v/>
      </c>
      <c r="S399" s="583">
        <f>IF(' Impaired Loans ASC 310-10'!A399="","",' Impaired Loans ASC 310-10'!Q399)</f>
        <v/>
      </c>
    </row>
    <row r="400">
      <c r="A400" s="573">
        <f>IF(' Impaired Loans ASC 310-10'!A400="","",' Impaired Loans ASC 310-10'!A400)</f>
        <v/>
      </c>
      <c r="B400" s="573">
        <f>IF(' Impaired Loans ASC 310-10'!B400="","",' Impaired Loans ASC 310-10'!B400)</f>
        <v/>
      </c>
      <c r="C400" s="573">
        <f>IF(' Impaired Loans ASC 310-10'!C400="","",' Impaired Loans ASC 310-10'!C400)</f>
        <v/>
      </c>
      <c r="D400" s="573">
        <f>IF(' Impaired Loans ASC 310-10'!D400="","",' Impaired Loans ASC 310-10'!D400)</f>
        <v/>
      </c>
      <c r="E400" s="574">
        <f>IF(' Impaired Loans ASC 310-10'!E400="","",' Impaired Loans ASC 310-10'!E400)</f>
        <v/>
      </c>
      <c r="F400" s="575">
        <f>IF(' Impaired Loans ASC 310-10'!F400="","",' Impaired Loans ASC 310-10'!F400)</f>
        <v/>
      </c>
      <c r="G400" s="574">
        <f>IF(' Impaired Loans ASC 310-10'!G400="","",' Impaired Loans ASC 310-10'!G400)</f>
        <v/>
      </c>
      <c r="H400" s="574">
        <f>IF(' Impaired Loans ASC 310-10'!H400="","",' Impaired Loans ASC 310-10'!H400)</f>
        <v/>
      </c>
      <c r="I400" s="574">
        <f>IF(' Impaired Loans ASC 310-10'!I400="","",' Impaired Loans ASC 310-10'!I400)</f>
        <v/>
      </c>
      <c r="J400" s="574">
        <f>IF(' Impaired Loans ASC 310-10'!J400="","",' Impaired Loans ASC 310-10'!J400)</f>
        <v/>
      </c>
      <c r="K400" s="584" t="n"/>
      <c r="L400" s="578">
        <f>IFERROR(A400,"")</f>
        <v/>
      </c>
      <c r="M400" s="849">
        <f>IF(' Impaired Loans ASC 310-10'!A400="","",' Impaired Loans ASC 310-10'!K400)</f>
        <v/>
      </c>
      <c r="N400" s="580">
        <f>IF(' Impaired Loans ASC 310-10'!A400="","",' Impaired Loans ASC 310-10'!L400)</f>
        <v/>
      </c>
      <c r="O400" s="581">
        <f>IF(' Impaired Loans ASC 310-10'!A400="","",' Impaired Loans ASC 310-10'!M400)</f>
        <v/>
      </c>
      <c r="P400" s="582">
        <f>IF(' Impaired Loans ASC 310-10'!A400="","",' Impaired Loans ASC 310-10'!O400)</f>
        <v/>
      </c>
      <c r="Q400" s="583">
        <f>IF(' Impaired Loans ASC 310-10'!A400="","",' Impaired Loans ASC 310-10'!N400)</f>
        <v/>
      </c>
      <c r="R400" s="583">
        <f>IF(' Impaired Loans ASC 310-10'!A400="","",' Impaired Loans ASC 310-10'!P400)</f>
        <v/>
      </c>
      <c r="S400" s="583">
        <f>IF(' Impaired Loans ASC 310-10'!A400="","",' Impaired Loans ASC 310-10'!Q400)</f>
        <v/>
      </c>
    </row>
    <row r="401">
      <c r="A401" s="573">
        <f>IF(' Impaired Loans ASC 310-10'!A401="","",' Impaired Loans ASC 310-10'!A401)</f>
        <v/>
      </c>
      <c r="B401" s="573">
        <f>IF(' Impaired Loans ASC 310-10'!B401="","",' Impaired Loans ASC 310-10'!B401)</f>
        <v/>
      </c>
      <c r="C401" s="573">
        <f>IF(' Impaired Loans ASC 310-10'!C401="","",' Impaired Loans ASC 310-10'!C401)</f>
        <v/>
      </c>
      <c r="D401" s="573">
        <f>IF(' Impaired Loans ASC 310-10'!D401="","",' Impaired Loans ASC 310-10'!D401)</f>
        <v/>
      </c>
      <c r="E401" s="574">
        <f>IF(' Impaired Loans ASC 310-10'!E401="","",' Impaired Loans ASC 310-10'!E401)</f>
        <v/>
      </c>
      <c r="F401" s="575">
        <f>IF(' Impaired Loans ASC 310-10'!F401="","",' Impaired Loans ASC 310-10'!F401)</f>
        <v/>
      </c>
      <c r="G401" s="574">
        <f>IF(' Impaired Loans ASC 310-10'!G401="","",' Impaired Loans ASC 310-10'!G401)</f>
        <v/>
      </c>
      <c r="H401" s="574">
        <f>IF(' Impaired Loans ASC 310-10'!H401="","",' Impaired Loans ASC 310-10'!H401)</f>
        <v/>
      </c>
      <c r="I401" s="574">
        <f>IF(' Impaired Loans ASC 310-10'!I401="","",' Impaired Loans ASC 310-10'!I401)</f>
        <v/>
      </c>
      <c r="J401" s="574">
        <f>IF(' Impaired Loans ASC 310-10'!J401="","",' Impaired Loans ASC 310-10'!J401)</f>
        <v/>
      </c>
      <c r="K401" s="584" t="n"/>
      <c r="L401" s="578">
        <f>IFERROR(A401,"")</f>
        <v/>
      </c>
      <c r="M401" s="849">
        <f>IF(' Impaired Loans ASC 310-10'!A401="","",' Impaired Loans ASC 310-10'!K401)</f>
        <v/>
      </c>
      <c r="N401" s="580">
        <f>IF(' Impaired Loans ASC 310-10'!A401="","",' Impaired Loans ASC 310-10'!L401)</f>
        <v/>
      </c>
      <c r="O401" s="581">
        <f>IF(' Impaired Loans ASC 310-10'!A401="","",' Impaired Loans ASC 310-10'!M401)</f>
        <v/>
      </c>
      <c r="P401" s="582">
        <f>IF(' Impaired Loans ASC 310-10'!A401="","",' Impaired Loans ASC 310-10'!O401)</f>
        <v/>
      </c>
      <c r="Q401" s="583">
        <f>IF(' Impaired Loans ASC 310-10'!A401="","",' Impaired Loans ASC 310-10'!N401)</f>
        <v/>
      </c>
      <c r="R401" s="583">
        <f>IF(' Impaired Loans ASC 310-10'!A401="","",' Impaired Loans ASC 310-10'!P401)</f>
        <v/>
      </c>
      <c r="S401" s="583">
        <f>IF(' Impaired Loans ASC 310-10'!A401="","",' Impaired Loans ASC 310-10'!Q401)</f>
        <v/>
      </c>
    </row>
    <row r="402">
      <c r="A402" s="573">
        <f>IF(' Impaired Loans ASC 310-10'!A402="","",' Impaired Loans ASC 310-10'!A402)</f>
        <v/>
      </c>
      <c r="B402" s="573">
        <f>IF(' Impaired Loans ASC 310-10'!B402="","",' Impaired Loans ASC 310-10'!B402)</f>
        <v/>
      </c>
      <c r="C402" s="573">
        <f>IF(' Impaired Loans ASC 310-10'!C402="","",' Impaired Loans ASC 310-10'!C402)</f>
        <v/>
      </c>
      <c r="D402" s="573">
        <f>IF(' Impaired Loans ASC 310-10'!D402="","",' Impaired Loans ASC 310-10'!D402)</f>
        <v/>
      </c>
      <c r="E402" s="574">
        <f>IF(' Impaired Loans ASC 310-10'!E402="","",' Impaired Loans ASC 310-10'!E402)</f>
        <v/>
      </c>
      <c r="F402" s="575">
        <f>IF(' Impaired Loans ASC 310-10'!F402="","",' Impaired Loans ASC 310-10'!F402)</f>
        <v/>
      </c>
      <c r="G402" s="574">
        <f>IF(' Impaired Loans ASC 310-10'!G402="","",' Impaired Loans ASC 310-10'!G402)</f>
        <v/>
      </c>
      <c r="H402" s="574">
        <f>IF(' Impaired Loans ASC 310-10'!H402="","",' Impaired Loans ASC 310-10'!H402)</f>
        <v/>
      </c>
      <c r="I402" s="574">
        <f>IF(' Impaired Loans ASC 310-10'!I402="","",' Impaired Loans ASC 310-10'!I402)</f>
        <v/>
      </c>
      <c r="J402" s="574">
        <f>IF(' Impaired Loans ASC 310-10'!J402="","",' Impaired Loans ASC 310-10'!J402)</f>
        <v/>
      </c>
      <c r="K402" s="584" t="n"/>
      <c r="L402" s="578">
        <f>IFERROR(A402,"")</f>
        <v/>
      </c>
      <c r="M402" s="849">
        <f>IF(' Impaired Loans ASC 310-10'!A402="","",' Impaired Loans ASC 310-10'!K402)</f>
        <v/>
      </c>
      <c r="N402" s="580">
        <f>IF(' Impaired Loans ASC 310-10'!A402="","",' Impaired Loans ASC 310-10'!L402)</f>
        <v/>
      </c>
      <c r="O402" s="581">
        <f>IF(' Impaired Loans ASC 310-10'!A402="","",' Impaired Loans ASC 310-10'!M402)</f>
        <v/>
      </c>
      <c r="P402" s="582">
        <f>IF(' Impaired Loans ASC 310-10'!A402="","",' Impaired Loans ASC 310-10'!O402)</f>
        <v/>
      </c>
      <c r="Q402" s="583">
        <f>IF(' Impaired Loans ASC 310-10'!A402="","",' Impaired Loans ASC 310-10'!N402)</f>
        <v/>
      </c>
      <c r="R402" s="583">
        <f>IF(' Impaired Loans ASC 310-10'!A402="","",' Impaired Loans ASC 310-10'!P402)</f>
        <v/>
      </c>
      <c r="S402" s="583">
        <f>IF(' Impaired Loans ASC 310-10'!A402="","",' Impaired Loans ASC 310-10'!Q402)</f>
        <v/>
      </c>
    </row>
    <row r="403">
      <c r="A403" s="573">
        <f>IF(' Impaired Loans ASC 310-10'!A403="","",' Impaired Loans ASC 310-10'!A403)</f>
        <v/>
      </c>
      <c r="B403" s="573">
        <f>IF(' Impaired Loans ASC 310-10'!B403="","",' Impaired Loans ASC 310-10'!B403)</f>
        <v/>
      </c>
      <c r="C403" s="573">
        <f>IF(' Impaired Loans ASC 310-10'!C403="","",' Impaired Loans ASC 310-10'!C403)</f>
        <v/>
      </c>
      <c r="D403" s="573">
        <f>IF(' Impaired Loans ASC 310-10'!D403="","",' Impaired Loans ASC 310-10'!D403)</f>
        <v/>
      </c>
      <c r="E403" s="574">
        <f>IF(' Impaired Loans ASC 310-10'!E403="","",' Impaired Loans ASC 310-10'!E403)</f>
        <v/>
      </c>
      <c r="F403" s="575">
        <f>IF(' Impaired Loans ASC 310-10'!F403="","",' Impaired Loans ASC 310-10'!F403)</f>
        <v/>
      </c>
      <c r="G403" s="574">
        <f>IF(' Impaired Loans ASC 310-10'!G403="","",' Impaired Loans ASC 310-10'!G403)</f>
        <v/>
      </c>
      <c r="H403" s="574">
        <f>IF(' Impaired Loans ASC 310-10'!H403="","",' Impaired Loans ASC 310-10'!H403)</f>
        <v/>
      </c>
      <c r="I403" s="574">
        <f>IF(' Impaired Loans ASC 310-10'!I403="","",' Impaired Loans ASC 310-10'!I403)</f>
        <v/>
      </c>
      <c r="J403" s="574">
        <f>IF(' Impaired Loans ASC 310-10'!J403="","",' Impaired Loans ASC 310-10'!J403)</f>
        <v/>
      </c>
      <c r="K403" s="584" t="n"/>
      <c r="L403" s="578">
        <f>IFERROR(A403,"")</f>
        <v/>
      </c>
      <c r="M403" s="849">
        <f>IF(' Impaired Loans ASC 310-10'!A403="","",' Impaired Loans ASC 310-10'!K403)</f>
        <v/>
      </c>
      <c r="N403" s="580">
        <f>IF(' Impaired Loans ASC 310-10'!A403="","",' Impaired Loans ASC 310-10'!L403)</f>
        <v/>
      </c>
      <c r="O403" s="581">
        <f>IF(' Impaired Loans ASC 310-10'!A403="","",' Impaired Loans ASC 310-10'!M403)</f>
        <v/>
      </c>
      <c r="P403" s="582">
        <f>IF(' Impaired Loans ASC 310-10'!A403="","",' Impaired Loans ASC 310-10'!O403)</f>
        <v/>
      </c>
      <c r="Q403" s="583">
        <f>IF(' Impaired Loans ASC 310-10'!A403="","",' Impaired Loans ASC 310-10'!N403)</f>
        <v/>
      </c>
      <c r="R403" s="583">
        <f>IF(' Impaired Loans ASC 310-10'!A403="","",' Impaired Loans ASC 310-10'!P403)</f>
        <v/>
      </c>
      <c r="S403" s="583">
        <f>IF(' Impaired Loans ASC 310-10'!A403="","",' Impaired Loans ASC 310-10'!Q403)</f>
        <v/>
      </c>
    </row>
    <row r="404">
      <c r="A404" s="573">
        <f>IF(' Impaired Loans ASC 310-10'!A404="","",' Impaired Loans ASC 310-10'!A404)</f>
        <v/>
      </c>
      <c r="B404" s="573">
        <f>IF(' Impaired Loans ASC 310-10'!B404="","",' Impaired Loans ASC 310-10'!B404)</f>
        <v/>
      </c>
      <c r="C404" s="573">
        <f>IF(' Impaired Loans ASC 310-10'!C404="","",' Impaired Loans ASC 310-10'!C404)</f>
        <v/>
      </c>
      <c r="D404" s="573">
        <f>IF(' Impaired Loans ASC 310-10'!D404="","",' Impaired Loans ASC 310-10'!D404)</f>
        <v/>
      </c>
      <c r="E404" s="574">
        <f>IF(' Impaired Loans ASC 310-10'!E404="","",' Impaired Loans ASC 310-10'!E404)</f>
        <v/>
      </c>
      <c r="F404" s="575">
        <f>IF(' Impaired Loans ASC 310-10'!F404="","",' Impaired Loans ASC 310-10'!F404)</f>
        <v/>
      </c>
      <c r="G404" s="574">
        <f>IF(' Impaired Loans ASC 310-10'!G404="","",' Impaired Loans ASC 310-10'!G404)</f>
        <v/>
      </c>
      <c r="H404" s="574">
        <f>IF(' Impaired Loans ASC 310-10'!H404="","",' Impaired Loans ASC 310-10'!H404)</f>
        <v/>
      </c>
      <c r="I404" s="574">
        <f>IF(' Impaired Loans ASC 310-10'!I404="","",' Impaired Loans ASC 310-10'!I404)</f>
        <v/>
      </c>
      <c r="J404" s="574">
        <f>IF(' Impaired Loans ASC 310-10'!J404="","",' Impaired Loans ASC 310-10'!J404)</f>
        <v/>
      </c>
      <c r="K404" s="584" t="n"/>
      <c r="L404" s="578">
        <f>IFERROR(A404,"")</f>
        <v/>
      </c>
      <c r="M404" s="849">
        <f>IF(' Impaired Loans ASC 310-10'!A404="","",' Impaired Loans ASC 310-10'!K404)</f>
        <v/>
      </c>
      <c r="N404" s="580">
        <f>IF(' Impaired Loans ASC 310-10'!A404="","",' Impaired Loans ASC 310-10'!L404)</f>
        <v/>
      </c>
      <c r="O404" s="581">
        <f>IF(' Impaired Loans ASC 310-10'!A404="","",' Impaired Loans ASC 310-10'!M404)</f>
        <v/>
      </c>
      <c r="P404" s="582">
        <f>IF(' Impaired Loans ASC 310-10'!A404="","",' Impaired Loans ASC 310-10'!O404)</f>
        <v/>
      </c>
      <c r="Q404" s="583">
        <f>IF(' Impaired Loans ASC 310-10'!A404="","",' Impaired Loans ASC 310-10'!N404)</f>
        <v/>
      </c>
      <c r="R404" s="583">
        <f>IF(' Impaired Loans ASC 310-10'!A404="","",' Impaired Loans ASC 310-10'!P404)</f>
        <v/>
      </c>
      <c r="S404" s="583">
        <f>IF(' Impaired Loans ASC 310-10'!A404="","",' Impaired Loans ASC 310-10'!Q404)</f>
        <v/>
      </c>
    </row>
    <row r="405">
      <c r="A405" s="573">
        <f>IF(' Impaired Loans ASC 310-10'!A405="","",' Impaired Loans ASC 310-10'!A405)</f>
        <v/>
      </c>
      <c r="B405" s="573">
        <f>IF(' Impaired Loans ASC 310-10'!B405="","",' Impaired Loans ASC 310-10'!B405)</f>
        <v/>
      </c>
      <c r="C405" s="573">
        <f>IF(' Impaired Loans ASC 310-10'!C405="","",' Impaired Loans ASC 310-10'!C405)</f>
        <v/>
      </c>
      <c r="D405" s="573">
        <f>IF(' Impaired Loans ASC 310-10'!D405="","",' Impaired Loans ASC 310-10'!D405)</f>
        <v/>
      </c>
      <c r="E405" s="574">
        <f>IF(' Impaired Loans ASC 310-10'!E405="","",' Impaired Loans ASC 310-10'!E405)</f>
        <v/>
      </c>
      <c r="F405" s="575">
        <f>IF(' Impaired Loans ASC 310-10'!F405="","",' Impaired Loans ASC 310-10'!F405)</f>
        <v/>
      </c>
      <c r="G405" s="574">
        <f>IF(' Impaired Loans ASC 310-10'!G405="","",' Impaired Loans ASC 310-10'!G405)</f>
        <v/>
      </c>
      <c r="H405" s="574">
        <f>IF(' Impaired Loans ASC 310-10'!H405="","",' Impaired Loans ASC 310-10'!H405)</f>
        <v/>
      </c>
      <c r="I405" s="574">
        <f>IF(' Impaired Loans ASC 310-10'!I405="","",' Impaired Loans ASC 310-10'!I405)</f>
        <v/>
      </c>
      <c r="J405" s="574">
        <f>IF(' Impaired Loans ASC 310-10'!J405="","",' Impaired Loans ASC 310-10'!J405)</f>
        <v/>
      </c>
      <c r="K405" s="584" t="n"/>
      <c r="L405" s="578">
        <f>IFERROR(A405,"")</f>
        <v/>
      </c>
      <c r="M405" s="849">
        <f>IF(' Impaired Loans ASC 310-10'!A405="","",' Impaired Loans ASC 310-10'!K405)</f>
        <v/>
      </c>
      <c r="N405" s="580">
        <f>IF(' Impaired Loans ASC 310-10'!A405="","",' Impaired Loans ASC 310-10'!L405)</f>
        <v/>
      </c>
      <c r="O405" s="581">
        <f>IF(' Impaired Loans ASC 310-10'!A405="","",' Impaired Loans ASC 310-10'!M405)</f>
        <v/>
      </c>
      <c r="P405" s="582">
        <f>IF(' Impaired Loans ASC 310-10'!A405="","",' Impaired Loans ASC 310-10'!O405)</f>
        <v/>
      </c>
      <c r="Q405" s="583">
        <f>IF(' Impaired Loans ASC 310-10'!A405="","",' Impaired Loans ASC 310-10'!N405)</f>
        <v/>
      </c>
      <c r="R405" s="583">
        <f>IF(' Impaired Loans ASC 310-10'!A405="","",' Impaired Loans ASC 310-10'!P405)</f>
        <v/>
      </c>
      <c r="S405" s="583">
        <f>IF(' Impaired Loans ASC 310-10'!A405="","",' Impaired Loans ASC 310-10'!Q405)</f>
        <v/>
      </c>
    </row>
    <row r="406">
      <c r="A406" s="573">
        <f>IF(' Impaired Loans ASC 310-10'!A406="","",' Impaired Loans ASC 310-10'!A406)</f>
        <v/>
      </c>
      <c r="B406" s="573">
        <f>IF(' Impaired Loans ASC 310-10'!B406="","",' Impaired Loans ASC 310-10'!B406)</f>
        <v/>
      </c>
      <c r="C406" s="573">
        <f>IF(' Impaired Loans ASC 310-10'!C406="","",' Impaired Loans ASC 310-10'!C406)</f>
        <v/>
      </c>
      <c r="D406" s="573">
        <f>IF(' Impaired Loans ASC 310-10'!D406="","",' Impaired Loans ASC 310-10'!D406)</f>
        <v/>
      </c>
      <c r="E406" s="574">
        <f>IF(' Impaired Loans ASC 310-10'!E406="","",' Impaired Loans ASC 310-10'!E406)</f>
        <v/>
      </c>
      <c r="F406" s="575">
        <f>IF(' Impaired Loans ASC 310-10'!F406="","",' Impaired Loans ASC 310-10'!F406)</f>
        <v/>
      </c>
      <c r="G406" s="574">
        <f>IF(' Impaired Loans ASC 310-10'!G406="","",' Impaired Loans ASC 310-10'!G406)</f>
        <v/>
      </c>
      <c r="H406" s="574">
        <f>IF(' Impaired Loans ASC 310-10'!H406="","",' Impaired Loans ASC 310-10'!H406)</f>
        <v/>
      </c>
      <c r="I406" s="574">
        <f>IF(' Impaired Loans ASC 310-10'!I406="","",' Impaired Loans ASC 310-10'!I406)</f>
        <v/>
      </c>
      <c r="J406" s="574">
        <f>IF(' Impaired Loans ASC 310-10'!J406="","",' Impaired Loans ASC 310-10'!J406)</f>
        <v/>
      </c>
      <c r="K406" s="584" t="n"/>
      <c r="L406" s="578">
        <f>IFERROR(A406,"")</f>
        <v/>
      </c>
      <c r="M406" s="849">
        <f>IF(' Impaired Loans ASC 310-10'!A406="","",' Impaired Loans ASC 310-10'!K406)</f>
        <v/>
      </c>
      <c r="N406" s="580">
        <f>IF(' Impaired Loans ASC 310-10'!A406="","",' Impaired Loans ASC 310-10'!L406)</f>
        <v/>
      </c>
      <c r="O406" s="581">
        <f>IF(' Impaired Loans ASC 310-10'!A406="","",' Impaired Loans ASC 310-10'!M406)</f>
        <v/>
      </c>
      <c r="P406" s="582">
        <f>IF(' Impaired Loans ASC 310-10'!A406="","",' Impaired Loans ASC 310-10'!O406)</f>
        <v/>
      </c>
      <c r="Q406" s="583">
        <f>IF(' Impaired Loans ASC 310-10'!A406="","",' Impaired Loans ASC 310-10'!N406)</f>
        <v/>
      </c>
      <c r="R406" s="583">
        <f>IF(' Impaired Loans ASC 310-10'!A406="","",' Impaired Loans ASC 310-10'!P406)</f>
        <v/>
      </c>
      <c r="S406" s="583">
        <f>IF(' Impaired Loans ASC 310-10'!A406="","",' Impaired Loans ASC 310-10'!Q406)</f>
        <v/>
      </c>
    </row>
    <row r="407">
      <c r="A407" s="573">
        <f>IF(' Impaired Loans ASC 310-10'!A407="","",' Impaired Loans ASC 310-10'!A407)</f>
        <v/>
      </c>
      <c r="B407" s="573">
        <f>IF(' Impaired Loans ASC 310-10'!B407="","",' Impaired Loans ASC 310-10'!B407)</f>
        <v/>
      </c>
      <c r="C407" s="573">
        <f>IF(' Impaired Loans ASC 310-10'!C407="","",' Impaired Loans ASC 310-10'!C407)</f>
        <v/>
      </c>
      <c r="D407" s="573">
        <f>IF(' Impaired Loans ASC 310-10'!D407="","",' Impaired Loans ASC 310-10'!D407)</f>
        <v/>
      </c>
      <c r="E407" s="574">
        <f>IF(' Impaired Loans ASC 310-10'!E407="","",' Impaired Loans ASC 310-10'!E407)</f>
        <v/>
      </c>
      <c r="F407" s="575">
        <f>IF(' Impaired Loans ASC 310-10'!F407="","",' Impaired Loans ASC 310-10'!F407)</f>
        <v/>
      </c>
      <c r="G407" s="574">
        <f>IF(' Impaired Loans ASC 310-10'!G407="","",' Impaired Loans ASC 310-10'!G407)</f>
        <v/>
      </c>
      <c r="H407" s="574">
        <f>IF(' Impaired Loans ASC 310-10'!H407="","",' Impaired Loans ASC 310-10'!H407)</f>
        <v/>
      </c>
      <c r="I407" s="574">
        <f>IF(' Impaired Loans ASC 310-10'!I407="","",' Impaired Loans ASC 310-10'!I407)</f>
        <v/>
      </c>
      <c r="J407" s="574">
        <f>IF(' Impaired Loans ASC 310-10'!J407="","",' Impaired Loans ASC 310-10'!J407)</f>
        <v/>
      </c>
      <c r="K407" s="584" t="n"/>
      <c r="L407" s="578">
        <f>IFERROR(A407,"")</f>
        <v/>
      </c>
      <c r="M407" s="849">
        <f>IF(' Impaired Loans ASC 310-10'!A407="","",' Impaired Loans ASC 310-10'!K407)</f>
        <v/>
      </c>
      <c r="N407" s="580">
        <f>IF(' Impaired Loans ASC 310-10'!A407="","",' Impaired Loans ASC 310-10'!L407)</f>
        <v/>
      </c>
      <c r="O407" s="581">
        <f>IF(' Impaired Loans ASC 310-10'!A407="","",' Impaired Loans ASC 310-10'!M407)</f>
        <v/>
      </c>
      <c r="P407" s="582">
        <f>IF(' Impaired Loans ASC 310-10'!A407="","",' Impaired Loans ASC 310-10'!O407)</f>
        <v/>
      </c>
      <c r="Q407" s="583">
        <f>IF(' Impaired Loans ASC 310-10'!A407="","",' Impaired Loans ASC 310-10'!N407)</f>
        <v/>
      </c>
      <c r="R407" s="583">
        <f>IF(' Impaired Loans ASC 310-10'!A407="","",' Impaired Loans ASC 310-10'!P407)</f>
        <v/>
      </c>
      <c r="S407" s="583">
        <f>IF(' Impaired Loans ASC 310-10'!A407="","",' Impaired Loans ASC 310-10'!Q407)</f>
        <v/>
      </c>
    </row>
    <row r="408">
      <c r="A408" s="573">
        <f>IF(' Impaired Loans ASC 310-10'!A408="","",' Impaired Loans ASC 310-10'!A408)</f>
        <v/>
      </c>
      <c r="B408" s="573">
        <f>IF(' Impaired Loans ASC 310-10'!B408="","",' Impaired Loans ASC 310-10'!B408)</f>
        <v/>
      </c>
      <c r="C408" s="573">
        <f>IF(' Impaired Loans ASC 310-10'!C408="","",' Impaired Loans ASC 310-10'!C408)</f>
        <v/>
      </c>
      <c r="D408" s="573">
        <f>IF(' Impaired Loans ASC 310-10'!D408="","",' Impaired Loans ASC 310-10'!D408)</f>
        <v/>
      </c>
      <c r="E408" s="574">
        <f>IF(' Impaired Loans ASC 310-10'!E408="","",' Impaired Loans ASC 310-10'!E408)</f>
        <v/>
      </c>
      <c r="F408" s="575">
        <f>IF(' Impaired Loans ASC 310-10'!F408="","",' Impaired Loans ASC 310-10'!F408)</f>
        <v/>
      </c>
      <c r="G408" s="574">
        <f>IF(' Impaired Loans ASC 310-10'!G408="","",' Impaired Loans ASC 310-10'!G408)</f>
        <v/>
      </c>
      <c r="H408" s="574">
        <f>IF(' Impaired Loans ASC 310-10'!H408="","",' Impaired Loans ASC 310-10'!H408)</f>
        <v/>
      </c>
      <c r="I408" s="574">
        <f>IF(' Impaired Loans ASC 310-10'!I408="","",' Impaired Loans ASC 310-10'!I408)</f>
        <v/>
      </c>
      <c r="J408" s="574">
        <f>IF(' Impaired Loans ASC 310-10'!J408="","",' Impaired Loans ASC 310-10'!J408)</f>
        <v/>
      </c>
      <c r="K408" s="584" t="n"/>
      <c r="L408" s="578">
        <f>IFERROR(A408,"")</f>
        <v/>
      </c>
      <c r="M408" s="849">
        <f>IF(' Impaired Loans ASC 310-10'!A408="","",' Impaired Loans ASC 310-10'!K408)</f>
        <v/>
      </c>
      <c r="N408" s="580">
        <f>IF(' Impaired Loans ASC 310-10'!A408="","",' Impaired Loans ASC 310-10'!L408)</f>
        <v/>
      </c>
      <c r="O408" s="581">
        <f>IF(' Impaired Loans ASC 310-10'!A408="","",' Impaired Loans ASC 310-10'!M408)</f>
        <v/>
      </c>
      <c r="P408" s="582">
        <f>IF(' Impaired Loans ASC 310-10'!A408="","",' Impaired Loans ASC 310-10'!O408)</f>
        <v/>
      </c>
      <c r="Q408" s="583">
        <f>IF(' Impaired Loans ASC 310-10'!A408="","",' Impaired Loans ASC 310-10'!N408)</f>
        <v/>
      </c>
      <c r="R408" s="583">
        <f>IF(' Impaired Loans ASC 310-10'!A408="","",' Impaired Loans ASC 310-10'!P408)</f>
        <v/>
      </c>
      <c r="S408" s="583">
        <f>IF(' Impaired Loans ASC 310-10'!A408="","",' Impaired Loans ASC 310-10'!Q408)</f>
        <v/>
      </c>
    </row>
    <row r="409">
      <c r="A409" s="573">
        <f>IF(' Impaired Loans ASC 310-10'!A409="","",' Impaired Loans ASC 310-10'!A409)</f>
        <v/>
      </c>
      <c r="B409" s="573">
        <f>IF(' Impaired Loans ASC 310-10'!B409="","",' Impaired Loans ASC 310-10'!B409)</f>
        <v/>
      </c>
      <c r="C409" s="573">
        <f>IF(' Impaired Loans ASC 310-10'!C409="","",' Impaired Loans ASC 310-10'!C409)</f>
        <v/>
      </c>
      <c r="D409" s="573">
        <f>IF(' Impaired Loans ASC 310-10'!D409="","",' Impaired Loans ASC 310-10'!D409)</f>
        <v/>
      </c>
      <c r="E409" s="574">
        <f>IF(' Impaired Loans ASC 310-10'!E409="","",' Impaired Loans ASC 310-10'!E409)</f>
        <v/>
      </c>
      <c r="F409" s="575">
        <f>IF(' Impaired Loans ASC 310-10'!F409="","",' Impaired Loans ASC 310-10'!F409)</f>
        <v/>
      </c>
      <c r="G409" s="574">
        <f>IF(' Impaired Loans ASC 310-10'!G409="","",' Impaired Loans ASC 310-10'!G409)</f>
        <v/>
      </c>
      <c r="H409" s="574">
        <f>IF(' Impaired Loans ASC 310-10'!H409="","",' Impaired Loans ASC 310-10'!H409)</f>
        <v/>
      </c>
      <c r="I409" s="574">
        <f>IF(' Impaired Loans ASC 310-10'!I409="","",' Impaired Loans ASC 310-10'!I409)</f>
        <v/>
      </c>
      <c r="J409" s="574">
        <f>IF(' Impaired Loans ASC 310-10'!J409="","",' Impaired Loans ASC 310-10'!J409)</f>
        <v/>
      </c>
      <c r="K409" s="584" t="n"/>
      <c r="L409" s="578">
        <f>IFERROR(A409,"")</f>
        <v/>
      </c>
      <c r="M409" s="849">
        <f>IF(' Impaired Loans ASC 310-10'!A409="","",' Impaired Loans ASC 310-10'!K409)</f>
        <v/>
      </c>
      <c r="N409" s="580">
        <f>IF(' Impaired Loans ASC 310-10'!A409="","",' Impaired Loans ASC 310-10'!L409)</f>
        <v/>
      </c>
      <c r="O409" s="581">
        <f>IF(' Impaired Loans ASC 310-10'!A409="","",' Impaired Loans ASC 310-10'!M409)</f>
        <v/>
      </c>
      <c r="P409" s="582">
        <f>IF(' Impaired Loans ASC 310-10'!A409="","",' Impaired Loans ASC 310-10'!O409)</f>
        <v/>
      </c>
      <c r="Q409" s="583">
        <f>IF(' Impaired Loans ASC 310-10'!A409="","",' Impaired Loans ASC 310-10'!N409)</f>
        <v/>
      </c>
      <c r="R409" s="583">
        <f>IF(' Impaired Loans ASC 310-10'!A409="","",' Impaired Loans ASC 310-10'!P409)</f>
        <v/>
      </c>
      <c r="S409" s="583">
        <f>IF(' Impaired Loans ASC 310-10'!A409="","",' Impaired Loans ASC 310-10'!Q409)</f>
        <v/>
      </c>
    </row>
    <row r="410">
      <c r="A410" s="573">
        <f>IF(' Impaired Loans ASC 310-10'!A410="","",' Impaired Loans ASC 310-10'!A410)</f>
        <v/>
      </c>
      <c r="B410" s="573">
        <f>IF(' Impaired Loans ASC 310-10'!B410="","",' Impaired Loans ASC 310-10'!B410)</f>
        <v/>
      </c>
      <c r="C410" s="573">
        <f>IF(' Impaired Loans ASC 310-10'!C410="","",' Impaired Loans ASC 310-10'!C410)</f>
        <v/>
      </c>
      <c r="D410" s="573">
        <f>IF(' Impaired Loans ASC 310-10'!D410="","",' Impaired Loans ASC 310-10'!D410)</f>
        <v/>
      </c>
      <c r="E410" s="574">
        <f>IF(' Impaired Loans ASC 310-10'!E410="","",' Impaired Loans ASC 310-10'!E410)</f>
        <v/>
      </c>
      <c r="F410" s="575">
        <f>IF(' Impaired Loans ASC 310-10'!F410="","",' Impaired Loans ASC 310-10'!F410)</f>
        <v/>
      </c>
      <c r="G410" s="574">
        <f>IF(' Impaired Loans ASC 310-10'!G410="","",' Impaired Loans ASC 310-10'!G410)</f>
        <v/>
      </c>
      <c r="H410" s="574">
        <f>IF(' Impaired Loans ASC 310-10'!H410="","",' Impaired Loans ASC 310-10'!H410)</f>
        <v/>
      </c>
      <c r="I410" s="574">
        <f>IF(' Impaired Loans ASC 310-10'!I410="","",' Impaired Loans ASC 310-10'!I410)</f>
        <v/>
      </c>
      <c r="J410" s="574">
        <f>IF(' Impaired Loans ASC 310-10'!J410="","",' Impaired Loans ASC 310-10'!J410)</f>
        <v/>
      </c>
      <c r="K410" s="584" t="n"/>
      <c r="L410" s="578">
        <f>IFERROR(A410,"")</f>
        <v/>
      </c>
      <c r="M410" s="849">
        <f>IF(' Impaired Loans ASC 310-10'!A410="","",' Impaired Loans ASC 310-10'!K410)</f>
        <v/>
      </c>
      <c r="N410" s="580">
        <f>IF(' Impaired Loans ASC 310-10'!A410="","",' Impaired Loans ASC 310-10'!L410)</f>
        <v/>
      </c>
      <c r="O410" s="581">
        <f>IF(' Impaired Loans ASC 310-10'!A410="","",' Impaired Loans ASC 310-10'!M410)</f>
        <v/>
      </c>
      <c r="P410" s="582">
        <f>IF(' Impaired Loans ASC 310-10'!A410="","",' Impaired Loans ASC 310-10'!O410)</f>
        <v/>
      </c>
      <c r="Q410" s="583">
        <f>IF(' Impaired Loans ASC 310-10'!A410="","",' Impaired Loans ASC 310-10'!N410)</f>
        <v/>
      </c>
      <c r="R410" s="583">
        <f>IF(' Impaired Loans ASC 310-10'!A410="","",' Impaired Loans ASC 310-10'!P410)</f>
        <v/>
      </c>
      <c r="S410" s="583">
        <f>IF(' Impaired Loans ASC 310-10'!A410="","",' Impaired Loans ASC 310-10'!Q410)</f>
        <v/>
      </c>
    </row>
    <row r="411">
      <c r="A411" s="573">
        <f>IF(' Impaired Loans ASC 310-10'!A411="","",' Impaired Loans ASC 310-10'!A411)</f>
        <v/>
      </c>
      <c r="B411" s="573">
        <f>IF(' Impaired Loans ASC 310-10'!B411="","",' Impaired Loans ASC 310-10'!B411)</f>
        <v/>
      </c>
      <c r="C411" s="573">
        <f>IF(' Impaired Loans ASC 310-10'!C411="","",' Impaired Loans ASC 310-10'!C411)</f>
        <v/>
      </c>
      <c r="D411" s="573">
        <f>IF(' Impaired Loans ASC 310-10'!D411="","",' Impaired Loans ASC 310-10'!D411)</f>
        <v/>
      </c>
      <c r="E411" s="574">
        <f>IF(' Impaired Loans ASC 310-10'!E411="","",' Impaired Loans ASC 310-10'!E411)</f>
        <v/>
      </c>
      <c r="F411" s="575">
        <f>IF(' Impaired Loans ASC 310-10'!F411="","",' Impaired Loans ASC 310-10'!F411)</f>
        <v/>
      </c>
      <c r="G411" s="574">
        <f>IF(' Impaired Loans ASC 310-10'!G411="","",' Impaired Loans ASC 310-10'!G411)</f>
        <v/>
      </c>
      <c r="H411" s="574">
        <f>IF(' Impaired Loans ASC 310-10'!H411="","",' Impaired Loans ASC 310-10'!H411)</f>
        <v/>
      </c>
      <c r="I411" s="574">
        <f>IF(' Impaired Loans ASC 310-10'!I411="","",' Impaired Loans ASC 310-10'!I411)</f>
        <v/>
      </c>
      <c r="J411" s="574">
        <f>IF(' Impaired Loans ASC 310-10'!J411="","",' Impaired Loans ASC 310-10'!J411)</f>
        <v/>
      </c>
      <c r="K411" s="584" t="n"/>
      <c r="L411" s="578">
        <f>IFERROR(A411,"")</f>
        <v/>
      </c>
      <c r="M411" s="849">
        <f>IF(' Impaired Loans ASC 310-10'!A411="","",' Impaired Loans ASC 310-10'!K411)</f>
        <v/>
      </c>
      <c r="N411" s="580">
        <f>IF(' Impaired Loans ASC 310-10'!A411="","",' Impaired Loans ASC 310-10'!L411)</f>
        <v/>
      </c>
      <c r="O411" s="581">
        <f>IF(' Impaired Loans ASC 310-10'!A411="","",' Impaired Loans ASC 310-10'!M411)</f>
        <v/>
      </c>
      <c r="P411" s="582">
        <f>IF(' Impaired Loans ASC 310-10'!A411="","",' Impaired Loans ASC 310-10'!O411)</f>
        <v/>
      </c>
      <c r="Q411" s="583">
        <f>IF(' Impaired Loans ASC 310-10'!A411="","",' Impaired Loans ASC 310-10'!N411)</f>
        <v/>
      </c>
      <c r="R411" s="583">
        <f>IF(' Impaired Loans ASC 310-10'!A411="","",' Impaired Loans ASC 310-10'!P411)</f>
        <v/>
      </c>
      <c r="S411" s="583">
        <f>IF(' Impaired Loans ASC 310-10'!A411="","",' Impaired Loans ASC 310-10'!Q411)</f>
        <v/>
      </c>
    </row>
    <row r="412">
      <c r="A412" s="573">
        <f>IF(' Impaired Loans ASC 310-10'!A412="","",' Impaired Loans ASC 310-10'!A412)</f>
        <v/>
      </c>
      <c r="B412" s="573">
        <f>IF(' Impaired Loans ASC 310-10'!B412="","",' Impaired Loans ASC 310-10'!B412)</f>
        <v/>
      </c>
      <c r="C412" s="573">
        <f>IF(' Impaired Loans ASC 310-10'!C412="","",' Impaired Loans ASC 310-10'!C412)</f>
        <v/>
      </c>
      <c r="D412" s="573">
        <f>IF(' Impaired Loans ASC 310-10'!D412="","",' Impaired Loans ASC 310-10'!D412)</f>
        <v/>
      </c>
      <c r="E412" s="574">
        <f>IF(' Impaired Loans ASC 310-10'!E412="","",' Impaired Loans ASC 310-10'!E412)</f>
        <v/>
      </c>
      <c r="F412" s="575">
        <f>IF(' Impaired Loans ASC 310-10'!F412="","",' Impaired Loans ASC 310-10'!F412)</f>
        <v/>
      </c>
      <c r="G412" s="574">
        <f>IF(' Impaired Loans ASC 310-10'!G412="","",' Impaired Loans ASC 310-10'!G412)</f>
        <v/>
      </c>
      <c r="H412" s="574">
        <f>IF(' Impaired Loans ASC 310-10'!H412="","",' Impaired Loans ASC 310-10'!H412)</f>
        <v/>
      </c>
      <c r="I412" s="574">
        <f>IF(' Impaired Loans ASC 310-10'!I412="","",' Impaired Loans ASC 310-10'!I412)</f>
        <v/>
      </c>
      <c r="J412" s="574">
        <f>IF(' Impaired Loans ASC 310-10'!J412="","",' Impaired Loans ASC 310-10'!J412)</f>
        <v/>
      </c>
      <c r="K412" s="584" t="n"/>
      <c r="L412" s="578">
        <f>IFERROR(A412,"")</f>
        <v/>
      </c>
      <c r="M412" s="849">
        <f>IF(' Impaired Loans ASC 310-10'!A412="","",' Impaired Loans ASC 310-10'!K412)</f>
        <v/>
      </c>
      <c r="N412" s="580">
        <f>IF(' Impaired Loans ASC 310-10'!A412="","",' Impaired Loans ASC 310-10'!L412)</f>
        <v/>
      </c>
      <c r="O412" s="581">
        <f>IF(' Impaired Loans ASC 310-10'!A412="","",' Impaired Loans ASC 310-10'!M412)</f>
        <v/>
      </c>
      <c r="P412" s="582">
        <f>IF(' Impaired Loans ASC 310-10'!A412="","",' Impaired Loans ASC 310-10'!O412)</f>
        <v/>
      </c>
      <c r="Q412" s="583">
        <f>IF(' Impaired Loans ASC 310-10'!A412="","",' Impaired Loans ASC 310-10'!N412)</f>
        <v/>
      </c>
      <c r="R412" s="583">
        <f>IF(' Impaired Loans ASC 310-10'!A412="","",' Impaired Loans ASC 310-10'!P412)</f>
        <v/>
      </c>
      <c r="S412" s="583">
        <f>IF(' Impaired Loans ASC 310-10'!A412="","",' Impaired Loans ASC 310-10'!Q412)</f>
        <v/>
      </c>
    </row>
    <row r="413">
      <c r="G413" s="586" t="n"/>
      <c r="H413" s="586" t="n"/>
      <c r="I413" s="586" t="n"/>
      <c r="J413" s="586" t="n"/>
      <c r="K413" s="586" t="n"/>
      <c r="L413" s="586" t="n"/>
    </row>
  </sheetData>
  <autoFilter ref="A27:S412">
    <sortState ref="A28:S412">
      <sortCondition ref="B27:B412"/>
    </sortState>
  </autoFilter>
  <mergeCells count="6">
    <mergeCell ref="A1:J1"/>
    <mergeCell ref="L2:S2"/>
    <mergeCell ref="A3:J3"/>
    <mergeCell ref="L1:S1"/>
    <mergeCell ref="A26:J26"/>
    <mergeCell ref="A2:J2"/>
  </mergeCells>
  <dataValidations count="1">
    <dataValidation sqref="A28:A412" showDropDown="0" showInputMessage="1" showErrorMessage="1" allowBlank="1" type="list">
      <formula1>$A$5:$A$10</formula1>
    </dataValidation>
  </dataValidations>
  <pageMargins left="0.2" right="0.2" top="0.25" bottom="0.25" header="0.05" footer="0.05"/>
  <pageSetup orientation="landscape" scale="53" fitToHeight="0" fitToWidth="2"/>
  <headerFooter>
    <oddHeader/>
    <oddFooter>&amp;L&amp;G&amp;RPage &amp;P of &amp;N</oddFooter>
    <evenHeader/>
    <evenFooter/>
    <firstHeader/>
    <firstFooter/>
  </headerFooter>
  <rowBreaks count="1" manualBreakCount="1">
    <brk id="70" min="0" max="23" man="1"/>
  </rowBreaks>
  <colBreaks count="1" manualBreakCount="1">
    <brk id="11" min="0" max="69" man="1"/>
  </colBreaks>
</worksheet>
</file>

<file path=xl/worksheets/sheet12.xml><?xml version="1.0" encoding="utf-8"?>
<worksheet xmlns="http://schemas.openxmlformats.org/spreadsheetml/2006/main">
  <sheetPr>
    <outlinePr summaryBelow="1" summaryRight="1"/>
    <pageSetUpPr fitToPage="1"/>
  </sheetPr>
  <dimension ref="A2:E53"/>
  <sheetViews>
    <sheetView showGridLines="0" workbookViewId="0">
      <selection activeCell="A1" sqref="A1"/>
    </sheetView>
  </sheetViews>
  <sheetFormatPr baseColWidth="8" defaultRowHeight="15"/>
  <cols>
    <col width="50" customWidth="1" style="685" min="1" max="1"/>
    <col width="15" customWidth="1" style="685" min="2" max="2"/>
    <col width="15" customWidth="1" style="685" min="3" max="3"/>
    <col width="15" customWidth="1" style="685" min="4" max="4"/>
    <col width="15" customWidth="1" style="685" min="5" max="5"/>
    <col width="15" customWidth="1" style="685" min="6" max="6"/>
  </cols>
  <sheetData>
    <row r="2" ht="21" customHeight="1" s="685">
      <c r="A2" s="686" t="inlineStr">
        <is>
          <t>CECL Allowances for Credit Losses (ACL) Calculation</t>
        </is>
      </c>
    </row>
    <row r="3" ht="21" customHeight="1" s="685">
      <c r="A3" s="686">
        <f>"Prepared For "&amp;'Cover-Vizo'!A10</f>
        <v/>
      </c>
    </row>
    <row r="4" ht="21" customHeight="1" s="685">
      <c r="A4" s="686">
        <f>"Quarter Ended "&amp;TEXT('Cover-Vizo'!A11,"m/d/yyyy")</f>
        <v/>
      </c>
    </row>
    <row r="6">
      <c r="A6" s="954">
        <f>'New Report Calc-Vizo'!A10</f>
        <v/>
      </c>
      <c r="B6" s="479">
        <f>'New Report Calc-Vizo'!AE10</f>
        <v/>
      </c>
      <c r="C6" s="635">
        <f>'New Report Calc-Vizo'!AF10</f>
        <v/>
      </c>
      <c r="D6" s="860">
        <f>'New Report Calc-Vizo'!AH10</f>
        <v/>
      </c>
    </row>
    <row r="7">
      <c r="A7" s="955">
        <f>'New Report Calc-Vizo'!A11</f>
        <v/>
      </c>
      <c r="B7" s="956">
        <f>'New Report Calc-Vizo'!AE11</f>
        <v/>
      </c>
      <c r="C7" s="957">
        <f>'New Report Calc-Vizo'!AF11</f>
        <v/>
      </c>
      <c r="D7" s="958">
        <f>'New Report Calc-Vizo'!AH11</f>
        <v/>
      </c>
    </row>
    <row r="8">
      <c r="A8" s="955">
        <f>'New Report Calc-Vizo'!A12</f>
        <v/>
      </c>
      <c r="B8" s="956">
        <f>'New Report Calc-Vizo'!AE12</f>
        <v/>
      </c>
      <c r="C8" s="957">
        <f>'New Report Calc-Vizo'!AF12</f>
        <v/>
      </c>
      <c r="D8" s="958">
        <f>'New Report Calc-Vizo'!AH12</f>
        <v/>
      </c>
    </row>
    <row r="9">
      <c r="A9" s="955">
        <f>'New Report Calc-Vizo'!A13</f>
        <v/>
      </c>
      <c r="B9" s="956">
        <f>'New Report Calc-Vizo'!AE13</f>
        <v/>
      </c>
      <c r="C9" s="957">
        <f>'New Report Calc-Vizo'!AF13</f>
        <v/>
      </c>
      <c r="D9" s="958">
        <f>'New Report Calc-Vizo'!AH13</f>
        <v/>
      </c>
    </row>
    <row r="10">
      <c r="A10" s="955">
        <f>'New Report Calc-Vizo'!A14</f>
        <v/>
      </c>
      <c r="B10" s="956">
        <f>'New Report Calc-Vizo'!AE14</f>
        <v/>
      </c>
      <c r="C10" s="957">
        <f>'New Report Calc-Vizo'!AF14</f>
        <v/>
      </c>
      <c r="D10" s="958">
        <f>'New Report Calc-Vizo'!AH14</f>
        <v/>
      </c>
    </row>
    <row r="11">
      <c r="A11" s="955">
        <f>'New Report Calc-Vizo'!A15</f>
        <v/>
      </c>
      <c r="B11" s="956">
        <f>'New Report Calc-Vizo'!AE15</f>
        <v/>
      </c>
      <c r="C11" s="957">
        <f>'New Report Calc-Vizo'!AF15</f>
        <v/>
      </c>
      <c r="D11" s="958">
        <f>'New Report Calc-Vizo'!AH15</f>
        <v/>
      </c>
    </row>
    <row r="12">
      <c r="A12" s="955">
        <f>'New Report Calc-Vizo'!A16</f>
        <v/>
      </c>
      <c r="B12" s="956">
        <f>'New Report Calc-Vizo'!AE16</f>
        <v/>
      </c>
      <c r="C12" s="957">
        <f>'New Report Calc-Vizo'!AF16</f>
        <v/>
      </c>
      <c r="D12" s="958">
        <f>'New Report Calc-Vizo'!AH16</f>
        <v/>
      </c>
    </row>
    <row r="13">
      <c r="A13" s="955">
        <f>'New Report Calc-Vizo'!A17</f>
        <v/>
      </c>
      <c r="B13" s="956">
        <f>'New Report Calc-Vizo'!AE17</f>
        <v/>
      </c>
      <c r="C13" s="957">
        <f>'New Report Calc-Vizo'!AF17</f>
        <v/>
      </c>
      <c r="D13" s="958">
        <f>'New Report Calc-Vizo'!AH17</f>
        <v/>
      </c>
    </row>
    <row r="14">
      <c r="A14" s="955">
        <f>'New Report Calc-Vizo'!A18</f>
        <v/>
      </c>
      <c r="B14" s="956">
        <f>'New Report Calc-Vizo'!AE18</f>
        <v/>
      </c>
      <c r="C14" s="957">
        <f>'New Report Calc-Vizo'!AF18</f>
        <v/>
      </c>
      <c r="D14" s="958">
        <f>'New Report Calc-Vizo'!AH18</f>
        <v/>
      </c>
    </row>
    <row r="15">
      <c r="A15" s="955">
        <f>'New Report Calc-Vizo'!A19</f>
        <v/>
      </c>
      <c r="B15" s="956">
        <f>'New Report Calc-Vizo'!AE19</f>
        <v/>
      </c>
      <c r="C15" s="957">
        <f>'New Report Calc-Vizo'!AF19</f>
        <v/>
      </c>
      <c r="D15" s="958">
        <f>'New Report Calc-Vizo'!AH19</f>
        <v/>
      </c>
    </row>
    <row r="16">
      <c r="A16" s="955">
        <f>'New Report Calc-Vizo'!A20</f>
        <v/>
      </c>
      <c r="B16" s="956">
        <f>'New Report Calc-Vizo'!AE20</f>
        <v/>
      </c>
      <c r="C16" s="957">
        <f>'New Report Calc-Vizo'!AF20</f>
        <v/>
      </c>
      <c r="D16" s="958">
        <f>'New Report Calc-Vizo'!AH20</f>
        <v/>
      </c>
    </row>
    <row r="17">
      <c r="A17" s="955">
        <f>'New Report Calc-Vizo'!A21</f>
        <v/>
      </c>
      <c r="B17" s="956">
        <f>'New Report Calc-Vizo'!AE21</f>
        <v/>
      </c>
      <c r="C17" s="957">
        <f>'New Report Calc-Vizo'!AF21</f>
        <v/>
      </c>
      <c r="D17" s="958">
        <f>'New Report Calc-Vizo'!AH21</f>
        <v/>
      </c>
    </row>
    <row r="18">
      <c r="A18" s="955">
        <f>'New Report Calc-Vizo'!A22</f>
        <v/>
      </c>
      <c r="B18" s="956">
        <f>'New Report Calc-Vizo'!AE22</f>
        <v/>
      </c>
      <c r="C18" s="957">
        <f>'New Report Calc-Vizo'!AF22</f>
        <v/>
      </c>
      <c r="D18" s="958">
        <f>'New Report Calc-Vizo'!AH22</f>
        <v/>
      </c>
    </row>
    <row r="19">
      <c r="A19" s="955">
        <f>'New Report Calc-Vizo'!A23</f>
        <v/>
      </c>
      <c r="B19" s="956">
        <f>'New Report Calc-Vizo'!AE23</f>
        <v/>
      </c>
      <c r="C19" s="957">
        <f>'New Report Calc-Vizo'!AF23</f>
        <v/>
      </c>
      <c r="D19" s="958">
        <f>'New Report Calc-Vizo'!AH23</f>
        <v/>
      </c>
    </row>
    <row r="20">
      <c r="A20" s="959">
        <f>'New Report Calc-Vizo'!A24</f>
        <v/>
      </c>
      <c r="B20" s="960">
        <f>'New Report Calc-Vizo'!AE24</f>
        <v/>
      </c>
    </row>
    <row r="23">
      <c r="A23" s="954">
        <f>'New Report Calc-Vizo'!A44</f>
        <v/>
      </c>
      <c r="B23" s="479">
        <f>'New Report Calc-Vizo'!AE44</f>
        <v/>
      </c>
      <c r="C23" s="635">
        <f>'New Report Calc-Vizo'!AF44</f>
        <v/>
      </c>
      <c r="D23" s="860">
        <f>'New Report Calc-Vizo'!AH44</f>
        <v/>
      </c>
      <c r="E23" s="486">
        <f>'New Report Calc-Vizo'!AI44</f>
        <v/>
      </c>
    </row>
    <row r="24">
      <c r="A24" s="955">
        <f>'New Report Calc-Vizo'!A45</f>
        <v/>
      </c>
      <c r="B24" s="956">
        <f>'New Report Calc-Vizo'!AE45</f>
        <v/>
      </c>
      <c r="C24" s="957">
        <f>'New Report Calc-Vizo'!AF45</f>
        <v/>
      </c>
      <c r="D24" s="958">
        <f>'New Report Calc-Vizo'!AH45</f>
        <v/>
      </c>
      <c r="E24" s="965">
        <f>'New Report Calc-Vizo'!AI45</f>
        <v/>
      </c>
    </row>
    <row r="25">
      <c r="A25" s="955">
        <f>'New Report Calc-Vizo'!A46</f>
        <v/>
      </c>
      <c r="B25" s="956">
        <f>'New Report Calc-Vizo'!AE46</f>
        <v/>
      </c>
      <c r="C25" s="957">
        <f>'New Report Calc-Vizo'!AF46</f>
        <v/>
      </c>
      <c r="D25" s="958">
        <f>'New Report Calc-Vizo'!AH46</f>
        <v/>
      </c>
      <c r="E25" s="965">
        <f>'New Report Calc-Vizo'!AI46</f>
        <v/>
      </c>
    </row>
    <row r="26">
      <c r="A26" s="955">
        <f>'New Report Calc-Vizo'!A47</f>
        <v/>
      </c>
      <c r="B26" s="956">
        <f>'New Report Calc-Vizo'!AE47</f>
        <v/>
      </c>
      <c r="C26" s="957">
        <f>'New Report Calc-Vizo'!AF47</f>
        <v/>
      </c>
      <c r="D26" s="958">
        <f>'New Report Calc-Vizo'!AH47</f>
        <v/>
      </c>
      <c r="E26" s="965">
        <f>'New Report Calc-Vizo'!AI47</f>
        <v/>
      </c>
    </row>
    <row r="27">
      <c r="A27" s="955">
        <f>'New Report Calc-Vizo'!A48</f>
        <v/>
      </c>
      <c r="B27" s="956">
        <f>'New Report Calc-Vizo'!AE48</f>
        <v/>
      </c>
      <c r="C27" s="957">
        <f>'New Report Calc-Vizo'!AF48</f>
        <v/>
      </c>
      <c r="D27" s="958">
        <f>'New Report Calc-Vizo'!AH48</f>
        <v/>
      </c>
      <c r="E27" s="965">
        <f>'New Report Calc-Vizo'!AI48</f>
        <v/>
      </c>
    </row>
    <row r="28">
      <c r="A28" s="955">
        <f>'New Report Calc-Vizo'!A49</f>
        <v/>
      </c>
      <c r="B28" s="956">
        <f>'New Report Calc-Vizo'!AE49</f>
        <v/>
      </c>
      <c r="C28" s="957">
        <f>'New Report Calc-Vizo'!AF49</f>
        <v/>
      </c>
      <c r="D28" s="958">
        <f>'New Report Calc-Vizo'!AH49</f>
        <v/>
      </c>
      <c r="E28" s="965">
        <f>'New Report Calc-Vizo'!AI49</f>
        <v/>
      </c>
    </row>
    <row r="29">
      <c r="A29" s="955">
        <f>'New Report Calc-Vizo'!A50</f>
        <v/>
      </c>
      <c r="B29" s="956">
        <f>'New Report Calc-Vizo'!AE50</f>
        <v/>
      </c>
      <c r="C29" s="957">
        <f>'New Report Calc-Vizo'!AF50</f>
        <v/>
      </c>
      <c r="D29" s="958">
        <f>'New Report Calc-Vizo'!AH50</f>
        <v/>
      </c>
      <c r="E29" s="965">
        <f>'New Report Calc-Vizo'!AI50</f>
        <v/>
      </c>
    </row>
    <row r="30">
      <c r="A30" s="955">
        <f>'New Report Calc-Vizo'!A51</f>
        <v/>
      </c>
      <c r="B30" s="956">
        <f>'New Report Calc-Vizo'!AE51</f>
        <v/>
      </c>
      <c r="C30" s="957">
        <f>'New Report Calc-Vizo'!AF51</f>
        <v/>
      </c>
      <c r="D30" s="958">
        <f>'New Report Calc-Vizo'!AH51</f>
        <v/>
      </c>
      <c r="E30" s="965">
        <f>'New Report Calc-Vizo'!AI51</f>
        <v/>
      </c>
    </row>
    <row r="31">
      <c r="A31" s="955">
        <f>'New Report Calc-Vizo'!A52</f>
        <v/>
      </c>
      <c r="B31" s="956">
        <f>'New Report Calc-Vizo'!AE52</f>
        <v/>
      </c>
      <c r="C31" s="957">
        <f>'New Report Calc-Vizo'!AF52</f>
        <v/>
      </c>
      <c r="D31" s="958">
        <f>'New Report Calc-Vizo'!AH52</f>
        <v/>
      </c>
      <c r="E31" s="965">
        <f>'New Report Calc-Vizo'!AI52</f>
        <v/>
      </c>
    </row>
    <row r="32">
      <c r="A32" s="955">
        <f>'New Report Calc-Vizo'!A53</f>
        <v/>
      </c>
      <c r="B32" s="956">
        <f>'New Report Calc-Vizo'!AE53</f>
        <v/>
      </c>
      <c r="C32" s="957">
        <f>'New Report Calc-Vizo'!AF53</f>
        <v/>
      </c>
      <c r="D32" s="958">
        <f>'New Report Calc-Vizo'!AH53</f>
        <v/>
      </c>
      <c r="E32" s="965">
        <f>'New Report Calc-Vizo'!AI53</f>
        <v/>
      </c>
    </row>
    <row r="33">
      <c r="A33" s="955">
        <f>'New Report Calc-Vizo'!A54</f>
        <v/>
      </c>
      <c r="B33" s="956">
        <f>'New Report Calc-Vizo'!AE54</f>
        <v/>
      </c>
      <c r="C33" s="957">
        <f>'New Report Calc-Vizo'!AF54</f>
        <v/>
      </c>
      <c r="D33" s="958">
        <f>'New Report Calc-Vizo'!AH54</f>
        <v/>
      </c>
      <c r="E33" s="965">
        <f>'New Report Calc-Vizo'!AI54</f>
        <v/>
      </c>
    </row>
    <row r="34">
      <c r="A34" s="955">
        <f>'New Report Calc-Vizo'!A55</f>
        <v/>
      </c>
      <c r="B34" s="956">
        <f>'New Report Calc-Vizo'!AE55</f>
        <v/>
      </c>
      <c r="C34" s="957">
        <f>'New Report Calc-Vizo'!AF55</f>
        <v/>
      </c>
      <c r="D34" s="958">
        <f>'New Report Calc-Vizo'!AH55</f>
        <v/>
      </c>
      <c r="E34" s="965">
        <f>'New Report Calc-Vizo'!AI55</f>
        <v/>
      </c>
    </row>
    <row r="35">
      <c r="A35" s="955">
        <f>'New Report Calc-Vizo'!A56</f>
        <v/>
      </c>
      <c r="B35" s="956">
        <f>'New Report Calc-Vizo'!AE56</f>
        <v/>
      </c>
      <c r="C35" s="957">
        <f>'New Report Calc-Vizo'!AF56</f>
        <v/>
      </c>
      <c r="D35" s="958">
        <f>'New Report Calc-Vizo'!AH56</f>
        <v/>
      </c>
      <c r="E35" s="965">
        <f>'New Report Calc-Vizo'!AI56</f>
        <v/>
      </c>
    </row>
    <row r="36">
      <c r="A36" s="955">
        <f>'New Report Calc-Vizo'!A57</f>
        <v/>
      </c>
      <c r="B36" s="956">
        <f>'New Report Calc-Vizo'!AE57</f>
        <v/>
      </c>
      <c r="C36" s="957">
        <f>'New Report Calc-Vizo'!AF57</f>
        <v/>
      </c>
      <c r="D36" s="958">
        <f>'New Report Calc-Vizo'!AH57</f>
        <v/>
      </c>
      <c r="E36" s="965">
        <f>'New Report Calc-Vizo'!AI57</f>
        <v/>
      </c>
    </row>
    <row r="37">
      <c r="A37" s="959">
        <f>'New Report Calc-Vizo'!A58</f>
        <v/>
      </c>
      <c r="B37" s="960">
        <f>'New Report Calc-Vizo'!AE58</f>
        <v/>
      </c>
    </row>
    <row r="40">
      <c r="A40" s="954">
        <f>'New Report Calc-Vizo'!A95</f>
        <v/>
      </c>
      <c r="B40" s="479">
        <f>'New Report Calc-Vizo'!AE95</f>
        <v/>
      </c>
      <c r="C40" s="635">
        <f>'New Report Calc-Vizo'!AF95</f>
        <v/>
      </c>
      <c r="D40" s="860">
        <f>'New Report Calc-Vizo'!AH95</f>
        <v/>
      </c>
      <c r="E40" s="486">
        <f>'New Report Calc-Vizo'!AI95</f>
        <v/>
      </c>
    </row>
    <row r="41">
      <c r="A41" s="955">
        <f>'New Report Calc-Vizo'!A96</f>
        <v/>
      </c>
      <c r="B41" s="969">
        <f>'New Report Calc-Vizo'!AE96</f>
        <v/>
      </c>
      <c r="C41" s="640">
        <f>'New Report Calc-Vizo'!AF96</f>
        <v/>
      </c>
      <c r="D41" s="970">
        <f>'New Report Calc-Vizo'!AH96</f>
        <v/>
      </c>
      <c r="E41" s="971">
        <f>'New Report Calc-Vizo'!AI96</f>
        <v/>
      </c>
    </row>
    <row r="42">
      <c r="A42" s="955">
        <f>'New Report Calc-Vizo'!A97</f>
        <v/>
      </c>
      <c r="B42" s="969">
        <f>'New Report Calc-Vizo'!AE97</f>
        <v/>
      </c>
      <c r="C42" s="640">
        <f>'New Report Calc-Vizo'!AF97</f>
        <v/>
      </c>
      <c r="D42" s="970">
        <f>'New Report Calc-Vizo'!AH97</f>
        <v/>
      </c>
      <c r="E42" s="971">
        <f>'New Report Calc-Vizo'!AI97</f>
        <v/>
      </c>
    </row>
    <row r="43">
      <c r="A43" s="955">
        <f>'New Report Calc-Vizo'!A98</f>
        <v/>
      </c>
      <c r="B43" s="969">
        <f>'New Report Calc-Vizo'!AE98</f>
        <v/>
      </c>
      <c r="C43" s="640">
        <f>'New Report Calc-Vizo'!AF98</f>
        <v/>
      </c>
      <c r="D43" s="970">
        <f>'New Report Calc-Vizo'!AH98</f>
        <v/>
      </c>
      <c r="E43" s="971">
        <f>'New Report Calc-Vizo'!AI98</f>
        <v/>
      </c>
    </row>
    <row r="44">
      <c r="A44" s="955">
        <f>'New Report Calc-Vizo'!A99</f>
        <v/>
      </c>
      <c r="B44" s="969">
        <f>'New Report Calc-Vizo'!AE99</f>
        <v/>
      </c>
      <c r="C44" s="640">
        <f>'New Report Calc-Vizo'!AF99</f>
        <v/>
      </c>
      <c r="D44" s="970">
        <f>'New Report Calc-Vizo'!AH99</f>
        <v/>
      </c>
      <c r="E44" s="971">
        <f>'New Report Calc-Vizo'!AI99</f>
        <v/>
      </c>
    </row>
    <row r="45">
      <c r="A45" s="955">
        <f>'New Report Calc-Vizo'!A100</f>
        <v/>
      </c>
      <c r="B45" s="969">
        <f>'New Report Calc-Vizo'!AE100</f>
        <v/>
      </c>
      <c r="C45" s="640">
        <f>'New Report Calc-Vizo'!AF100</f>
        <v/>
      </c>
      <c r="D45" s="970">
        <f>'New Report Calc-Vizo'!AH100</f>
        <v/>
      </c>
      <c r="E45" s="971">
        <f>'New Report Calc-Vizo'!AI100</f>
        <v/>
      </c>
    </row>
    <row r="46">
      <c r="A46" s="955">
        <f>'New Report Calc-Vizo'!A101</f>
        <v/>
      </c>
      <c r="B46" s="969">
        <f>'New Report Calc-Vizo'!AE101</f>
        <v/>
      </c>
      <c r="C46" s="640">
        <f>'New Report Calc-Vizo'!AF101</f>
        <v/>
      </c>
      <c r="D46" s="970">
        <f>'New Report Calc-Vizo'!AH101</f>
        <v/>
      </c>
      <c r="E46" s="971">
        <f>'New Report Calc-Vizo'!AI101</f>
        <v/>
      </c>
    </row>
    <row r="47">
      <c r="A47" s="955">
        <f>'New Report Calc-Vizo'!A102</f>
        <v/>
      </c>
      <c r="B47" s="969">
        <f>'New Report Calc-Vizo'!AE102</f>
        <v/>
      </c>
      <c r="C47" s="640">
        <f>'New Report Calc-Vizo'!AF102</f>
        <v/>
      </c>
      <c r="D47" s="970">
        <f>'New Report Calc-Vizo'!AH102</f>
        <v/>
      </c>
      <c r="E47" s="971">
        <f>'New Report Calc-Vizo'!AI102</f>
        <v/>
      </c>
    </row>
    <row r="48">
      <c r="A48" s="955">
        <f>'New Report Calc-Vizo'!A103</f>
        <v/>
      </c>
      <c r="B48" s="969">
        <f>'New Report Calc-Vizo'!AE103</f>
        <v/>
      </c>
      <c r="C48" s="640">
        <f>'New Report Calc-Vizo'!AF103</f>
        <v/>
      </c>
      <c r="D48" s="970">
        <f>'New Report Calc-Vizo'!AH103</f>
        <v/>
      </c>
      <c r="E48" s="971">
        <f>'New Report Calc-Vizo'!AI103</f>
        <v/>
      </c>
    </row>
    <row r="49">
      <c r="A49" s="955">
        <f>'New Report Calc-Vizo'!A104</f>
        <v/>
      </c>
      <c r="B49" s="969">
        <f>'New Report Calc-Vizo'!AE104</f>
        <v/>
      </c>
      <c r="C49" s="640">
        <f>'New Report Calc-Vizo'!AF104</f>
        <v/>
      </c>
      <c r="D49" s="970">
        <f>'New Report Calc-Vizo'!AH104</f>
        <v/>
      </c>
      <c r="E49" s="971">
        <f>'New Report Calc-Vizo'!AI104</f>
        <v/>
      </c>
    </row>
    <row r="50">
      <c r="A50" s="955">
        <f>'New Report Calc-Vizo'!A105</f>
        <v/>
      </c>
      <c r="B50" s="969">
        <f>'New Report Calc-Vizo'!AE105</f>
        <v/>
      </c>
      <c r="C50" s="640">
        <f>'New Report Calc-Vizo'!AF105</f>
        <v/>
      </c>
      <c r="D50" s="970">
        <f>'New Report Calc-Vizo'!AH105</f>
        <v/>
      </c>
      <c r="E50" s="971">
        <f>'New Report Calc-Vizo'!AI105</f>
        <v/>
      </c>
    </row>
    <row r="51">
      <c r="A51" s="955">
        <f>'New Report Calc-Vizo'!A106</f>
        <v/>
      </c>
      <c r="B51" s="969">
        <f>'New Report Calc-Vizo'!AE106</f>
        <v/>
      </c>
      <c r="C51" s="640">
        <f>'New Report Calc-Vizo'!AF106</f>
        <v/>
      </c>
      <c r="D51" s="970">
        <f>'New Report Calc-Vizo'!AH106</f>
        <v/>
      </c>
      <c r="E51" s="971">
        <f>'New Report Calc-Vizo'!AI106</f>
        <v/>
      </c>
    </row>
    <row r="52">
      <c r="A52" s="955">
        <f>'New Report Calc-Vizo'!A107</f>
        <v/>
      </c>
      <c r="B52" s="969">
        <f>'New Report Calc-Vizo'!AE107</f>
        <v/>
      </c>
      <c r="C52" s="640">
        <f>'New Report Calc-Vizo'!AF107</f>
        <v/>
      </c>
      <c r="D52" s="970">
        <f>'New Report Calc-Vizo'!AH107</f>
        <v/>
      </c>
      <c r="E52" s="971">
        <f>'New Report Calc-Vizo'!AI107</f>
        <v/>
      </c>
    </row>
    <row r="53">
      <c r="A53" s="955">
        <f>'New Report Calc-Vizo'!A108</f>
        <v/>
      </c>
      <c r="B53" s="969">
        <f>'New Report Calc-Vizo'!AE108</f>
        <v/>
      </c>
      <c r="C53" s="640">
        <f>'New Report Calc-Vizo'!AF108</f>
        <v/>
      </c>
      <c r="D53" s="970">
        <f>'New Report Calc-Vizo'!AH108</f>
        <v/>
      </c>
      <c r="E53" s="971">
        <f>'New Report Calc-Vizo'!AI108</f>
        <v/>
      </c>
    </row>
  </sheetData>
  <mergeCells count="3">
    <mergeCell ref="A2:E2"/>
    <mergeCell ref="A4:E4"/>
    <mergeCell ref="A3:E3"/>
  </mergeCells>
  <printOptions horizontalCentered="1" verticalCentered="1"/>
  <pageMargins left="0.25" right="0.25" top="0.75" bottom="0.75" header="0.3" footer="0.3"/>
  <pageSetup orientation="portrait" fitToHeight="1" fitToWidth="1"/>
  <headerFooter>
    <oddHeader/>
    <oddFooter>&amp;RPage &amp;P of &amp;N</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S105"/>
  <sheetViews>
    <sheetView workbookViewId="0">
      <selection activeCell="A1" sqref="A1"/>
    </sheetView>
  </sheetViews>
  <sheetFormatPr baseColWidth="8" defaultRowHeight="15"/>
  <cols>
    <col width="1.140625" customWidth="1" style="685" min="1" max="1"/>
    <col width="74.28515625" customWidth="1" style="685" min="2" max="2"/>
    <col width="23.7109375" customWidth="1" style="685" min="3" max="3"/>
    <col width="18" customWidth="1" style="685" min="4" max="4"/>
    <col width="17.85546875" customWidth="1" style="685" min="5" max="5"/>
    <col width="18.7109375" customWidth="1" style="685" min="6" max="6"/>
    <col width="15.28515625" customWidth="1" style="685" min="7" max="7"/>
    <col width="14" customWidth="1" style="685" min="8" max="8"/>
    <col width="9.140625" customWidth="1" style="685" min="9" max="9"/>
    <col width="9.140625" customWidth="1" style="685" min="10" max="10"/>
    <col width="12.7109375" customWidth="1" style="685" min="13" max="13"/>
    <col width="9.140625" customWidth="1" style="685" min="14" max="14"/>
    <col width="9.140625" customWidth="1" style="685" min="24" max="24"/>
  </cols>
  <sheetData>
    <row r="1" ht="18.75" customHeight="1" s="685">
      <c r="B1" s="880">
        <f>"Prepared For "&amp;'Cover-Vizo'!A10</f>
        <v/>
      </c>
    </row>
    <row r="2" ht="15.75" customHeight="1" s="685">
      <c r="B2" s="881" t="inlineStr">
        <is>
          <t>Environmental Factor for PLL</t>
        </is>
      </c>
    </row>
    <row r="3" ht="15" customHeight="1" s="685">
      <c r="B3" s="882">
        <f>"Quarter Ended "&amp;TEXT('Cover-Vizo'!A11,"m/d/yyyy")</f>
        <v/>
      </c>
      <c r="J3" s="501" t="n"/>
      <c r="K3" s="501" t="n"/>
      <c r="L3" s="501" t="n"/>
      <c r="M3" s="501" t="n"/>
    </row>
    <row r="4" ht="15" customHeight="1" s="685">
      <c r="B4" s="882" t="n"/>
      <c r="C4" s="882" t="n"/>
      <c r="D4" s="882" t="n"/>
      <c r="E4" s="882" t="n"/>
      <c r="F4" s="882" t="n"/>
      <c r="J4" s="501" t="n"/>
      <c r="K4" s="501" t="n"/>
      <c r="L4" s="501" t="n"/>
      <c r="M4" s="501" t="n"/>
    </row>
    <row r="5" ht="23.25" customHeight="1" s="685">
      <c r="B5" s="883" t="inlineStr">
        <is>
          <t>Economic Stress Index Calculation</t>
        </is>
      </c>
      <c r="C5" s="884" t="n"/>
      <c r="D5" s="884" t="n"/>
      <c r="E5" s="884" t="n"/>
      <c r="F5" s="884" t="n"/>
      <c r="J5" s="501" t="n"/>
      <c r="K5" s="501" t="n"/>
      <c r="L5" s="501" t="n"/>
      <c r="M5" s="501" t="n"/>
    </row>
    <row r="6" ht="30" customHeight="1" s="685">
      <c r="B6" s="885" t="inlineStr">
        <is>
          <t>State</t>
        </is>
      </c>
      <c r="C6" s="885" t="inlineStr">
        <is>
          <t>Unemployment Rate</t>
        </is>
      </c>
      <c r="D6" s="886" t="inlineStr">
        <is>
          <t>Foreclosures per Person</t>
        </is>
      </c>
      <c r="E6" s="885" t="inlineStr">
        <is>
          <t>Bankruptcies</t>
        </is>
      </c>
      <c r="F6" s="885" t="inlineStr">
        <is>
          <t>Population</t>
        </is>
      </c>
      <c r="H6" s="197" t="n"/>
      <c r="M6" s="501" t="n"/>
    </row>
    <row r="7" ht="15" customHeight="1" s="685">
      <c r="B7" s="887">
        <f>'Env Factor by Pool'!B7</f>
        <v/>
      </c>
      <c r="C7" s="888">
        <f>'Env Factor by Pool'!C7</f>
        <v/>
      </c>
      <c r="D7" s="889">
        <f>'Env Factor by Pool'!D7</f>
        <v/>
      </c>
      <c r="E7" s="889">
        <f>'Env Factor by Pool'!E7</f>
        <v/>
      </c>
      <c r="F7" s="889">
        <f>'Env Factor by Pool'!F7</f>
        <v/>
      </c>
      <c r="H7" s="197" t="n"/>
      <c r="M7" s="501" t="inlineStr">
        <is>
          <t>what do the *s mean?, either can add to narrative or possibly remove?</t>
        </is>
      </c>
    </row>
    <row r="8" ht="30" customHeight="1" s="685">
      <c r="B8" s="885" t="inlineStr">
        <is>
          <t>County</t>
        </is>
      </c>
      <c r="C8" s="885" t="inlineStr">
        <is>
          <t>Unemployment Rate</t>
        </is>
      </c>
      <c r="D8" s="885" t="inlineStr">
        <is>
          <t>Foreclosure %</t>
        </is>
      </c>
      <c r="E8" s="885" t="inlineStr">
        <is>
          <t>Bankruptcy %</t>
        </is>
      </c>
      <c r="F8" s="886" t="inlineStr">
        <is>
          <t>Economic Stress Index</t>
        </is>
      </c>
      <c r="G8" s="890" t="n"/>
      <c r="H8" s="197" t="n"/>
      <c r="I8" s="197" t="n"/>
      <c r="J8" s="501" t="n"/>
      <c r="K8" s="501" t="n"/>
      <c r="L8" s="501" t="n"/>
      <c r="M8" s="501" t="inlineStr">
        <is>
          <t>If all use the same economic stress, stress score and stress index, do they need to be listed at the portfolio segment or just in the top section?</t>
        </is>
      </c>
    </row>
    <row r="9" ht="15" customHeight="1" s="685">
      <c r="B9" s="887">
        <f>'Env Factor by Pool'!B9</f>
        <v/>
      </c>
      <c r="C9" s="888">
        <f>C7</f>
        <v/>
      </c>
      <c r="D9" s="888">
        <f>'Env Factor by Pool'!E9</f>
        <v/>
      </c>
      <c r="E9" s="888">
        <f>'Env Factor by Pool'!D9</f>
        <v/>
      </c>
      <c r="F9" s="888">
        <f>SUM(C9:E9)</f>
        <v/>
      </c>
      <c r="G9" s="890" t="n"/>
      <c r="H9" s="197" t="n"/>
      <c r="I9" s="197" t="n"/>
      <c r="J9" s="1" t="n"/>
      <c r="K9" s="501" t="n"/>
      <c r="L9" s="501" t="n"/>
      <c r="M9" s="501" t="n"/>
    </row>
    <row r="10" ht="6" customHeight="1" s="685">
      <c r="C10" s="891" t="n"/>
      <c r="G10" s="890" t="n"/>
      <c r="H10" s="892" t="n"/>
      <c r="I10" s="892" t="n"/>
      <c r="J10" s="890" t="n"/>
      <c r="M10" s="501" t="n"/>
    </row>
    <row r="11" ht="6" customHeight="1" s="685">
      <c r="C11" s="891" t="n"/>
      <c r="G11" s="890" t="n"/>
      <c r="H11" s="892" t="n"/>
      <c r="I11" s="892" t="n"/>
      <c r="J11" s="890" t="n"/>
      <c r="M11" s="501" t="n"/>
    </row>
    <row r="12" ht="31.5" customHeight="1" s="685">
      <c r="B12" s="526" t="inlineStr">
        <is>
          <t>Portfolio Segment</t>
        </is>
      </c>
      <c r="C12" s="526" t="inlineStr">
        <is>
          <t>Delinquency Variance from Ave.</t>
        </is>
      </c>
      <c r="D12" s="526" t="inlineStr">
        <is>
          <t>Delinquency Score</t>
        </is>
      </c>
      <c r="E12" s="526" t="inlineStr">
        <is>
          <t>Economic Stress Actual</t>
        </is>
      </c>
      <c r="F12" s="526" t="inlineStr">
        <is>
          <t>Economic Stress Score</t>
        </is>
      </c>
      <c r="G12" s="526" t="inlineStr">
        <is>
          <t>Environmental Factor</t>
        </is>
      </c>
      <c r="H12" s="527" t="n"/>
      <c r="I12" s="893" t="n"/>
      <c r="J12" s="894" t="n"/>
      <c r="M12" s="895" t="n"/>
    </row>
    <row r="13" ht="15" customHeight="1" s="685">
      <c r="B13" s="896">
        <f>'Scale Calculation-Vizo'!A9</f>
        <v/>
      </c>
      <c r="C13" s="897">
        <f>'New Report Calc-Vizo'!AI96</f>
        <v/>
      </c>
      <c r="D13" s="898">
        <f>IF(C13&gt;='Env Factor by Pool-Vizo'!$H$34,'Env Factor by Pool-Vizo'!$I$34,IF(C13&gt;='Env Factor by Pool-Vizo'!$H$35,'Env Factor by Pool-Vizo'!$I$35,IF(C13&gt;='Env Factor by Pool-Vizo'!$H$36,'Env Factor by Pool-Vizo'!$I$36,IF(C13&gt;='Env Factor by Pool-Vizo'!$H$37,'Env Factor by Pool-Vizo'!$I$37,IF(C13&gt;='Env Factor by Pool-Vizo'!$H$38,'Env Factor by Pool-Vizo'!$I$38,IF(C13&gt;='Env Factor by Pool-Vizo'!$H$39,'Env Factor by Pool-Vizo'!$I$39,IF(C13&gt;='Env Factor by Pool-Vizo'!$H$40,'Env Factor by Pool-Vizo'!$I$40,IF(C13&gt;='Env Factor by Pool-Vizo'!$H$41,'Env Factor by Pool-Vizo'!$I$41,IF(C13&gt;='Env Factor by Pool-Vizo'!$H$42,'Env Factor by Pool-Vizo'!$I$42,IF(C13&gt;='Env Factor by Pool-Vizo'!$H$43,'Env Factor by Pool-Vizo'!$I$43,IF(C13&gt;='Env Factor by Pool-Vizo'!$H$44,'Env Factor by Pool-Vizo'!$I$44,IF(C13&gt;='Env Factor by Pool-Vizo'!$H$45,'Env Factor by Pool-Vizo'!$I$45,IF(C13&gt;='Env Factor by Pool-Vizo'!$H$46,'Env Factor by Pool-Vizo'!$I$46,IF(C13&gt;='Env Factor by Pool-Vizo'!$H$47,'Env Factor by Pool-Vizo'!$I$47,IF(C13&gt;='Env Factor by Pool-Vizo'!$H$48,'Env Factor by Pool-Vizo'!$I$48,IF(C13&gt;='Env Factor by Pool-Vizo'!$H$49,'Env Factor by Pool-Vizo'!$I$49,'Env Factor by Pool-Vizo'!$I$50))))))))))))))))</f>
        <v/>
      </c>
      <c r="E13" s="898">
        <f>$F$9</f>
        <v/>
      </c>
      <c r="F13" s="898">
        <f>IF(E13&gt;='Env Factor by Pool-Vizo'!$J$34,'Env Factor by Pool-Vizo'!$E$89,IF(E13&gt;='Env Factor by Pool-Vizo'!$J$35,'Env Factor by Pool-Vizo'!$E$90,IF(E13&gt;='Env Factor by Pool-Vizo'!$J$36,'Env Factor by Pool-Vizo'!$E$91,IF(E13&gt;='Env Factor by Pool-Vizo'!$J$37,'Env Factor by Pool-Vizo'!$E$92,IF(E13&gt;='Env Factor by Pool-Vizo'!$J$38,'Env Factor by Pool-Vizo'!$E$93,IF(E13&gt;='Env Factor by Pool-Vizo'!$J$39,'Env Factor by Pool-Vizo'!$E$94,IF(E13&gt;='Env Factor by Pool-Vizo'!$J$40,'Env Factor by Pool-Vizo'!$E$95,IF(E13&gt;='Env Factor by Pool-Vizo'!$J$41,'Env Factor by Pool-Vizo'!$E$96,IF(E13&gt;='Env Factor by Pool-Vizo'!$J$42,'Env Factor by Pool-Vizo'!$E$97,IF(E13&gt;='Env Factor by Pool-Vizo'!$J$43,'Env Factor by Pool-Vizo'!$E$98,IF(E13&gt;='Env Factor by Pool-Vizo'!$J$44,'Env Factor by Pool-Vizo'!$E$99,IF(E13&gt;='Env Factor by Pool-Vizo'!$J$45,'Env Factor by Pool-Vizo'!$E$100,IF(E13&gt;='Env Factor by Pool-Vizo'!$J$46,'Env Factor by Pool-Vizo'!$E$101,IF(E13&gt;='Env Factor by Pool-Vizo'!$J$47,'Env Factor by Pool-Vizo'!$E$102,IF(E13&gt;='Env Factor by Pool-Vizo'!$J$48,'Env Factor by Pool-Vizo'!$E$103,IF(E13&gt;='Env Factor by Pool-Vizo'!$J$49,'Env Factor by Pool-Vizo'!$E$104,IF(E13&gt;='Env Factor by Pool-Vizo'!$J$50,'Env Factor by Pool-Vizo'!$E$105,'Envir Factor Ranges-Vizo'!$E$23)))))))))))))))))</f>
        <v/>
      </c>
      <c r="G13" s="898">
        <f>D13+F13</f>
        <v/>
      </c>
      <c r="H13" s="899" t="inlineStr">
        <is>
          <t>Environmental Factor</t>
        </is>
      </c>
      <c r="I13" s="900">
        <f>G13</f>
        <v/>
      </c>
      <c r="M13" s="501" t="n"/>
    </row>
    <row r="14" ht="15" customHeight="1" s="685">
      <c r="B14" s="896">
        <f>'Scale Calculation-Vizo'!A10</f>
        <v/>
      </c>
      <c r="C14" s="897">
        <f>'New Report Calc-Vizo'!$AI$97</f>
        <v/>
      </c>
      <c r="D14" s="898">
        <f>IF(C14&gt;='Env Factor by Pool-Vizo'!$H$34,'Env Factor by Pool-Vizo'!$I$34,IF(C14&gt;='Env Factor by Pool-Vizo'!$H$35,'Env Factor by Pool-Vizo'!$I$35,IF(C14&gt;='Env Factor by Pool-Vizo'!$H$36,'Env Factor by Pool-Vizo'!$I$36,IF(C14&gt;='Env Factor by Pool-Vizo'!$H$37,'Env Factor by Pool-Vizo'!$I$37,IF(C14&gt;='Env Factor by Pool-Vizo'!$H$38,'Env Factor by Pool-Vizo'!$I$38,IF(C14&gt;='Env Factor by Pool-Vizo'!$H$39,'Env Factor by Pool-Vizo'!$I$39,IF(C14&gt;='Env Factor by Pool-Vizo'!$H$40,'Env Factor by Pool-Vizo'!$I$40,IF(C14&gt;='Env Factor by Pool-Vizo'!$H$41,'Env Factor by Pool-Vizo'!$I$41,IF(C14&gt;='Env Factor by Pool-Vizo'!$H$42,'Env Factor by Pool-Vizo'!$I$42,IF(C14&gt;='Env Factor by Pool-Vizo'!$H$43,'Env Factor by Pool-Vizo'!$I$43,IF(C14&gt;='Env Factor by Pool-Vizo'!$H$44,'Env Factor by Pool-Vizo'!$I$44,IF(C14&gt;='Env Factor by Pool-Vizo'!$H$45,'Env Factor by Pool-Vizo'!$I$45,IF(C14&gt;='Env Factor by Pool-Vizo'!$H$46,'Env Factor by Pool-Vizo'!$I$46,IF(C14&gt;='Env Factor by Pool-Vizo'!$H$47,'Env Factor by Pool-Vizo'!$I$47,IF(C14&gt;='Env Factor by Pool-Vizo'!$H$48,'Env Factor by Pool-Vizo'!$I$48,IF(C14&gt;='Env Factor by Pool-Vizo'!$H$49,'Env Factor by Pool-Vizo'!$I$49,'Env Factor by Pool-Vizo'!$I$50))))))))))))))))</f>
        <v/>
      </c>
      <c r="E14" s="898">
        <f>$F$9</f>
        <v/>
      </c>
      <c r="F14" s="898">
        <f>IF(E14&gt;='Env Factor by Pool-Vizo'!$J$34,'Env Factor by Pool-Vizo'!$E$89,IF(E14&gt;='Env Factor by Pool-Vizo'!$J$35,'Env Factor by Pool-Vizo'!$E$90,IF(E14&gt;='Env Factor by Pool-Vizo'!$J$36,'Env Factor by Pool-Vizo'!$E$91,IF(E14&gt;='Env Factor by Pool-Vizo'!$J$37,'Env Factor by Pool-Vizo'!$E$92,IF(E14&gt;='Env Factor by Pool-Vizo'!$J$38,'Env Factor by Pool-Vizo'!$E$93,IF(E14&gt;='Env Factor by Pool-Vizo'!$J$39,'Env Factor by Pool-Vizo'!$E$94,IF(E14&gt;='Env Factor by Pool-Vizo'!$J$40,'Env Factor by Pool-Vizo'!$E$95,IF(E14&gt;='Env Factor by Pool-Vizo'!$J$41,'Env Factor by Pool-Vizo'!$E$96,IF(E14&gt;='Env Factor by Pool-Vizo'!$J$42,'Env Factor by Pool-Vizo'!$E$97,IF(E14&gt;='Env Factor by Pool-Vizo'!$J$43,'Env Factor by Pool-Vizo'!$E$98,IF(E14&gt;='Env Factor by Pool-Vizo'!$J$44,'Env Factor by Pool-Vizo'!$E$99,IF(E14&gt;='Env Factor by Pool-Vizo'!$J$45,'Env Factor by Pool-Vizo'!$E$100,'Env Factor by Pool-Vizo'!$E$101))))))))))))</f>
        <v/>
      </c>
      <c r="G14" s="898">
        <f>D14+F14</f>
        <v/>
      </c>
      <c r="H14" s="899" t="inlineStr">
        <is>
          <t>Environmental Factor</t>
        </is>
      </c>
      <c r="I14" s="900">
        <f>G14</f>
        <v/>
      </c>
      <c r="M14" s="501" t="n"/>
    </row>
    <row r="15" ht="15" customHeight="1" s="685">
      <c r="B15" s="896">
        <f>'Scale Calculation-Vizo'!A11</f>
        <v/>
      </c>
      <c r="C15" s="897">
        <f>'New Report Calc-Vizo'!$AI$98</f>
        <v/>
      </c>
      <c r="D15" s="898">
        <f>IF(C15&gt;='Env Factor by Pool-Vizo'!$H$34,'Env Factor by Pool-Vizo'!$I$34,IF(C15&gt;='Env Factor by Pool-Vizo'!$H$35,'Env Factor by Pool-Vizo'!$I$35,IF(C15&gt;='Env Factor by Pool-Vizo'!$H$36,'Env Factor by Pool-Vizo'!$I$36,IF(C15&gt;='Env Factor by Pool-Vizo'!$H$37,'Env Factor by Pool-Vizo'!$I$37,IF(C15&gt;='Env Factor by Pool-Vizo'!$H$38,'Env Factor by Pool-Vizo'!$I$38,IF(C15&gt;='Env Factor by Pool-Vizo'!$H$39,'Env Factor by Pool-Vizo'!$I$39,IF(C15&gt;='Env Factor by Pool-Vizo'!$H$40,'Env Factor by Pool-Vizo'!$I$40,IF(C15&gt;='Env Factor by Pool-Vizo'!$H$41,'Env Factor by Pool-Vizo'!$I$41,IF(C15&gt;='Env Factor by Pool-Vizo'!$H$42,'Env Factor by Pool-Vizo'!$I$42,IF(C15&gt;='Env Factor by Pool-Vizo'!$H$43,'Env Factor by Pool-Vizo'!$I$43,IF(C15&gt;='Env Factor by Pool-Vizo'!$H$44,'Env Factor by Pool-Vizo'!$I$44,IF(C15&gt;='Env Factor by Pool-Vizo'!$H$45,'Env Factor by Pool-Vizo'!$I$45,IF(C15&gt;='Env Factor by Pool-Vizo'!$H$46,'Env Factor by Pool-Vizo'!$I$46,IF(C15&gt;='Env Factor by Pool-Vizo'!$H$47,'Env Factor by Pool-Vizo'!$I$47,IF(C15&gt;='Env Factor by Pool-Vizo'!$H$48,'Env Factor by Pool-Vizo'!$I$48,IF(C15&gt;='Env Factor by Pool-Vizo'!$H$49,'Env Factor by Pool-Vizo'!$I$49,'Env Factor by Pool-Vizo'!$I$50))))))))))))))))</f>
        <v/>
      </c>
      <c r="E15" s="898">
        <f>$F$9</f>
        <v/>
      </c>
      <c r="F15" s="898">
        <f>IF(E15&gt;='Env Factor by Pool-Vizo'!$J$34,'Env Factor by Pool-Vizo'!$E$89,IF(E15&gt;='Env Factor by Pool-Vizo'!$J$35,'Env Factor by Pool-Vizo'!$E$90,IF(E15&gt;='Env Factor by Pool-Vizo'!$J$36,'Env Factor by Pool-Vizo'!$E$91,IF(E15&gt;='Env Factor by Pool-Vizo'!$J$37,'Env Factor by Pool-Vizo'!$E$92,IF(E15&gt;='Env Factor by Pool-Vizo'!$J$38,'Env Factor by Pool-Vizo'!$E$93,IF(E15&gt;='Env Factor by Pool-Vizo'!$J$39,'Env Factor by Pool-Vizo'!$E$94,IF(E15&gt;='Env Factor by Pool-Vizo'!$J$40,'Env Factor by Pool-Vizo'!$E$95,IF(E15&gt;='Env Factor by Pool-Vizo'!$J$41,'Env Factor by Pool-Vizo'!$E$96,IF(E15&gt;='Env Factor by Pool-Vizo'!$J$42,'Env Factor by Pool-Vizo'!$E$97,IF(E15&gt;='Env Factor by Pool-Vizo'!$J$43,'Env Factor by Pool-Vizo'!$E$98,IF(E15&gt;='Env Factor by Pool-Vizo'!$J$44,'Env Factor by Pool-Vizo'!$E$99,IF(E15&gt;='Env Factor by Pool-Vizo'!$J$45,'Env Factor by Pool-Vizo'!$E$100,'Env Factor by Pool-Vizo'!$E$101))))))))))))</f>
        <v/>
      </c>
      <c r="G15" s="898">
        <f>D15+F15</f>
        <v/>
      </c>
      <c r="H15" s="899" t="inlineStr">
        <is>
          <t>Environmental Factor</t>
        </is>
      </c>
      <c r="I15" s="900">
        <f>G15</f>
        <v/>
      </c>
      <c r="M15" s="501" t="n"/>
    </row>
    <row r="16" ht="15" customHeight="1" s="685">
      <c r="B16" s="896">
        <f>'Scale Calculation-Vizo'!A12</f>
        <v/>
      </c>
      <c r="C16" s="897">
        <f>'New Report Calc-Vizo'!$AI$99</f>
        <v/>
      </c>
      <c r="D16" s="898">
        <f>IF(C16&gt;='Env Factor by Pool-Vizo'!$H$34,'Env Factor by Pool-Vizo'!$I$34,IF(C16&gt;='Env Factor by Pool-Vizo'!$H$35,'Env Factor by Pool-Vizo'!$I$35,IF(C16&gt;='Env Factor by Pool-Vizo'!$H$36,'Env Factor by Pool-Vizo'!$I$36,IF(C16&gt;='Env Factor by Pool-Vizo'!$H$37,'Env Factor by Pool-Vizo'!$I$37,IF(C16&gt;='Env Factor by Pool-Vizo'!$H$38,'Env Factor by Pool-Vizo'!$I$38,IF(C16&gt;='Env Factor by Pool-Vizo'!$H$39,'Env Factor by Pool-Vizo'!$I$39,IF(C16&gt;='Env Factor by Pool-Vizo'!$H$40,'Env Factor by Pool-Vizo'!$I$40,IF(C16&gt;='Env Factor by Pool-Vizo'!$H$41,'Env Factor by Pool-Vizo'!$I$41,IF(C16&gt;='Env Factor by Pool-Vizo'!$H$42,'Env Factor by Pool-Vizo'!$I$42,IF(C16&gt;='Env Factor by Pool-Vizo'!$H$43,'Env Factor by Pool-Vizo'!$I$43,IF(C16&gt;='Env Factor by Pool-Vizo'!$H$44,'Env Factor by Pool-Vizo'!$I$44,IF(C16&gt;='Env Factor by Pool-Vizo'!$H$45,'Env Factor by Pool-Vizo'!$I$45,IF(C16&gt;='Env Factor by Pool-Vizo'!$H$46,'Env Factor by Pool-Vizo'!$I$46,IF(C16&gt;='Env Factor by Pool-Vizo'!$H$47,'Env Factor by Pool-Vizo'!$I$47,IF(C16&gt;='Env Factor by Pool-Vizo'!$H$48,'Env Factor by Pool-Vizo'!$I$48,IF(C16&gt;='Env Factor by Pool-Vizo'!$H$49,'Env Factor by Pool-Vizo'!$I$49,'Env Factor by Pool-Vizo'!$I$50))))))))))))))))</f>
        <v/>
      </c>
      <c r="E16" s="898">
        <f>$F$9</f>
        <v/>
      </c>
      <c r="F16" s="898">
        <f>IF(E16&gt;='Env Factor by Pool-Vizo'!$J$34,'Env Factor by Pool-Vizo'!$E$89,IF(E16&gt;='Env Factor by Pool-Vizo'!$J$35,'Env Factor by Pool-Vizo'!$E$90,IF(E16&gt;='Env Factor by Pool-Vizo'!$J$36,'Env Factor by Pool-Vizo'!$E$91,IF(E16&gt;='Env Factor by Pool-Vizo'!$J$37,'Env Factor by Pool-Vizo'!$E$92,IF(E16&gt;='Env Factor by Pool-Vizo'!$J$38,'Env Factor by Pool-Vizo'!$E$93,IF(E16&gt;='Env Factor by Pool-Vizo'!$J$39,'Env Factor by Pool-Vizo'!$E$94,IF(E16&gt;='Env Factor by Pool-Vizo'!$J$40,'Env Factor by Pool-Vizo'!$E$95,IF(E16&gt;='Env Factor by Pool-Vizo'!$J$41,'Env Factor by Pool-Vizo'!$E$96,IF(E16&gt;='Env Factor by Pool-Vizo'!$J$42,'Env Factor by Pool-Vizo'!$E$97,IF(E16&gt;='Env Factor by Pool-Vizo'!$J$43,'Env Factor by Pool-Vizo'!$E$98,IF(E16&gt;='Env Factor by Pool-Vizo'!$J$44,'Env Factor by Pool-Vizo'!$E$99,IF(E16&gt;='Env Factor by Pool-Vizo'!$J$45,'Env Factor by Pool-Vizo'!$E$100,'Env Factor by Pool-Vizo'!$E$101))))))))))))</f>
        <v/>
      </c>
      <c r="G16" s="898">
        <f>D16+F16</f>
        <v/>
      </c>
      <c r="H16" s="899" t="inlineStr">
        <is>
          <t>Environmental Factor</t>
        </is>
      </c>
      <c r="I16" s="900">
        <f>G16</f>
        <v/>
      </c>
      <c r="M16" s="501" t="n"/>
    </row>
    <row r="17" ht="15" customHeight="1" s="685">
      <c r="B17" s="896">
        <f>'Scale Calculation-Vizo'!A13</f>
        <v/>
      </c>
      <c r="C17" s="897">
        <f>'New Report Calc-Vizo'!$AI$100</f>
        <v/>
      </c>
      <c r="D17" s="898">
        <f>IF(C17&gt;='Env Factor by Pool-Vizo'!$H$34,'Env Factor by Pool-Vizo'!$I$34,IF(C17&gt;='Env Factor by Pool-Vizo'!$H$35,'Env Factor by Pool-Vizo'!$I$35,IF(C17&gt;='Env Factor by Pool-Vizo'!$H$36,'Env Factor by Pool-Vizo'!$I$36,IF(C17&gt;='Env Factor by Pool-Vizo'!$H$37,'Env Factor by Pool-Vizo'!$I$37,IF(C17&gt;='Env Factor by Pool-Vizo'!$H$38,'Env Factor by Pool-Vizo'!$I$38,IF(C17&gt;='Env Factor by Pool-Vizo'!$H$39,'Env Factor by Pool-Vizo'!$I$39,IF(C17&gt;='Env Factor by Pool-Vizo'!$H$40,'Env Factor by Pool-Vizo'!$I$40,IF(C17&gt;='Env Factor by Pool-Vizo'!$H$41,'Env Factor by Pool-Vizo'!$I$41,IF(C17&gt;='Env Factor by Pool-Vizo'!$H$42,'Env Factor by Pool-Vizo'!$I$42,IF(C17&gt;='Env Factor by Pool-Vizo'!$H$43,'Env Factor by Pool-Vizo'!$I$43,IF(C17&gt;='Env Factor by Pool-Vizo'!$H$44,'Env Factor by Pool-Vizo'!$I$44,IF(C17&gt;='Env Factor by Pool-Vizo'!$H$45,'Env Factor by Pool-Vizo'!$I$45,IF(C17&gt;='Env Factor by Pool-Vizo'!$H$46,'Env Factor by Pool-Vizo'!$I$46,IF(C17&gt;='Env Factor by Pool-Vizo'!$H$47,'Env Factor by Pool-Vizo'!$I$47,IF(C17&gt;='Env Factor by Pool-Vizo'!$H$48,'Env Factor by Pool-Vizo'!$I$48,IF(C17&gt;='Env Factor by Pool-Vizo'!$H$49,'Env Factor by Pool-Vizo'!$I$49,'Env Factor by Pool-Vizo'!$I$50))))))))))))))))</f>
        <v/>
      </c>
      <c r="E17" s="898">
        <f>$F$9</f>
        <v/>
      </c>
      <c r="F17" s="898">
        <f>IF(E17&gt;='Env Factor by Pool-Vizo'!$J$34,'Env Factor by Pool-Vizo'!$E$89,IF(E17&gt;='Env Factor by Pool-Vizo'!$J$35,'Env Factor by Pool-Vizo'!$E$90,IF(E17&gt;='Env Factor by Pool-Vizo'!$J$36,'Env Factor by Pool-Vizo'!$E$91,IF(E17&gt;='Env Factor by Pool-Vizo'!$J$37,'Env Factor by Pool-Vizo'!$E$92,IF(E17&gt;='Env Factor by Pool-Vizo'!$J$38,'Env Factor by Pool-Vizo'!$E$93,IF(E17&gt;='Env Factor by Pool-Vizo'!$J$39,'Env Factor by Pool-Vizo'!$E$94,IF(E17&gt;='Env Factor by Pool-Vizo'!$J$40,'Env Factor by Pool-Vizo'!$E$95,IF(E17&gt;='Env Factor by Pool-Vizo'!$J$41,'Env Factor by Pool-Vizo'!$E$96,IF(E17&gt;='Env Factor by Pool-Vizo'!$J$42,'Env Factor by Pool-Vizo'!$E$97,IF(E17&gt;='Env Factor by Pool-Vizo'!$J$43,'Env Factor by Pool-Vizo'!$E$98,IF(E17&gt;='Env Factor by Pool-Vizo'!$J$44,'Env Factor by Pool-Vizo'!$E$99,IF(E17&gt;='Env Factor by Pool-Vizo'!$J$45,'Env Factor by Pool-Vizo'!$E$100,'Env Factor by Pool-Vizo'!$E$101))))))))))))</f>
        <v/>
      </c>
      <c r="G17" s="898">
        <f>D17+F17</f>
        <v/>
      </c>
      <c r="H17" s="899" t="inlineStr">
        <is>
          <t>Environmental Factor</t>
        </is>
      </c>
      <c r="I17" s="900">
        <f>G17</f>
        <v/>
      </c>
      <c r="M17" s="501" t="n"/>
    </row>
    <row r="18" ht="15" customHeight="1" s="685">
      <c r="B18" s="896">
        <f>'Scale Calculation-Vizo'!A14</f>
        <v/>
      </c>
      <c r="C18" s="897">
        <f>'New Report Calc-Vizo'!$AI$101</f>
        <v/>
      </c>
      <c r="D18" s="898">
        <f>IF(C18&gt;='Env Factor by Pool-Vizo'!$H$34,'Env Factor by Pool-Vizo'!$I$34,IF(C18&gt;='Env Factor by Pool-Vizo'!$H$35,'Env Factor by Pool-Vizo'!$I$35,IF(C18&gt;='Env Factor by Pool-Vizo'!$H$36,'Env Factor by Pool-Vizo'!$I$36,IF(C18&gt;='Env Factor by Pool-Vizo'!$H$37,'Env Factor by Pool-Vizo'!$I$37,IF(C18&gt;='Env Factor by Pool-Vizo'!$H$38,'Env Factor by Pool-Vizo'!$I$38,IF(C18&gt;='Env Factor by Pool-Vizo'!$H$39,'Env Factor by Pool-Vizo'!$I$39,IF(C18&gt;='Env Factor by Pool-Vizo'!$H$40,'Env Factor by Pool-Vizo'!$I$40,IF(C18&gt;='Env Factor by Pool-Vizo'!$H$41,'Env Factor by Pool-Vizo'!$I$41,IF(C18&gt;='Env Factor by Pool-Vizo'!$H$42,'Env Factor by Pool-Vizo'!$I$42,IF(C18&gt;='Env Factor by Pool-Vizo'!$H$43,'Env Factor by Pool-Vizo'!$I$43,IF(C18&gt;='Env Factor by Pool-Vizo'!$H$44,'Env Factor by Pool-Vizo'!$I$44,IF(C18&gt;='Env Factor by Pool-Vizo'!$H$45,'Env Factor by Pool-Vizo'!$I$45,IF(C18&gt;='Env Factor by Pool-Vizo'!$H$46,'Env Factor by Pool-Vizo'!$I$46,IF(C18&gt;='Env Factor by Pool-Vizo'!$H$47,'Env Factor by Pool-Vizo'!$I$47,IF(C18&gt;='Env Factor by Pool-Vizo'!$H$48,'Env Factor by Pool-Vizo'!$I$48,IF(C18&gt;='Env Factor by Pool-Vizo'!$H$49,'Env Factor by Pool-Vizo'!$I$49,'Env Factor by Pool-Vizo'!$I$50))))))))))))))))</f>
        <v/>
      </c>
      <c r="E18" s="898">
        <f>$F$9</f>
        <v/>
      </c>
      <c r="F18" s="898">
        <f>IF(E18&gt;='Env Factor by Pool-Vizo'!$J$34,'Env Factor by Pool-Vizo'!$E$89,IF(E18&gt;='Env Factor by Pool-Vizo'!$J$35,'Env Factor by Pool-Vizo'!$E$90,IF(E18&gt;='Env Factor by Pool-Vizo'!$J$36,'Env Factor by Pool-Vizo'!$E$91,IF(E18&gt;='Env Factor by Pool-Vizo'!$J$37,'Env Factor by Pool-Vizo'!$E$92,IF(E18&gt;='Env Factor by Pool-Vizo'!$J$38,'Env Factor by Pool-Vizo'!$E$93,IF(E18&gt;='Env Factor by Pool-Vizo'!$J$39,'Env Factor by Pool-Vizo'!$E$94,IF(E18&gt;='Env Factor by Pool-Vizo'!$J$40,'Env Factor by Pool-Vizo'!$E$95,IF(E18&gt;='Env Factor by Pool-Vizo'!$J$41,'Env Factor by Pool-Vizo'!$E$96,IF(E18&gt;='Env Factor by Pool-Vizo'!$J$42,'Env Factor by Pool-Vizo'!$E$97,IF(E18&gt;='Env Factor by Pool-Vizo'!$J$43,'Env Factor by Pool-Vizo'!$E$98,IF(E18&gt;='Env Factor by Pool-Vizo'!$J$44,'Env Factor by Pool-Vizo'!$E$99,IF(E18&gt;='Env Factor by Pool-Vizo'!$J$45,'Env Factor by Pool-Vizo'!$E$100,'Env Factor by Pool-Vizo'!$E$101))))))))))))</f>
        <v/>
      </c>
      <c r="G18" s="898">
        <f>D18+F18</f>
        <v/>
      </c>
      <c r="H18" s="899" t="inlineStr">
        <is>
          <t>Environmental Factor</t>
        </is>
      </c>
      <c r="I18" s="900">
        <f>G18</f>
        <v/>
      </c>
      <c r="M18" s="501" t="n"/>
    </row>
    <row r="19" ht="15" customHeight="1" s="685">
      <c r="B19" s="896">
        <f>'Scale Calculation-Vizo'!A15</f>
        <v/>
      </c>
      <c r="C19" s="897">
        <f>'New Report Calc-Vizo'!$AI$102</f>
        <v/>
      </c>
      <c r="D19" s="898">
        <f>IF(C19&gt;='Env Factor by Pool-Vizo'!$H$34,'Env Factor by Pool-Vizo'!$I$34,IF(C19&gt;='Env Factor by Pool-Vizo'!$H$35,'Env Factor by Pool-Vizo'!$I$35,IF(C19&gt;='Env Factor by Pool-Vizo'!$H$36,'Env Factor by Pool-Vizo'!$I$36,IF(C19&gt;='Env Factor by Pool-Vizo'!$H$37,'Env Factor by Pool-Vizo'!$I$37,IF(C19&gt;='Env Factor by Pool-Vizo'!$H$38,'Env Factor by Pool-Vizo'!$I$38,IF(C19&gt;='Env Factor by Pool-Vizo'!$H$39,'Env Factor by Pool-Vizo'!$I$39,IF(C19&gt;='Env Factor by Pool-Vizo'!$H$40,'Env Factor by Pool-Vizo'!$I$40,IF(C19&gt;='Env Factor by Pool-Vizo'!$H$41,'Env Factor by Pool-Vizo'!$I$41,IF(C19&gt;='Env Factor by Pool-Vizo'!$H$42,'Env Factor by Pool-Vizo'!$I$42,IF(C19&gt;='Env Factor by Pool-Vizo'!$H$43,'Env Factor by Pool-Vizo'!$I$43,IF(C19&gt;='Env Factor by Pool-Vizo'!$H$44,'Env Factor by Pool-Vizo'!$I$44,IF(C19&gt;='Env Factor by Pool-Vizo'!$H$45,'Env Factor by Pool-Vizo'!$I$45,IF(C19&gt;='Env Factor by Pool-Vizo'!$H$46,'Env Factor by Pool-Vizo'!$I$46,IF(C19&gt;='Env Factor by Pool-Vizo'!$H$47,'Env Factor by Pool-Vizo'!$I$47,IF(C19&gt;='Env Factor by Pool-Vizo'!$H$48,'Env Factor by Pool-Vizo'!$I$48,IF(C19&gt;='Env Factor by Pool-Vizo'!$H$49,'Env Factor by Pool-Vizo'!$I$49,'Env Factor by Pool-Vizo'!$I$50))))))))))))))))</f>
        <v/>
      </c>
      <c r="E19" s="898">
        <f>$F$9</f>
        <v/>
      </c>
      <c r="F19" s="898">
        <f>IF(E19&gt;='Env Factor by Pool-Vizo'!$J$34,'Env Factor by Pool-Vizo'!$E$89,IF(E19&gt;='Env Factor by Pool-Vizo'!$J$35,'Env Factor by Pool-Vizo'!$E$90,IF(E19&gt;='Env Factor by Pool-Vizo'!$J$36,'Env Factor by Pool-Vizo'!$E$91,IF(E19&gt;='Env Factor by Pool-Vizo'!$J$37,'Env Factor by Pool-Vizo'!$E$92,IF(E19&gt;='Env Factor by Pool-Vizo'!$J$38,'Env Factor by Pool-Vizo'!$E$93,IF(E19&gt;='Env Factor by Pool-Vizo'!$J$39,'Env Factor by Pool-Vizo'!$E$94,IF(E19&gt;='Env Factor by Pool-Vizo'!$J$40,'Env Factor by Pool-Vizo'!$E$95,IF(E19&gt;='Env Factor by Pool-Vizo'!$J$41,'Env Factor by Pool-Vizo'!$E$96,IF(E19&gt;='Env Factor by Pool-Vizo'!$J$42,'Env Factor by Pool-Vizo'!$E$97,IF(E19&gt;='Env Factor by Pool-Vizo'!$J$43,'Env Factor by Pool-Vizo'!$E$98,IF(E19&gt;='Env Factor by Pool-Vizo'!$J$44,'Env Factor by Pool-Vizo'!$E$99,IF(E19&gt;='Env Factor by Pool-Vizo'!$J$45,'Env Factor by Pool-Vizo'!$E$100,'Env Factor by Pool-Vizo'!$E$101))))))))))))</f>
        <v/>
      </c>
      <c r="G19" s="898">
        <f>D19+F19</f>
        <v/>
      </c>
      <c r="H19" s="899" t="inlineStr">
        <is>
          <t>Environmental Factor</t>
        </is>
      </c>
      <c r="I19" s="900">
        <f>G19</f>
        <v/>
      </c>
      <c r="M19" s="501" t="n"/>
    </row>
    <row r="20" ht="15" customHeight="1" s="685">
      <c r="B20" s="896">
        <f>'Scale Calculation-Vizo'!A16</f>
        <v/>
      </c>
      <c r="C20" s="897">
        <f>'New Report Calc-Vizo'!$AI$103</f>
        <v/>
      </c>
      <c r="D20" s="898">
        <f>IF(C20&gt;='Env Factor by Pool-Vizo'!$H$34,'Env Factor by Pool-Vizo'!$I$34,IF(C20&gt;='Env Factor by Pool-Vizo'!$H$35,'Env Factor by Pool-Vizo'!$I$35,IF(C20&gt;='Env Factor by Pool-Vizo'!$H$36,'Env Factor by Pool-Vizo'!$I$36,IF(C20&gt;='Env Factor by Pool-Vizo'!$H$37,'Env Factor by Pool-Vizo'!$I$37,IF(C20&gt;='Env Factor by Pool-Vizo'!$H$38,'Env Factor by Pool-Vizo'!$I$38,IF(C20&gt;='Env Factor by Pool-Vizo'!$H$39,'Env Factor by Pool-Vizo'!$I$39,IF(C20&gt;='Env Factor by Pool-Vizo'!$H$40,'Env Factor by Pool-Vizo'!$I$40,IF(C20&gt;='Env Factor by Pool-Vizo'!$H$41,'Env Factor by Pool-Vizo'!$I$41,IF(C20&gt;='Env Factor by Pool-Vizo'!$H$42,'Env Factor by Pool-Vizo'!$I$42,IF(C20&gt;='Env Factor by Pool-Vizo'!$H$43,'Env Factor by Pool-Vizo'!$I$43,IF(C20&gt;='Env Factor by Pool-Vizo'!$H$44,'Env Factor by Pool-Vizo'!$I$44,IF(C20&gt;='Env Factor by Pool-Vizo'!$H$45,'Env Factor by Pool-Vizo'!$I$45,IF(C20&gt;='Env Factor by Pool-Vizo'!$H$46,'Env Factor by Pool-Vizo'!$I$46,IF(C20&gt;='Env Factor by Pool-Vizo'!$H$47,'Env Factor by Pool-Vizo'!$I$47,IF(C20&gt;='Env Factor by Pool-Vizo'!$H$48,'Env Factor by Pool-Vizo'!$I$48,IF(C20&gt;='Env Factor by Pool-Vizo'!$H$49,'Env Factor by Pool-Vizo'!$I$49,'Env Factor by Pool-Vizo'!$I$50))))))))))))))))</f>
        <v/>
      </c>
      <c r="E20" s="898">
        <f>$F$9</f>
        <v/>
      </c>
      <c r="F20" s="898">
        <f>IF(E20&gt;='Env Factor by Pool-Vizo'!$J$34,'Env Factor by Pool-Vizo'!$E$89,IF(E20&gt;='Env Factor by Pool-Vizo'!$J$35,'Env Factor by Pool-Vizo'!$E$90,IF(E20&gt;='Env Factor by Pool-Vizo'!$J$36,'Env Factor by Pool-Vizo'!$E$91,IF(E20&gt;='Env Factor by Pool-Vizo'!$J$37,'Env Factor by Pool-Vizo'!$E$92,IF(E20&gt;='Env Factor by Pool-Vizo'!$J$38,'Env Factor by Pool-Vizo'!$E$93,IF(E20&gt;='Env Factor by Pool-Vizo'!$J$39,'Env Factor by Pool-Vizo'!$E$94,IF(E20&gt;='Env Factor by Pool-Vizo'!$J$40,'Env Factor by Pool-Vizo'!$E$95,IF(E20&gt;='Env Factor by Pool-Vizo'!$J$41,'Env Factor by Pool-Vizo'!$E$96,IF(E20&gt;='Env Factor by Pool-Vizo'!$J$42,'Env Factor by Pool-Vizo'!$E$97,IF(E20&gt;='Env Factor by Pool-Vizo'!$J$43,'Env Factor by Pool-Vizo'!$E$98,IF(E20&gt;='Env Factor by Pool-Vizo'!$J$44,'Env Factor by Pool-Vizo'!$E$99,IF(E20&gt;='Env Factor by Pool-Vizo'!$J$45,'Env Factor by Pool-Vizo'!$E$100,'Env Factor by Pool-Vizo'!$E$101))))))))))))</f>
        <v/>
      </c>
      <c r="G20" s="898">
        <f>D20+F20</f>
        <v/>
      </c>
      <c r="H20" s="899" t="inlineStr">
        <is>
          <t>Environmental Factor</t>
        </is>
      </c>
      <c r="I20" s="900">
        <f>G20</f>
        <v/>
      </c>
      <c r="M20" s="501" t="n"/>
    </row>
    <row r="21" ht="15" customHeight="1" s="685">
      <c r="B21" s="896">
        <f>'Scale Calculation-Vizo'!A17</f>
        <v/>
      </c>
      <c r="C21" s="897">
        <f>'New Report Calc-Vizo'!$AI$104</f>
        <v/>
      </c>
      <c r="D21" s="898">
        <f>IF(C21&gt;='Env Factor by Pool-Vizo'!$H$34,'Env Factor by Pool-Vizo'!$I$34,IF(C21&gt;='Env Factor by Pool-Vizo'!$H$35,'Env Factor by Pool-Vizo'!$I$35,IF(C21&gt;='Env Factor by Pool-Vizo'!$H$36,'Env Factor by Pool-Vizo'!$I$36,IF(C21&gt;='Env Factor by Pool-Vizo'!$H$37,'Env Factor by Pool-Vizo'!$I$37,IF(C21&gt;='Env Factor by Pool-Vizo'!$H$38,'Env Factor by Pool-Vizo'!$I$38,IF(C21&gt;='Env Factor by Pool-Vizo'!$H$39,'Env Factor by Pool-Vizo'!$I$39,IF(C21&gt;='Env Factor by Pool-Vizo'!$H$40,'Env Factor by Pool-Vizo'!$I$40,IF(C21&gt;='Env Factor by Pool-Vizo'!$H$41,'Env Factor by Pool-Vizo'!$I$41,IF(C21&gt;='Env Factor by Pool-Vizo'!$H$42,'Env Factor by Pool-Vizo'!$I$42,IF(C21&gt;='Env Factor by Pool-Vizo'!$H$43,'Env Factor by Pool-Vizo'!$I$43,IF(C21&gt;='Env Factor by Pool-Vizo'!$H$44,'Env Factor by Pool-Vizo'!$I$44,IF(C21&gt;='Env Factor by Pool-Vizo'!$H$45,'Env Factor by Pool-Vizo'!$I$45,IF(C21&gt;='Env Factor by Pool-Vizo'!$H$46,'Env Factor by Pool-Vizo'!$I$46,IF(C21&gt;='Env Factor by Pool-Vizo'!$H$47,'Env Factor by Pool-Vizo'!$I$47,IF(C21&gt;='Env Factor by Pool-Vizo'!$H$48,'Env Factor by Pool-Vizo'!$I$48,IF(C21&gt;='Env Factor by Pool-Vizo'!$H$49,'Env Factor by Pool-Vizo'!$I$49,'Env Factor by Pool-Vizo'!$I$50))))))))))))))))</f>
        <v/>
      </c>
      <c r="E21" s="898">
        <f>$F$9</f>
        <v/>
      </c>
      <c r="F21" s="898">
        <f>IF(E21&gt;='Env Factor by Pool-Vizo'!$J$34,'Env Factor by Pool-Vizo'!$E$89,IF(E21&gt;='Env Factor by Pool-Vizo'!$J$35,'Env Factor by Pool-Vizo'!$E$90,IF(E21&gt;='Env Factor by Pool-Vizo'!$J$36,'Env Factor by Pool-Vizo'!$E$91,IF(E21&gt;='Env Factor by Pool-Vizo'!$J$37,'Env Factor by Pool-Vizo'!$E$92,IF(E21&gt;='Env Factor by Pool-Vizo'!$J$38,'Env Factor by Pool-Vizo'!$E$93,IF(E21&gt;='Env Factor by Pool-Vizo'!$J$39,'Env Factor by Pool-Vizo'!$E$94,IF(E21&gt;='Env Factor by Pool-Vizo'!$J$40,'Env Factor by Pool-Vizo'!$E$95,IF(E21&gt;='Env Factor by Pool-Vizo'!$J$41,'Env Factor by Pool-Vizo'!$E$96,IF(E21&gt;='Env Factor by Pool-Vizo'!$J$42,'Env Factor by Pool-Vizo'!$E$97,IF(E21&gt;='Env Factor by Pool-Vizo'!$J$43,'Env Factor by Pool-Vizo'!$E$98,IF(E21&gt;='Env Factor by Pool-Vizo'!$J$44,'Env Factor by Pool-Vizo'!$E$99,IF(E21&gt;='Env Factor by Pool-Vizo'!$J$45,'Env Factor by Pool-Vizo'!$E$100,'Env Factor by Pool-Vizo'!$E$101))))))))))))</f>
        <v/>
      </c>
      <c r="G21" s="898">
        <f>D21+F21</f>
        <v/>
      </c>
      <c r="H21" s="899" t="inlineStr">
        <is>
          <t>Environmental Factor</t>
        </is>
      </c>
      <c r="I21" s="900">
        <f>G21</f>
        <v/>
      </c>
      <c r="M21" s="501" t="n"/>
    </row>
    <row r="22" ht="15" customHeight="1" s="685">
      <c r="B22" s="896">
        <f>'Scale Calculation-Vizo'!A18</f>
        <v/>
      </c>
      <c r="C22" s="897">
        <f>'New Report Calc-Vizo'!$AI$105</f>
        <v/>
      </c>
      <c r="D22" s="898">
        <f>IF(C22&gt;='Env Factor by Pool-Vizo'!$H$34,'Env Factor by Pool-Vizo'!$I$34,IF(C22&gt;='Env Factor by Pool-Vizo'!$H$35,'Env Factor by Pool-Vizo'!$I$35,IF(C22&gt;='Env Factor by Pool-Vizo'!$H$36,'Env Factor by Pool-Vizo'!$I$36,IF(C22&gt;='Env Factor by Pool-Vizo'!$H$37,'Env Factor by Pool-Vizo'!$I$37,IF(C22&gt;='Env Factor by Pool-Vizo'!$H$38,'Env Factor by Pool-Vizo'!$I$38,IF(C22&gt;='Env Factor by Pool-Vizo'!$H$39,'Env Factor by Pool-Vizo'!$I$39,IF(C22&gt;='Env Factor by Pool-Vizo'!$H$40,'Env Factor by Pool-Vizo'!$I$40,IF(C22&gt;='Env Factor by Pool-Vizo'!$H$41,'Env Factor by Pool-Vizo'!$I$41,IF(C22&gt;='Env Factor by Pool-Vizo'!$H$42,'Env Factor by Pool-Vizo'!$I$42,IF(C22&gt;='Env Factor by Pool-Vizo'!$H$43,'Env Factor by Pool-Vizo'!$I$43,IF(C22&gt;='Env Factor by Pool-Vizo'!$H$44,'Env Factor by Pool-Vizo'!$I$44,IF(C22&gt;='Env Factor by Pool-Vizo'!$H$45,'Env Factor by Pool-Vizo'!$I$45,IF(C22&gt;='Env Factor by Pool-Vizo'!$H$46,'Env Factor by Pool-Vizo'!$I$46,IF(C22&gt;='Env Factor by Pool-Vizo'!$H$47,'Env Factor by Pool-Vizo'!$I$47,IF(C22&gt;='Env Factor by Pool-Vizo'!$H$48,'Env Factor by Pool-Vizo'!$I$48,IF(C22&gt;='Env Factor by Pool-Vizo'!$H$49,'Env Factor by Pool-Vizo'!$I$49,'Env Factor by Pool-Vizo'!$I$50))))))))))))))))</f>
        <v/>
      </c>
      <c r="E22" s="898">
        <f>$F$9</f>
        <v/>
      </c>
      <c r="F22" s="898">
        <f>IF(E22&gt;='Env Factor by Pool-Vizo'!$J$34,'Env Factor by Pool-Vizo'!$E$89,IF(E22&gt;='Env Factor by Pool-Vizo'!$J$35,'Env Factor by Pool-Vizo'!$E$90,IF(E22&gt;='Env Factor by Pool-Vizo'!$J$36,'Env Factor by Pool-Vizo'!$E$91,IF(E22&gt;='Env Factor by Pool-Vizo'!$J$37,'Env Factor by Pool-Vizo'!$E$92,IF(E22&gt;='Env Factor by Pool-Vizo'!$J$38,'Env Factor by Pool-Vizo'!$E$93,IF(E22&gt;='Env Factor by Pool-Vizo'!$J$39,'Env Factor by Pool-Vizo'!$E$94,IF(E22&gt;='Env Factor by Pool-Vizo'!$J$40,'Env Factor by Pool-Vizo'!$E$95,IF(E22&gt;='Env Factor by Pool-Vizo'!$J$41,'Env Factor by Pool-Vizo'!$E$96,IF(E22&gt;='Env Factor by Pool-Vizo'!$J$42,'Env Factor by Pool-Vizo'!$E$97,IF(E22&gt;='Env Factor by Pool-Vizo'!$J$43,'Env Factor by Pool-Vizo'!$E$98,IF(E22&gt;='Env Factor by Pool-Vizo'!$J$44,'Env Factor by Pool-Vizo'!$E$99,IF(E22&gt;='Env Factor by Pool-Vizo'!$J$45,'Env Factor by Pool-Vizo'!$E$100,'Env Factor by Pool-Vizo'!$E$101))))))))))))</f>
        <v/>
      </c>
      <c r="G22" s="898">
        <f>D22+F22</f>
        <v/>
      </c>
      <c r="H22" s="899" t="inlineStr">
        <is>
          <t>Environmental Factor</t>
        </is>
      </c>
      <c r="I22" s="900">
        <f>G22</f>
        <v/>
      </c>
      <c r="M22" s="501" t="n"/>
    </row>
    <row r="23" ht="15" customHeight="1" s="685">
      <c r="B23" s="896">
        <f>'Scale Calculation-Vizo'!A19</f>
        <v/>
      </c>
      <c r="C23" s="897">
        <f>'New Report Calc-Vizo'!$AI$106</f>
        <v/>
      </c>
      <c r="D23" s="898">
        <f>IF(C23&gt;='Env Factor by Pool-Vizo'!$H$34,'Env Factor by Pool-Vizo'!$I$34,IF(C23&gt;='Env Factor by Pool-Vizo'!$H$35,'Env Factor by Pool-Vizo'!$I$35,IF(C23&gt;='Env Factor by Pool-Vizo'!$H$36,'Env Factor by Pool-Vizo'!$I$36,IF(C23&gt;='Env Factor by Pool-Vizo'!$H$37,'Env Factor by Pool-Vizo'!$I$37,IF(C23&gt;='Env Factor by Pool-Vizo'!$H$38,'Env Factor by Pool-Vizo'!$I$38,IF(C23&gt;='Env Factor by Pool-Vizo'!$H$39,'Env Factor by Pool-Vizo'!$I$39,IF(C23&gt;='Env Factor by Pool-Vizo'!$H$40,'Env Factor by Pool-Vizo'!$I$40,IF(C23&gt;='Env Factor by Pool-Vizo'!$H$41,'Env Factor by Pool-Vizo'!$I$41,IF(C23&gt;='Env Factor by Pool-Vizo'!$H$42,'Env Factor by Pool-Vizo'!$I$42,IF(C23&gt;='Env Factor by Pool-Vizo'!$H$43,'Env Factor by Pool-Vizo'!$I$43,IF(C23&gt;='Env Factor by Pool-Vizo'!$H$44,'Env Factor by Pool-Vizo'!$I$44,IF(C23&gt;='Env Factor by Pool-Vizo'!$H$45,'Env Factor by Pool-Vizo'!$I$45,IF(C23&gt;='Env Factor by Pool-Vizo'!$H$46,'Env Factor by Pool-Vizo'!$I$46,IF(C23&gt;='Env Factor by Pool-Vizo'!$H$47,'Env Factor by Pool-Vizo'!$I$47,IF(C23&gt;='Env Factor by Pool-Vizo'!$H$48,'Env Factor by Pool-Vizo'!$I$48,IF(C23&gt;='Env Factor by Pool-Vizo'!$H$49,'Env Factor by Pool-Vizo'!$I$49,'Env Factor by Pool-Vizo'!$I$50))))))))))))))))</f>
        <v/>
      </c>
      <c r="E23" s="898">
        <f>$F$9</f>
        <v/>
      </c>
      <c r="F23" s="898">
        <f>IF(E23&gt;='Env Factor by Pool-Vizo'!$J$34,'Env Factor by Pool-Vizo'!$E$89,IF(E23&gt;='Env Factor by Pool-Vizo'!$J$35,'Env Factor by Pool-Vizo'!$E$90,IF(E23&gt;='Env Factor by Pool-Vizo'!$J$36,'Env Factor by Pool-Vizo'!$E$91,IF(E23&gt;='Env Factor by Pool-Vizo'!$J$37,'Env Factor by Pool-Vizo'!$E$92,IF(E23&gt;='Env Factor by Pool-Vizo'!$J$38,'Env Factor by Pool-Vizo'!$E$93,IF(E23&gt;='Env Factor by Pool-Vizo'!$J$39,'Env Factor by Pool-Vizo'!$E$94,IF(E23&gt;='Env Factor by Pool-Vizo'!$J$40,'Env Factor by Pool-Vizo'!$E$95,IF(E23&gt;='Env Factor by Pool-Vizo'!$J$41,'Env Factor by Pool-Vizo'!$E$96,IF(E23&gt;='Env Factor by Pool-Vizo'!$J$42,'Env Factor by Pool-Vizo'!$E$97,IF(E23&gt;='Env Factor by Pool-Vizo'!$J$43,'Env Factor by Pool-Vizo'!$E$98,IF(E23&gt;='Env Factor by Pool-Vizo'!$J$44,'Env Factor by Pool-Vizo'!$E$99,IF(E23&gt;='Env Factor by Pool-Vizo'!$J$45,'Env Factor by Pool-Vizo'!$E$100,'Env Factor by Pool-Vizo'!$E$101))))))))))))</f>
        <v/>
      </c>
      <c r="G23" s="898">
        <f>D23+F23</f>
        <v/>
      </c>
      <c r="H23" s="899" t="inlineStr">
        <is>
          <t>Environmental Factor</t>
        </is>
      </c>
      <c r="I23" s="900">
        <f>G23</f>
        <v/>
      </c>
      <c r="M23" s="501" t="n"/>
    </row>
    <row r="24" ht="15" customHeight="1" s="685">
      <c r="B24" s="896">
        <f>'Scale Calculation-Vizo'!A20</f>
        <v/>
      </c>
      <c r="C24" s="897">
        <f>'New Report Calc-Vizo'!$AI$107</f>
        <v/>
      </c>
      <c r="D24" s="898">
        <f>IF(C24&gt;='Env Factor by Pool-Vizo'!$H$34,'Env Factor by Pool-Vizo'!$I$34,IF(C24&gt;='Env Factor by Pool-Vizo'!$H$35,'Env Factor by Pool-Vizo'!$I$35,IF(C24&gt;='Env Factor by Pool-Vizo'!$H$36,'Env Factor by Pool-Vizo'!$I$36,IF(C24&gt;='Env Factor by Pool-Vizo'!$H$37,'Env Factor by Pool-Vizo'!$I$37,IF(C24&gt;='Env Factor by Pool-Vizo'!$H$38,'Env Factor by Pool-Vizo'!$I$38,IF(C24&gt;='Env Factor by Pool-Vizo'!$H$39,'Env Factor by Pool-Vizo'!$I$39,IF(C24&gt;='Env Factor by Pool-Vizo'!$H$40,'Env Factor by Pool-Vizo'!$I$40,IF(C24&gt;='Env Factor by Pool-Vizo'!$H$41,'Env Factor by Pool-Vizo'!$I$41,IF(C24&gt;='Env Factor by Pool-Vizo'!$H$42,'Env Factor by Pool-Vizo'!$I$42,IF(C24&gt;='Env Factor by Pool-Vizo'!$H$43,'Env Factor by Pool-Vizo'!$I$43,IF(C24&gt;='Env Factor by Pool-Vizo'!$H$44,'Env Factor by Pool-Vizo'!$I$44,IF(C24&gt;='Env Factor by Pool-Vizo'!$H$45,'Env Factor by Pool-Vizo'!$I$45,IF(C24&gt;='Env Factor by Pool-Vizo'!$H$46,'Env Factor by Pool-Vizo'!$I$46,IF(C24&gt;='Env Factor by Pool-Vizo'!$H$47,'Env Factor by Pool-Vizo'!$I$47,IF(C24&gt;='Env Factor by Pool-Vizo'!$H$48,'Env Factor by Pool-Vizo'!$I$48,IF(C24&gt;='Env Factor by Pool-Vizo'!$H$49,'Env Factor by Pool-Vizo'!$I$49,'Env Factor by Pool-Vizo'!$I$50))))))))))))))))</f>
        <v/>
      </c>
      <c r="E24" s="898">
        <f>$F$9</f>
        <v/>
      </c>
      <c r="F24" s="898">
        <f>IF(E24&gt;='Env Factor by Pool-Vizo'!$J$34,'Env Factor by Pool-Vizo'!$E$89,IF(E24&gt;='Env Factor by Pool-Vizo'!$J$35,'Env Factor by Pool-Vizo'!$E$90,IF(E24&gt;='Env Factor by Pool-Vizo'!$J$36,'Env Factor by Pool-Vizo'!$E$91,IF(E24&gt;='Env Factor by Pool-Vizo'!$J$37,'Env Factor by Pool-Vizo'!$E$92,IF(E24&gt;='Env Factor by Pool-Vizo'!$J$38,'Env Factor by Pool-Vizo'!$E$93,IF(E24&gt;='Env Factor by Pool-Vizo'!$J$39,'Env Factor by Pool-Vizo'!$E$94,IF(E24&gt;='Env Factor by Pool-Vizo'!$J$40,'Env Factor by Pool-Vizo'!$E$95,IF(E24&gt;='Env Factor by Pool-Vizo'!$J$41,'Env Factor by Pool-Vizo'!$E$96,IF(E24&gt;='Env Factor by Pool-Vizo'!$J$42,'Env Factor by Pool-Vizo'!$E$97,IF(E24&gt;='Env Factor by Pool-Vizo'!$J$43,'Env Factor by Pool-Vizo'!$E$98,IF(E24&gt;='Env Factor by Pool-Vizo'!$J$44,'Env Factor by Pool-Vizo'!$E$99,IF(E24&gt;='Env Factor by Pool-Vizo'!$J$45,'Env Factor by Pool-Vizo'!$E$100,'Env Factor by Pool-Vizo'!$E$101))))))))))))</f>
        <v/>
      </c>
      <c r="G24" s="898">
        <f>D24+F24</f>
        <v/>
      </c>
      <c r="H24" s="899" t="inlineStr">
        <is>
          <t>Environmental Factor</t>
        </is>
      </c>
      <c r="I24" s="900">
        <f>G24</f>
        <v/>
      </c>
      <c r="M24" s="501" t="n"/>
    </row>
    <row r="25" ht="15" customHeight="1" s="685">
      <c r="B25" s="896">
        <f>'Scale Calculation-Vizo'!A21</f>
        <v/>
      </c>
      <c r="C25" s="897">
        <f>'New Report Calc-Vizo'!$AI$108</f>
        <v/>
      </c>
      <c r="D25" s="898">
        <f>IF(C25&gt;='Env Factor by Pool-Vizo'!$H$34,'Env Factor by Pool-Vizo'!$I$34,IF(C25&gt;='Env Factor by Pool-Vizo'!$H$35,'Env Factor by Pool-Vizo'!$I$35,IF(C25&gt;='Env Factor by Pool-Vizo'!$H$36,'Env Factor by Pool-Vizo'!$I$36,IF(C25&gt;='Env Factor by Pool-Vizo'!$H$37,'Env Factor by Pool-Vizo'!$I$37,IF(C25&gt;='Env Factor by Pool-Vizo'!$H$38,'Env Factor by Pool-Vizo'!$I$38,IF(C25&gt;='Env Factor by Pool-Vizo'!$H$39,'Env Factor by Pool-Vizo'!$I$39,IF(C25&gt;='Env Factor by Pool-Vizo'!$H$40,'Env Factor by Pool-Vizo'!$I$40,IF(C25&gt;='Env Factor by Pool-Vizo'!$H$41,'Env Factor by Pool-Vizo'!$I$41,IF(C25&gt;='Env Factor by Pool-Vizo'!$H$42,'Env Factor by Pool-Vizo'!$I$42,IF(C25&gt;='Env Factor by Pool-Vizo'!$H$43,'Env Factor by Pool-Vizo'!$I$43,IF(C25&gt;='Env Factor by Pool-Vizo'!$H$44,'Env Factor by Pool-Vizo'!$I$44,IF(C25&gt;='Env Factor by Pool-Vizo'!$H$45,'Env Factor by Pool-Vizo'!$I$45,IF(C25&gt;='Env Factor by Pool-Vizo'!$H$46,'Env Factor by Pool-Vizo'!$I$46,IF(C25&gt;='Env Factor by Pool-Vizo'!$H$47,'Env Factor by Pool-Vizo'!$I$47,IF(C25&gt;='Env Factor by Pool-Vizo'!$H$48,'Env Factor by Pool-Vizo'!$I$48,IF(C25&gt;='Env Factor by Pool-Vizo'!$H$49,'Env Factor by Pool-Vizo'!$I$49,'Env Factor by Pool-Vizo'!$I$50))))))))))))))))</f>
        <v/>
      </c>
      <c r="E25" s="898">
        <f>$F$9</f>
        <v/>
      </c>
      <c r="F25" s="898">
        <f>IF(E25&gt;='Env Factor by Pool-Vizo'!$J$34,'Env Factor by Pool-Vizo'!$E$89,IF(E25&gt;='Env Factor by Pool-Vizo'!$J$35,'Env Factor by Pool-Vizo'!$E$90,IF(E25&gt;='Env Factor by Pool-Vizo'!$J$36,'Env Factor by Pool-Vizo'!$E$91,IF(E25&gt;='Env Factor by Pool-Vizo'!$J$37,'Env Factor by Pool-Vizo'!$E$92,IF(E25&gt;='Env Factor by Pool-Vizo'!$J$38,'Env Factor by Pool-Vizo'!$E$93,IF(E25&gt;='Env Factor by Pool-Vizo'!$J$39,'Env Factor by Pool-Vizo'!$E$94,IF(E25&gt;='Env Factor by Pool-Vizo'!$J$40,'Env Factor by Pool-Vizo'!$E$95,IF(E25&gt;='Env Factor by Pool-Vizo'!$J$41,'Env Factor by Pool-Vizo'!$E$96,IF(E25&gt;='Env Factor by Pool-Vizo'!$J$42,'Env Factor by Pool-Vizo'!$E$97,IF(E25&gt;='Env Factor by Pool-Vizo'!$J$43,'Env Factor by Pool-Vizo'!$E$98,IF(E25&gt;='Env Factor by Pool-Vizo'!$J$44,'Env Factor by Pool-Vizo'!$E$99,IF(E25&gt;='Env Factor by Pool-Vizo'!$J$45,'Env Factor by Pool-Vizo'!$E$100,'Env Factor by Pool-Vizo'!$E$101))))))))))))</f>
        <v/>
      </c>
      <c r="G25" s="898">
        <f>D25+F25</f>
        <v/>
      </c>
      <c r="H25" s="899" t="inlineStr">
        <is>
          <t>Environmental Factor</t>
        </is>
      </c>
      <c r="I25" s="900">
        <f>G25</f>
        <v/>
      </c>
      <c r="M25" s="501" t="n"/>
    </row>
    <row r="26" ht="8.449999999999999" customHeight="1" s="685"/>
    <row r="27" ht="15.75" customHeight="1" s="685"/>
    <row r="28" ht="12" customHeight="1" s="685"/>
    <row r="29" ht="15.75" customHeight="1" s="685">
      <c r="D29" s="901" t="n"/>
      <c r="E29" s="901" t="n"/>
      <c r="F29" s="901" t="n"/>
      <c r="G29" s="902" t="n"/>
      <c r="H29" s="902" t="n"/>
      <c r="I29" s="903" t="n"/>
      <c r="J29" s="903" t="n"/>
      <c r="K29" s="903" t="n"/>
      <c r="L29" s="903" t="n"/>
      <c r="M29" s="902" t="n"/>
      <c r="N29" s="902" t="n"/>
      <c r="O29" s="902" t="n"/>
      <c r="P29" s="902" t="n"/>
      <c r="Q29" s="902" t="n"/>
      <c r="R29" s="902" t="n"/>
      <c r="S29" s="902" t="n"/>
    </row>
    <row r="30" ht="15" customHeight="1" s="685">
      <c r="C30" s="904" t="inlineStr">
        <is>
          <t>Environmental Factor Ranges</t>
        </is>
      </c>
      <c r="D30" s="675" t="n"/>
      <c r="E30" s="675" t="n"/>
      <c r="F30" s="676" t="n"/>
      <c r="G30" s="905" t="n"/>
      <c r="H30" s="905" t="n"/>
      <c r="I30" s="906" t="n"/>
      <c r="J30" s="906" t="n"/>
      <c r="K30" s="906" t="n"/>
      <c r="L30" s="906" t="n"/>
      <c r="M30" s="905" t="n"/>
      <c r="N30" s="905" t="n"/>
      <c r="O30" s="905" t="n"/>
      <c r="P30" s="905" t="n"/>
      <c r="Q30" s="905" t="n"/>
      <c r="R30" s="905" t="n"/>
      <c r="S30" s="905" t="n"/>
    </row>
    <row r="31" ht="15" customHeight="1" s="685">
      <c r="A31" s="907" t="n"/>
      <c r="B31" s="901" t="n"/>
      <c r="C31" s="908">
        <f>"Quarter Ended "&amp;TEXT('Cover-Vizo'!A11,"m/d/yyyy")</f>
        <v/>
      </c>
      <c r="D31" s="672" t="n"/>
      <c r="E31" s="672" t="n"/>
      <c r="F31" s="673" t="n"/>
      <c r="H31" s="901" t="n"/>
      <c r="J31" s="899" t="n"/>
      <c r="K31" s="899" t="n"/>
      <c r="L31" s="899" t="n"/>
      <c r="M31" s="501" t="n"/>
    </row>
    <row r="32" ht="15" customHeight="1" s="685">
      <c r="C32" s="909" t="inlineStr">
        <is>
          <t>Delinquency</t>
        </is>
      </c>
      <c r="D32" s="675" t="n"/>
      <c r="E32" s="910" t="inlineStr">
        <is>
          <t>Economic Stress</t>
        </is>
      </c>
      <c r="F32" s="676" t="n"/>
      <c r="H32" s="899" t="inlineStr">
        <is>
          <t>Delinquency</t>
        </is>
      </c>
      <c r="J32" s="899" t="inlineStr">
        <is>
          <t>Economic stress</t>
        </is>
      </c>
      <c r="K32" s="899" t="n"/>
    </row>
    <row r="33">
      <c r="C33" s="911" t="inlineStr">
        <is>
          <t xml:space="preserve"> Range</t>
        </is>
      </c>
      <c r="D33" s="912" t="inlineStr">
        <is>
          <t>Score</t>
        </is>
      </c>
      <c r="E33" s="913" t="inlineStr">
        <is>
          <t xml:space="preserve"> Range</t>
        </is>
      </c>
      <c r="F33" s="914" t="inlineStr">
        <is>
          <t>Score</t>
        </is>
      </c>
      <c r="H33" s="899" t="inlineStr">
        <is>
          <t>Minimums</t>
        </is>
      </c>
      <c r="I33" s="899" t="inlineStr">
        <is>
          <t>Score</t>
        </is>
      </c>
      <c r="J33" s="899" t="inlineStr">
        <is>
          <t>Minimums</t>
        </is>
      </c>
      <c r="K33" s="899" t="inlineStr">
        <is>
          <t>Score</t>
        </is>
      </c>
    </row>
    <row r="34">
      <c r="C34" s="915">
        <f>IF(H34=0,"Not Risk Rated","&gt;"&amp;TEXT(H34,"#.00%"))</f>
        <v/>
      </c>
      <c r="D34" s="916">
        <f>I34</f>
        <v/>
      </c>
      <c r="E34" s="917">
        <f>"&gt;"&amp;TEXT(J34,"#.00%")</f>
        <v/>
      </c>
      <c r="F34" s="918">
        <f>K34</f>
        <v/>
      </c>
      <c r="H34" s="900">
        <f>'Environmental Factor Ranges'!J9</f>
        <v/>
      </c>
      <c r="I34" s="900">
        <f>'Environmental Factor Ranges'!K9</f>
        <v/>
      </c>
      <c r="J34" s="919">
        <f>'Environmental Factor Ranges'!L9</f>
        <v/>
      </c>
      <c r="K34" s="919">
        <f>'Environmental Factor Ranges'!M9</f>
        <v/>
      </c>
    </row>
    <row r="35">
      <c r="C35" s="915">
        <f>TEXT(H35,"#.00%")&amp;" to "&amp;TEXT(H34-0.0001,"#.00%")</f>
        <v/>
      </c>
      <c r="D35" s="916">
        <f>I35</f>
        <v/>
      </c>
      <c r="E35" s="917">
        <f>TEXT(J35,"#.00%")&amp;" to "&amp;TEXT(J34-0.0001,"#.00%")</f>
        <v/>
      </c>
      <c r="F35" s="918">
        <f>K35</f>
        <v/>
      </c>
      <c r="H35" s="900">
        <f>'Environmental Factor Ranges'!J10</f>
        <v/>
      </c>
      <c r="I35" s="900">
        <f>'Environmental Factor Ranges'!K10</f>
        <v/>
      </c>
      <c r="J35" s="919">
        <f>'Environmental Factor Ranges'!L10</f>
        <v/>
      </c>
      <c r="K35" s="919">
        <f>'Environmental Factor Ranges'!M10</f>
        <v/>
      </c>
    </row>
    <row r="36">
      <c r="C36" s="915">
        <f>TEXT(H36,"#.00%")&amp;" to "&amp;TEXT(H35-0.0001,"#.00%")</f>
        <v/>
      </c>
      <c r="D36" s="916">
        <f>I36</f>
        <v/>
      </c>
      <c r="E36" s="920">
        <f>TEXT(J36,"#.00%")&amp;" to "&amp;TEXT(J35-0.0001,"#.00%")</f>
        <v/>
      </c>
      <c r="F36" s="918">
        <f>K36</f>
        <v/>
      </c>
      <c r="H36" s="900">
        <f>'Environmental Factor Ranges'!J11</f>
        <v/>
      </c>
      <c r="I36" s="900">
        <f>'Environmental Factor Ranges'!K11</f>
        <v/>
      </c>
      <c r="J36" s="919">
        <f>'Environmental Factor Ranges'!L11</f>
        <v/>
      </c>
      <c r="K36" s="919">
        <f>'Environmental Factor Ranges'!M11</f>
        <v/>
      </c>
    </row>
    <row r="37">
      <c r="C37" s="915">
        <f>TEXT(H37,"#.00%")&amp;" to "&amp;TEXT(H36-0.0001,"#.00%")</f>
        <v/>
      </c>
      <c r="D37" s="916">
        <f>I37</f>
        <v/>
      </c>
      <c r="E37" s="920">
        <f>TEXT(J37,"#.00%")&amp;" to "&amp;TEXT(J36-0.0001,"#.00%")</f>
        <v/>
      </c>
      <c r="F37" s="918">
        <f>K37</f>
        <v/>
      </c>
      <c r="H37" s="900">
        <f>'Environmental Factor Ranges'!J12</f>
        <v/>
      </c>
      <c r="I37" s="900">
        <f>'Environmental Factor Ranges'!K12</f>
        <v/>
      </c>
      <c r="J37" s="919">
        <f>'Environmental Factor Ranges'!L12</f>
        <v/>
      </c>
      <c r="K37" s="919">
        <f>'Environmental Factor Ranges'!M12</f>
        <v/>
      </c>
    </row>
    <row r="38">
      <c r="C38" s="915">
        <f>TEXT(H38,"#.00%")&amp;" to "&amp;TEXT(H37-0.0001,"#.00%")</f>
        <v/>
      </c>
      <c r="D38" s="916">
        <f>I38</f>
        <v/>
      </c>
      <c r="E38" s="920">
        <f>TEXT(J38,"#.00%")&amp;" to "&amp;TEXT(J37-0.0001,"#.00%")</f>
        <v/>
      </c>
      <c r="F38" s="918">
        <f>K38</f>
        <v/>
      </c>
      <c r="H38" s="900">
        <f>'Environmental Factor Ranges'!J13</f>
        <v/>
      </c>
      <c r="I38" s="900">
        <f>'Environmental Factor Ranges'!K13</f>
        <v/>
      </c>
      <c r="J38" s="919">
        <f>'Environmental Factor Ranges'!L13</f>
        <v/>
      </c>
      <c r="K38" s="919">
        <f>'Environmental Factor Ranges'!M13</f>
        <v/>
      </c>
    </row>
    <row r="39">
      <c r="C39" s="915">
        <f>TEXT(H39,"#.00%")&amp;" to "&amp;TEXT(H38-0.0001,"#.00%")</f>
        <v/>
      </c>
      <c r="D39" s="916">
        <f>I39</f>
        <v/>
      </c>
      <c r="E39" s="920">
        <f>TEXT(J39,"#.00%")&amp;" to "&amp;TEXT(J38-0.0001,"#.00%")</f>
        <v/>
      </c>
      <c r="F39" s="918">
        <f>K39</f>
        <v/>
      </c>
      <c r="H39" s="900">
        <f>'Environmental Factor Ranges'!J14</f>
        <v/>
      </c>
      <c r="I39" s="900">
        <f>'Environmental Factor Ranges'!K14</f>
        <v/>
      </c>
      <c r="J39" s="919">
        <f>'Environmental Factor Ranges'!L14</f>
        <v/>
      </c>
      <c r="K39" s="919">
        <f>'Environmental Factor Ranges'!M14</f>
        <v/>
      </c>
    </row>
    <row r="40">
      <c r="C40" s="915">
        <f>TEXT(H40,"#.00%")&amp;" to "&amp;TEXT(H39-0.0001,"#.00%")</f>
        <v/>
      </c>
      <c r="D40" s="916">
        <f>I40</f>
        <v/>
      </c>
      <c r="E40" s="920">
        <f>TEXT(J40,"#.00%")&amp;" to "&amp;TEXT(J39-0.0001,"#.00%")</f>
        <v/>
      </c>
      <c r="F40" s="918">
        <f>K40</f>
        <v/>
      </c>
      <c r="H40" s="900">
        <f>'Environmental Factor Ranges'!J15</f>
        <v/>
      </c>
      <c r="I40" s="900">
        <f>'Environmental Factor Ranges'!K15</f>
        <v/>
      </c>
      <c r="J40" s="919">
        <f>'Environmental Factor Ranges'!L15</f>
        <v/>
      </c>
      <c r="K40" s="919">
        <f>'Environmental Factor Ranges'!M15</f>
        <v/>
      </c>
    </row>
    <row r="41">
      <c r="C41" s="915">
        <f>TEXT(H41,"#0.00%")&amp;" to "&amp;TEXT(H40-0.0001,"#0.00%")</f>
        <v/>
      </c>
      <c r="D41" s="916">
        <f>I41</f>
        <v/>
      </c>
      <c r="E41" s="920">
        <f>TEXT(J41,"#.00%")&amp;" to "&amp;TEXT(J40-0.0001,"#.00%")</f>
        <v/>
      </c>
      <c r="F41" s="918">
        <f>K41</f>
        <v/>
      </c>
      <c r="H41" s="900">
        <f>'Environmental Factor Ranges'!J16</f>
        <v/>
      </c>
      <c r="I41" s="900">
        <f>'Environmental Factor Ranges'!K16</f>
        <v/>
      </c>
      <c r="J41" s="919">
        <f>'Environmental Factor Ranges'!L16</f>
        <v/>
      </c>
      <c r="K41" s="919">
        <f>'Environmental Factor Ranges'!M16</f>
        <v/>
      </c>
    </row>
    <row r="42">
      <c r="C42" s="915">
        <f>TEXT(H42,"#0.00%")&amp;" to "&amp;TEXT(H41-0.0001,"#0.00%")</f>
        <v/>
      </c>
      <c r="D42" s="916">
        <f>I42</f>
        <v/>
      </c>
      <c r="E42" s="920">
        <f>TEXT(J42,"#.00%")&amp;" to "&amp;TEXT(J41-0.0001,"#.00%")</f>
        <v/>
      </c>
      <c r="F42" s="918">
        <f>K42</f>
        <v/>
      </c>
      <c r="H42" s="900">
        <f>'Environmental Factor Ranges'!J17</f>
        <v/>
      </c>
      <c r="I42" s="900">
        <f>'Environmental Factor Ranges'!K17</f>
        <v/>
      </c>
      <c r="J42" s="919">
        <f>'Environmental Factor Ranges'!L17</f>
        <v/>
      </c>
      <c r="K42" s="919">
        <f>'Environmental Factor Ranges'!M17</f>
        <v/>
      </c>
    </row>
    <row r="43">
      <c r="C43" s="915">
        <f>TEXT(H43,"#0.00%")&amp;" to "&amp;TEXT(H42-0.0001,"#0.00%")</f>
        <v/>
      </c>
      <c r="D43" s="916">
        <f>I43</f>
        <v/>
      </c>
      <c r="E43" s="920">
        <f>TEXT(J43,"#.00%")&amp;" to "&amp;TEXT(J42-0.0001,"#.00%")</f>
        <v/>
      </c>
      <c r="F43" s="918">
        <f>K43</f>
        <v/>
      </c>
      <c r="H43" s="900">
        <f>'Environmental Factor Ranges'!J18</f>
        <v/>
      </c>
      <c r="I43" s="900">
        <f>'Environmental Factor Ranges'!K18</f>
        <v/>
      </c>
      <c r="J43" s="919">
        <f>'Environmental Factor Ranges'!L18</f>
        <v/>
      </c>
      <c r="K43" s="919">
        <f>'Environmental Factor Ranges'!M18</f>
        <v/>
      </c>
    </row>
    <row r="44">
      <c r="C44" s="915">
        <f>TEXT(H44,"#.00%")&amp;" to "&amp;TEXT(H43-0.0001,"#.00%")</f>
        <v/>
      </c>
      <c r="D44" s="916">
        <f>I44</f>
        <v/>
      </c>
      <c r="E44" s="920">
        <f>TEXT(J44,"#.00%")&amp;" to "&amp;TEXT(J43-0.0001,"#.00%")</f>
        <v/>
      </c>
      <c r="F44" s="918">
        <f>K44</f>
        <v/>
      </c>
      <c r="H44" s="900">
        <f>'Environmental Factor Ranges'!J19</f>
        <v/>
      </c>
      <c r="I44" s="900">
        <f>'Environmental Factor Ranges'!K19</f>
        <v/>
      </c>
      <c r="J44" s="919">
        <f>'Environmental Factor Ranges'!L19</f>
        <v/>
      </c>
      <c r="K44" s="919">
        <f>'Environmental Factor Ranges'!M19</f>
        <v/>
      </c>
    </row>
    <row r="45">
      <c r="C45" s="915">
        <f>TEXT(H45,"#.00%")&amp;" to "&amp;TEXT(H44-0.0001,"#.00%")</f>
        <v/>
      </c>
      <c r="D45" s="916">
        <f>I45</f>
        <v/>
      </c>
      <c r="E45" s="920">
        <f>TEXT(J45,"#.00%")&amp;" to "&amp;TEXT(J44-0.0001,"#.00%")</f>
        <v/>
      </c>
      <c r="F45" s="918">
        <f>K45</f>
        <v/>
      </c>
      <c r="H45" s="900">
        <f>'Environmental Factor Ranges'!J20</f>
        <v/>
      </c>
      <c r="I45" s="900">
        <f>'Environmental Factor Ranges'!K20</f>
        <v/>
      </c>
      <c r="J45" s="919">
        <f>'Environmental Factor Ranges'!L20</f>
        <v/>
      </c>
      <c r="K45" s="919">
        <f>'Environmental Factor Ranges'!M20</f>
        <v/>
      </c>
    </row>
    <row r="46">
      <c r="C46" s="915">
        <f>TEXT(H46,"#.00%")&amp;" to "&amp;TEXT(H45-0.0001,"#.00%")</f>
        <v/>
      </c>
      <c r="D46" s="916">
        <f>I46</f>
        <v/>
      </c>
      <c r="E46" s="920">
        <f>TEXT(J46,"#.00%")&amp;" to "&amp;TEXT(J45-0.0001,"#.00%")</f>
        <v/>
      </c>
      <c r="F46" s="918">
        <f>K46</f>
        <v/>
      </c>
      <c r="H46" s="900">
        <f>'Environmental Factor Ranges'!J21</f>
        <v/>
      </c>
      <c r="I46" s="900">
        <f>'Environmental Factor Ranges'!K21</f>
        <v/>
      </c>
      <c r="J46" s="919">
        <f>'Environmental Factor Ranges'!L21</f>
        <v/>
      </c>
      <c r="K46" s="919">
        <f>'Environmental Factor Ranges'!M21</f>
        <v/>
      </c>
    </row>
    <row r="47">
      <c r="C47" s="915">
        <f>TEXT(H47,"#.00%")&amp;" to "&amp;TEXT(H46-0.0001,"#.00%")</f>
        <v/>
      </c>
      <c r="D47" s="916">
        <f>I47</f>
        <v/>
      </c>
      <c r="E47" s="920">
        <f>TEXT(J47,"#.00%")&amp;" to "&amp;TEXT(J46-0.0001,"#.00%")</f>
        <v/>
      </c>
      <c r="F47" s="918">
        <f>K47</f>
        <v/>
      </c>
      <c r="H47" s="900">
        <f>'Environmental Factor Ranges'!J22</f>
        <v/>
      </c>
      <c r="I47" s="900">
        <f>'Environmental Factor Ranges'!K22</f>
        <v/>
      </c>
      <c r="J47" s="919">
        <f>'Environmental Factor Ranges'!L22</f>
        <v/>
      </c>
      <c r="K47" s="919">
        <f>'Environmental Factor Ranges'!M22</f>
        <v/>
      </c>
    </row>
    <row r="48">
      <c r="C48" s="915">
        <f>TEXT(H48,"#.00%")&amp;" to "&amp;TEXT(H47-0.0001,"#.00%")</f>
        <v/>
      </c>
      <c r="D48" s="916">
        <f>I48</f>
        <v/>
      </c>
      <c r="E48" s="920" t="n"/>
      <c r="F48" s="918" t="n"/>
      <c r="H48" s="900">
        <f>'Environmental Factor Ranges'!J23</f>
        <v/>
      </c>
      <c r="I48" s="900">
        <f>'Environmental Factor Ranges'!K23</f>
        <v/>
      </c>
      <c r="J48" s="900" t="n"/>
      <c r="K48" s="919" t="n"/>
    </row>
    <row r="49">
      <c r="C49" s="915">
        <f>TEXT(H49,"#.00%")&amp;" to "&amp;TEXT(H48-0.0001,"#.00%")</f>
        <v/>
      </c>
      <c r="D49" s="916">
        <f>I49</f>
        <v/>
      </c>
      <c r="E49" s="920" t="n"/>
      <c r="F49" s="918" t="n"/>
      <c r="H49" s="900">
        <f>'Environmental Factor Ranges'!J24</f>
        <v/>
      </c>
      <c r="I49" s="900">
        <f>'Environmental Factor Ranges'!K24</f>
        <v/>
      </c>
      <c r="J49" s="900" t="n"/>
      <c r="K49" s="900" t="n"/>
    </row>
    <row r="50" ht="13.5" customHeight="1" s="685">
      <c r="C50" s="921">
        <f>IF(H50=0,"Not Risk Rated","&lt;"&amp;TEXT(H50,"#.00%"))</f>
        <v/>
      </c>
      <c r="D50" s="922">
        <f>I50</f>
        <v/>
      </c>
      <c r="E50" s="923" t="n"/>
      <c r="F50" s="924" t="n"/>
      <c r="H50" s="900">
        <f>'Environmental Factor Ranges'!J25</f>
        <v/>
      </c>
      <c r="I50" s="900">
        <f>'Environmental Factor Ranges'!K25</f>
        <v/>
      </c>
      <c r="J50" s="900" t="n"/>
      <c r="K50" s="900" t="n"/>
    </row>
    <row r="87">
      <c r="B87" s="925" t="n"/>
      <c r="C87" s="925" t="n"/>
      <c r="D87" s="925" t="n"/>
      <c r="E87" s="925" t="n"/>
    </row>
    <row r="88" ht="31.5" customHeight="1" s="685">
      <c r="B88" s="526" t="inlineStr">
        <is>
          <t>Delinquency Variance</t>
        </is>
      </c>
      <c r="C88" s="526" t="inlineStr">
        <is>
          <t>Delinquency Score</t>
        </is>
      </c>
      <c r="D88" s="526" t="inlineStr">
        <is>
          <t>Economic Stress Actual</t>
        </is>
      </c>
      <c r="E88" s="526" t="inlineStr">
        <is>
          <t>Economic Stress Score</t>
        </is>
      </c>
    </row>
    <row r="89">
      <c r="B89" s="926">
        <f>IF('Env Factor by Pool-Vizo'!H34=0,"Not Risk Rated","&gt;"&amp;TEXT('Env Factor by Pool-Vizo'!H34,"#.00%"))</f>
        <v/>
      </c>
      <c r="C89" s="927">
        <f>'Env Factor by Pool-Vizo'!I34</f>
        <v/>
      </c>
      <c r="D89" s="926">
        <f>"&gt;"&amp;TEXT('Env Factor by Pool-Vizo'!J34,"#.00%")</f>
        <v/>
      </c>
      <c r="E89" s="927">
        <f>'Env Factor by Pool-Vizo'!K34</f>
        <v/>
      </c>
    </row>
    <row r="90">
      <c r="B90" s="926">
        <f>TEXT('Env Factor by Pool-Vizo'!H35,"#.00%")&amp;" to "&amp;TEXT('Env Factor by Pool-Vizo'!H34-0.0001,"#.00%")</f>
        <v/>
      </c>
      <c r="C90" s="927">
        <f>'Env Factor by Pool-Vizo'!I35</f>
        <v/>
      </c>
      <c r="D90" s="926">
        <f>TEXT('Env Factor by Pool-Vizo'!J35,"#.00%")&amp;" to "&amp;TEXT('Env Factor by Pool-Vizo'!J34-0.0001,"#.00%")</f>
        <v/>
      </c>
      <c r="E90" s="927">
        <f>'Env Factor by Pool-Vizo'!K35</f>
        <v/>
      </c>
      <c r="H90" s="901" t="n"/>
    </row>
    <row r="91">
      <c r="B91" s="926">
        <f>TEXT('Env Factor by Pool-Vizo'!H36,"#.00%")&amp;" to "&amp;TEXT('Env Factor by Pool-Vizo'!H35-0.0001,"#.00%")</f>
        <v/>
      </c>
      <c r="C91" s="927">
        <f>'Env Factor by Pool-Vizo'!I36</f>
        <v/>
      </c>
      <c r="D91" s="928">
        <f>TEXT('Env Factor by Pool-Vizo'!J36,"#.00%")&amp;" to "&amp;TEXT('Env Factor by Pool-Vizo'!J35-0.0001,"#.00%")</f>
        <v/>
      </c>
      <c r="E91" s="927">
        <f>'Env Factor by Pool-Vizo'!K36</f>
        <v/>
      </c>
      <c r="H91" s="929" t="n"/>
      <c r="I91" s="929" t="n"/>
      <c r="J91" s="929" t="n"/>
      <c r="M91" s="929" t="n"/>
      <c r="N91" s="929" t="n"/>
    </row>
    <row r="92">
      <c r="B92" s="926">
        <f>TEXT('Env Factor by Pool-Vizo'!H37,"#.00%")&amp;" to "&amp;TEXT('Env Factor by Pool-Vizo'!H36-0.0001,"#.00%")</f>
        <v/>
      </c>
      <c r="C92" s="927">
        <f>'Env Factor by Pool-Vizo'!I37</f>
        <v/>
      </c>
      <c r="D92" s="928">
        <f>TEXT('Env Factor by Pool-Vizo'!J37,"#.00%")&amp;" to "&amp;TEXT('Env Factor by Pool-Vizo'!J36-0.0001,"#.00%")</f>
        <v/>
      </c>
      <c r="E92" s="927">
        <f>'Env Factor by Pool-Vizo'!K37</f>
        <v/>
      </c>
    </row>
    <row r="93">
      <c r="B93" s="926">
        <f>TEXT('Env Factor by Pool-Vizo'!H38,"#.00%")&amp;" to "&amp;TEXT('Env Factor by Pool-Vizo'!H37-0.0001,"#.00%")</f>
        <v/>
      </c>
      <c r="C93" s="927">
        <f>'Env Factor by Pool-Vizo'!I38</f>
        <v/>
      </c>
      <c r="D93" s="928">
        <f>TEXT('Env Factor by Pool-Vizo'!J38,"#.00%")&amp;" to "&amp;TEXT('Env Factor by Pool-Vizo'!J37-0.0001,"#.00%")</f>
        <v/>
      </c>
      <c r="E93" s="927">
        <f>'Env Factor by Pool-Vizo'!K38</f>
        <v/>
      </c>
    </row>
    <row r="94">
      <c r="B94" s="926">
        <f>TEXT('Env Factor by Pool-Vizo'!H39,"#.00%")&amp;" to "&amp;TEXT('Env Factor by Pool-Vizo'!H38-0.0001,"#.00%")</f>
        <v/>
      </c>
      <c r="C94" s="927">
        <f>'Env Factor by Pool-Vizo'!I39</f>
        <v/>
      </c>
      <c r="D94" s="928">
        <f>TEXT('Env Factor by Pool-Vizo'!J39,"#.00%")&amp;" to "&amp;TEXT('Env Factor by Pool-Vizo'!J38-0.0001,"#.00%")</f>
        <v/>
      </c>
      <c r="E94" s="927">
        <f>'Env Factor by Pool-Vizo'!K39</f>
        <v/>
      </c>
    </row>
    <row r="95">
      <c r="B95" s="926">
        <f>TEXT('Env Factor by Pool-Vizo'!H40,"#.00%")&amp;" to "&amp;TEXT('Env Factor by Pool-Vizo'!H39-0.0001,"#.00%")</f>
        <v/>
      </c>
      <c r="C95" s="927">
        <f>'Env Factor by Pool-Vizo'!I40</f>
        <v/>
      </c>
      <c r="D95" s="928">
        <f>TEXT('Env Factor by Pool-Vizo'!J40,"#.00%")&amp;" to "&amp;TEXT('Env Factor by Pool-Vizo'!J39-0.0001,"#.00%")</f>
        <v/>
      </c>
      <c r="E95" s="927">
        <f>'Env Factor by Pool-Vizo'!K40</f>
        <v/>
      </c>
    </row>
    <row r="96">
      <c r="B96" s="926">
        <f>TEXT('Env Factor by Pool-Vizo'!H41,"#0.00%")&amp;" to "&amp;TEXT('Env Factor by Pool-Vizo'!H40-0.0001,"#0.00%")</f>
        <v/>
      </c>
      <c r="C96" s="927">
        <f>'Env Factor by Pool-Vizo'!I41</f>
        <v/>
      </c>
      <c r="D96" s="928">
        <f>TEXT('Env Factor by Pool-Vizo'!J41,"#.00%")&amp;" to "&amp;TEXT('Env Factor by Pool-Vizo'!J40-0.0001,"#.00%")</f>
        <v/>
      </c>
      <c r="E96" s="927">
        <f>'Env Factor by Pool-Vizo'!K41</f>
        <v/>
      </c>
    </row>
    <row r="97">
      <c r="B97" s="926">
        <f>TEXT('Env Factor by Pool-Vizo'!H42,"#0.00%")&amp;" to "&amp;TEXT('Env Factor by Pool-Vizo'!H41-0.0001,"#0.00%")</f>
        <v/>
      </c>
      <c r="C97" s="927">
        <f>'Env Factor by Pool-Vizo'!I42</f>
        <v/>
      </c>
      <c r="D97" s="928">
        <f>TEXT('Env Factor by Pool-Vizo'!J42,"#.00%")&amp;" to "&amp;TEXT('Env Factor by Pool-Vizo'!J41-0.0001,"#.00%")</f>
        <v/>
      </c>
      <c r="E97" s="927">
        <f>'Env Factor by Pool-Vizo'!K42</f>
        <v/>
      </c>
    </row>
    <row r="98">
      <c r="B98" s="926">
        <f>TEXT('Env Factor by Pool-Vizo'!H43,"#0.00%")&amp;" to "&amp;TEXT('Env Factor by Pool-Vizo'!H42-0.0001,"#0.00%")</f>
        <v/>
      </c>
      <c r="C98" s="927">
        <f>'Env Factor by Pool-Vizo'!I43</f>
        <v/>
      </c>
      <c r="D98" s="928">
        <f>TEXT('Env Factor by Pool-Vizo'!J43,"#.00%")&amp;" to "&amp;TEXT('Env Factor by Pool-Vizo'!J42-0.0001,"#.00%")</f>
        <v/>
      </c>
      <c r="E98" s="927">
        <f>'Env Factor by Pool-Vizo'!K43</f>
        <v/>
      </c>
    </row>
    <row r="99">
      <c r="B99" s="926">
        <f>TEXT('Env Factor by Pool-Vizo'!H44,"#.00%")&amp;" to "&amp;TEXT('Env Factor by Pool-Vizo'!H43-0.0001,"#.00%")</f>
        <v/>
      </c>
      <c r="C99" s="927">
        <f>'Env Factor by Pool-Vizo'!I44</f>
        <v/>
      </c>
      <c r="D99" s="928">
        <f>TEXT('Env Factor by Pool-Vizo'!J44,"#.00%")&amp;" to "&amp;TEXT('Env Factor by Pool-Vizo'!J43-0.0001,"#.00%")</f>
        <v/>
      </c>
      <c r="E99" s="927">
        <f>'Env Factor by Pool-Vizo'!K44</f>
        <v/>
      </c>
    </row>
    <row r="100">
      <c r="B100" s="926">
        <f>TEXT('Env Factor by Pool-Vizo'!H45,"#.00%")&amp;" to "&amp;TEXT('Env Factor by Pool-Vizo'!H44-0.0001,"#.00%")</f>
        <v/>
      </c>
      <c r="C100" s="927">
        <f>'Env Factor by Pool-Vizo'!I45</f>
        <v/>
      </c>
      <c r="D100" s="928">
        <f>TEXT('Env Factor by Pool-Vizo'!J45,"#.00%")&amp;" to "&amp;TEXT('Env Factor by Pool-Vizo'!J44-0.0001,"#.00%")</f>
        <v/>
      </c>
      <c r="E100" s="927">
        <f>'Env Factor by Pool-Vizo'!K45</f>
        <v/>
      </c>
    </row>
    <row r="101">
      <c r="B101" s="926">
        <f>TEXT('Env Factor by Pool-Vizo'!H46,"#.00%")&amp;" to "&amp;TEXT('Env Factor by Pool-Vizo'!H45-0.0001,"#.00%")</f>
        <v/>
      </c>
      <c r="C101" s="927">
        <f>'Env Factor by Pool-Vizo'!I46</f>
        <v/>
      </c>
      <c r="D101" s="928">
        <f>TEXT('Env Factor by Pool-Vizo'!J46,"#.00%")&amp;" to "&amp;TEXT('Env Factor by Pool-Vizo'!J45-0.0001,"#.00%")</f>
        <v/>
      </c>
      <c r="E101" s="927">
        <f>'Env Factor by Pool-Vizo'!K46</f>
        <v/>
      </c>
    </row>
    <row r="102">
      <c r="B102" s="926">
        <f>TEXT('Env Factor by Pool-Vizo'!H47,"#.00%")&amp;" to "&amp;TEXT('Env Factor by Pool-Vizo'!H46-0.0001,"#.00%")</f>
        <v/>
      </c>
      <c r="C102" s="927">
        <f>'Env Factor by Pool-Vizo'!I47</f>
        <v/>
      </c>
      <c r="D102" s="928">
        <f>TEXT('Env Factor by Pool-Vizo'!J47,"#.00%")&amp;" to "&amp;TEXT('Env Factor by Pool-Vizo'!J46-0.0001,"#.00%")</f>
        <v/>
      </c>
      <c r="E102" s="927">
        <f>'Env Factor by Pool-Vizo'!K47</f>
        <v/>
      </c>
    </row>
    <row r="103">
      <c r="B103" s="926">
        <f>TEXT('Env Factor by Pool-Vizo'!H48,"#.00%")&amp;" to "&amp;TEXT('Env Factor by Pool-Vizo'!H47-0.0001,"#.00%")</f>
        <v/>
      </c>
      <c r="C103" s="927">
        <f>'Env Factor by Pool-Vizo'!I48</f>
        <v/>
      </c>
      <c r="D103" s="928" t="n"/>
      <c r="E103" s="927" t="n"/>
    </row>
    <row r="104">
      <c r="B104" s="926">
        <f>TEXT('Env Factor by Pool-Vizo'!H49,"#.00%")&amp;" to "&amp;TEXT('Env Factor by Pool-Vizo'!H48-0.0001,"#.00%")</f>
        <v/>
      </c>
      <c r="C104" s="927">
        <f>'Env Factor by Pool-Vizo'!I49</f>
        <v/>
      </c>
      <c r="D104" s="928" t="n"/>
      <c r="E104" s="927" t="n"/>
    </row>
    <row r="105">
      <c r="B105" s="926">
        <f>IF('Env Factor by Pool-Vizo'!H50=0,"Not Risk Rated","&lt;"&amp;TEXT('Env Factor by Pool-Vizo'!H50,"#.00%"))</f>
        <v/>
      </c>
      <c r="C105" s="927">
        <f>'Env Factor by Pool-Vizo'!I50</f>
        <v/>
      </c>
      <c r="D105" s="928" t="n"/>
      <c r="E105" s="927" t="n"/>
    </row>
    <row r="109" ht="15" customHeight="1" s="685"/>
    <row r="110" ht="15" customHeight="1" s="685"/>
    <row r="111" ht="15" customHeight="1" s="685"/>
    <row r="112" ht="15" customHeight="1" s="685"/>
    <row r="113" ht="15" customHeight="1" s="685"/>
    <row r="114" ht="15" customHeight="1" s="685"/>
    <row r="115" ht="15" customHeight="1" s="685"/>
    <row r="116" ht="15" customHeight="1" s="685"/>
    <row r="117" ht="15" customHeight="1" s="685"/>
    <row r="118" ht="15" customHeight="1" s="685"/>
    <row r="119" ht="15" customHeight="1" s="685"/>
    <row r="120" ht="15" customHeight="1" s="685"/>
    <row r="121" ht="15" customHeight="1" s="685"/>
    <row r="122" ht="15" customHeight="1" s="685"/>
    <row r="123" ht="15" customHeight="1" s="685"/>
    <row r="124" ht="15" customHeight="1" s="685"/>
    <row r="125" ht="15" customHeight="1" s="685"/>
    <row r="126" ht="15" customHeight="1" s="685"/>
    <row r="127" ht="15" customHeight="1" s="685"/>
  </sheetData>
  <mergeCells count="7">
    <mergeCell ref="C31:F31"/>
    <mergeCell ref="C32:D32"/>
    <mergeCell ref="E32:F32"/>
    <mergeCell ref="B2:F2"/>
    <mergeCell ref="B3:F3"/>
    <mergeCell ref="C30:F30"/>
    <mergeCell ref="B1:F1"/>
  </mergeCells>
  <pageMargins left="0.25" right="0.25" top="0.25" bottom="0.35" header="0.3" footer="0.3"/>
  <pageSetup orientation="landscape" scale="74"/>
  <headerFooter>
    <oddHeader/>
    <oddFooter>&amp;L&amp;G&amp;RPage &amp;P of &amp;N</oddFooter>
    <evenHeader/>
    <evenFooter/>
    <firstHeader/>
    <firstFooter/>
  </headerFooter>
</worksheet>
</file>

<file path=xl/worksheets/sheet14.xml><?xml version="1.0" encoding="utf-8"?>
<worksheet xmlns="http://schemas.openxmlformats.org/spreadsheetml/2006/main">
  <sheetPr>
    <tabColor rgb="FF00B0F0"/>
    <outlinePr summaryBelow="1" summaryRight="1"/>
    <pageSetUpPr fitToPage="1"/>
  </sheetPr>
  <dimension ref="A1:S48"/>
  <sheetViews>
    <sheetView workbookViewId="0">
      <selection activeCell="A3" sqref="A3:F3"/>
    </sheetView>
  </sheetViews>
  <sheetFormatPr baseColWidth="8" defaultColWidth="9.140625" defaultRowHeight="12.75"/>
  <cols>
    <col width="3" customWidth="1" style="729" min="1" max="1"/>
    <col width="13.28515625" customWidth="1" style="729" min="2" max="3"/>
    <col width="16.140625" bestFit="1" customWidth="1" style="729" min="4" max="4"/>
    <col width="7.28515625" bestFit="1" customWidth="1" style="729" min="5" max="5"/>
    <col width="3.140625" customWidth="1" style="729" min="6" max="6"/>
    <col width="2.7109375" customWidth="1" style="729" min="7" max="7"/>
    <col width="12.7109375" customWidth="1" style="729" min="8" max="8"/>
    <col width="11.85546875" customWidth="1" style="509" min="9" max="9"/>
    <col width="9.140625" customWidth="1" style="509" min="10" max="10"/>
    <col width="16" customWidth="1" style="509" min="11" max="11"/>
    <col width="9.140625" customWidth="1" style="509" min="12" max="12"/>
    <col width="9.140625" customWidth="1" style="729" min="13" max="13"/>
    <col width="18" customWidth="1" style="729" min="14" max="14"/>
    <col width="12.5703125" customWidth="1" style="729" min="15" max="15"/>
    <col width="14.85546875" customWidth="1" style="729" min="16" max="16"/>
    <col width="11.42578125" customWidth="1" style="729" min="17" max="17"/>
    <col width="17.5703125" customWidth="1" style="729" min="18" max="18"/>
    <col width="12.140625" customWidth="1" style="729" min="19" max="19"/>
    <col width="6.7109375" customWidth="1" style="729" min="20" max="20"/>
    <col width="10.140625" customWidth="1" style="729" min="21" max="21"/>
    <col width="7.5703125" customWidth="1" style="729" min="22" max="22"/>
    <col width="10.140625" customWidth="1" style="729" min="23" max="23"/>
    <col width="7.5703125" customWidth="1" style="729" min="24" max="24"/>
    <col width="10.140625" customWidth="1" style="729" min="25" max="25"/>
    <col width="7.5703125" customWidth="1" style="729" min="26" max="26"/>
    <col width="9.140625" customWidth="1" style="729" min="27" max="33"/>
    <col width="9.140625" customWidth="1" style="729" min="34" max="16384"/>
  </cols>
  <sheetData>
    <row r="1" ht="15.75" customHeight="1" s="685">
      <c r="A1" s="850" t="inlineStr">
        <is>
          <t>Environmental Factor Ranges</t>
        </is>
      </c>
      <c r="G1" s="851" t="n"/>
      <c r="H1" s="851" t="n"/>
      <c r="I1" s="852" t="n"/>
      <c r="J1" s="852" t="n"/>
      <c r="K1" s="852" t="n"/>
      <c r="L1" s="852" t="n"/>
      <c r="M1" s="851" t="n"/>
      <c r="N1" s="851" t="n"/>
      <c r="O1" s="851" t="n"/>
      <c r="P1" s="851" t="n"/>
      <c r="Q1" s="851" t="n"/>
      <c r="R1" s="851" t="n"/>
      <c r="S1" s="851" t="n"/>
    </row>
    <row r="2" ht="15" customHeight="1" s="685">
      <c r="A2" s="853">
        <f>"Quarter Ended "&amp;TEXT('Cover-Vizo'!A11,"m/d/yyyy")</f>
        <v/>
      </c>
      <c r="G2" s="854" t="n"/>
      <c r="H2" s="854" t="n"/>
      <c r="I2" s="855" t="n"/>
      <c r="J2" s="855" t="n"/>
      <c r="K2" s="855" t="n"/>
      <c r="L2" s="855" t="n"/>
      <c r="M2" s="854" t="n"/>
      <c r="N2" s="854" t="n"/>
      <c r="O2" s="854" t="n"/>
      <c r="P2" s="854" t="n"/>
      <c r="Q2" s="854" t="n"/>
      <c r="R2" s="854" t="n"/>
      <c r="S2" s="854" t="n"/>
    </row>
    <row r="3" ht="15" customHeight="1" s="685">
      <c r="A3" s="746" t="n"/>
      <c r="M3" s="512" t="n"/>
    </row>
    <row r="4" ht="15" customHeight="1" s="685">
      <c r="A4" s="747" t="inlineStr">
        <is>
          <t>Delinquency</t>
        </is>
      </c>
      <c r="D4" s="745" t="inlineStr">
        <is>
          <t>Economic Stress</t>
        </is>
      </c>
      <c r="I4" s="509" t="inlineStr">
        <is>
          <t>Delinquency</t>
        </is>
      </c>
      <c r="K4" s="509" t="inlineStr">
        <is>
          <t>Economic stress</t>
        </is>
      </c>
    </row>
    <row r="5">
      <c r="A5" s="620" t="n"/>
      <c r="B5" s="621" t="inlineStr">
        <is>
          <t xml:space="preserve"> Range</t>
        </is>
      </c>
      <c r="C5" s="621" t="inlineStr">
        <is>
          <t>Score</t>
        </is>
      </c>
      <c r="D5" s="745" t="inlineStr">
        <is>
          <t xml:space="preserve"> Range</t>
        </is>
      </c>
      <c r="E5" s="622" t="inlineStr">
        <is>
          <t>Score</t>
        </is>
      </c>
      <c r="F5" s="622" t="n"/>
      <c r="I5" s="509" t="inlineStr">
        <is>
          <t>Minimums</t>
        </is>
      </c>
      <c r="J5" s="509" t="inlineStr">
        <is>
          <t>Score</t>
        </is>
      </c>
      <c r="K5" s="509" t="inlineStr">
        <is>
          <t>Minimums</t>
        </is>
      </c>
      <c r="L5" s="509" t="inlineStr">
        <is>
          <t>Score</t>
        </is>
      </c>
    </row>
    <row r="6">
      <c r="A6" s="620" t="n"/>
      <c r="B6" s="623">
        <f>IF(I6=0,"Not Risk Rated","&gt;"&amp;TEXT(I6,"#.00%"))</f>
        <v/>
      </c>
      <c r="C6" s="624">
        <f>J6</f>
        <v/>
      </c>
      <c r="D6" s="625">
        <f>"&gt;"&amp;TEXT(K6,"#.00%")</f>
        <v/>
      </c>
      <c r="E6" s="626">
        <f>L6</f>
        <v/>
      </c>
      <c r="F6" s="626" t="n"/>
      <c r="H6" s="627" t="n"/>
      <c r="I6" s="628">
        <f>'Environmental Factor Ranges'!J9</f>
        <v/>
      </c>
      <c r="J6" s="628">
        <f>'Environmental Factor Ranges'!K9</f>
        <v/>
      </c>
      <c r="K6" s="629">
        <f>'Environmental Factor Ranges'!L9</f>
        <v/>
      </c>
      <c r="L6" s="629">
        <f>'Environmental Factor Ranges'!M9</f>
        <v/>
      </c>
    </row>
    <row r="7">
      <c r="A7" s="620" t="n"/>
      <c r="B7" s="623">
        <f>TEXT(I7,"#.00%")&amp;" to "&amp;TEXT(I6-0.0001,"#.00%")</f>
        <v/>
      </c>
      <c r="C7" s="624">
        <f>J7</f>
        <v/>
      </c>
      <c r="D7" s="625">
        <f>TEXT(K7,"#.00%")&amp;" to "&amp;TEXT(K6-0.0001,"#.00%")</f>
        <v/>
      </c>
      <c r="E7" s="626">
        <f>L7</f>
        <v/>
      </c>
      <c r="F7" s="626" t="n"/>
      <c r="H7" s="630" t="n"/>
      <c r="I7" s="628">
        <f>'Environmental Factor Ranges'!J10</f>
        <v/>
      </c>
      <c r="J7" s="628">
        <f>'Environmental Factor Ranges'!K10</f>
        <v/>
      </c>
      <c r="K7" s="629">
        <f>'Environmental Factor Ranges'!L10</f>
        <v/>
      </c>
      <c r="L7" s="629">
        <f>'Environmental Factor Ranges'!M10</f>
        <v/>
      </c>
    </row>
    <row r="8">
      <c r="A8" s="620" t="n"/>
      <c r="B8" s="623">
        <f>TEXT(I8,"#.00%")&amp;" to "&amp;TEXT(I7-0.0001,"#.00%")</f>
        <v/>
      </c>
      <c r="C8" s="624">
        <f>J8</f>
        <v/>
      </c>
      <c r="D8" s="631">
        <f>TEXT(K8,"#.00%")&amp;" to "&amp;TEXT(K7-0.0001,"#.00%")</f>
        <v/>
      </c>
      <c r="E8" s="626">
        <f>L8</f>
        <v/>
      </c>
      <c r="F8" s="626" t="n"/>
      <c r="H8" s="630" t="n"/>
      <c r="I8" s="628">
        <f>'Environmental Factor Ranges'!J11</f>
        <v/>
      </c>
      <c r="J8" s="628">
        <f>'Environmental Factor Ranges'!K11</f>
        <v/>
      </c>
      <c r="K8" s="629">
        <f>'Environmental Factor Ranges'!L11</f>
        <v/>
      </c>
      <c r="L8" s="629">
        <f>'Environmental Factor Ranges'!M11</f>
        <v/>
      </c>
    </row>
    <row r="9">
      <c r="A9" s="620" t="n"/>
      <c r="B9" s="623">
        <f>TEXT(I9,"#.00%")&amp;" to "&amp;TEXT(I8-0.0001,"#.00%")</f>
        <v/>
      </c>
      <c r="C9" s="624">
        <f>J9</f>
        <v/>
      </c>
      <c r="D9" s="631">
        <f>TEXT(K9,"#.00%")&amp;" to "&amp;TEXT(K8-0.0001,"#.00%")</f>
        <v/>
      </c>
      <c r="E9" s="626">
        <f>L9</f>
        <v/>
      </c>
      <c r="F9" s="626" t="n"/>
      <c r="I9" s="628">
        <f>'Environmental Factor Ranges'!J12</f>
        <v/>
      </c>
      <c r="J9" s="628">
        <f>'Environmental Factor Ranges'!K12</f>
        <v/>
      </c>
      <c r="K9" s="629">
        <f>'Environmental Factor Ranges'!L12</f>
        <v/>
      </c>
      <c r="L9" s="629">
        <f>'Environmental Factor Ranges'!M12</f>
        <v/>
      </c>
    </row>
    <row r="10">
      <c r="A10" s="620" t="n"/>
      <c r="B10" s="623">
        <f>TEXT(I10,"#.00%")&amp;" to "&amp;TEXT(I9-0.0001,"#.00%")</f>
        <v/>
      </c>
      <c r="C10" s="624">
        <f>J10</f>
        <v/>
      </c>
      <c r="D10" s="631">
        <f>TEXT(K10,"#.00%")&amp;" to "&amp;TEXT(K9-0.0001,"#.00%")</f>
        <v/>
      </c>
      <c r="E10" s="626">
        <f>L10</f>
        <v/>
      </c>
      <c r="F10" s="626" t="n"/>
      <c r="I10" s="628">
        <f>'Environmental Factor Ranges'!J13</f>
        <v/>
      </c>
      <c r="J10" s="628">
        <f>'Environmental Factor Ranges'!K13</f>
        <v/>
      </c>
      <c r="K10" s="629">
        <f>'Environmental Factor Ranges'!L13</f>
        <v/>
      </c>
      <c r="L10" s="629">
        <f>'Environmental Factor Ranges'!M13</f>
        <v/>
      </c>
    </row>
    <row r="11">
      <c r="A11" s="620" t="n"/>
      <c r="B11" s="623">
        <f>TEXT(I11,"#.00%")&amp;" to "&amp;TEXT(I10-0.0001,"#.00%")</f>
        <v/>
      </c>
      <c r="C11" s="624">
        <f>J11</f>
        <v/>
      </c>
      <c r="D11" s="631">
        <f>TEXT(K11,"#.00%")&amp;" to "&amp;TEXT(K10-0.0001,"#.00%")</f>
        <v/>
      </c>
      <c r="E11" s="626">
        <f>L11</f>
        <v/>
      </c>
      <c r="F11" s="626" t="n"/>
      <c r="I11" s="628">
        <f>'Environmental Factor Ranges'!J14</f>
        <v/>
      </c>
      <c r="J11" s="628">
        <f>'Environmental Factor Ranges'!K14</f>
        <v/>
      </c>
      <c r="K11" s="629">
        <f>'Environmental Factor Ranges'!L14</f>
        <v/>
      </c>
      <c r="L11" s="629">
        <f>'Environmental Factor Ranges'!M14</f>
        <v/>
      </c>
    </row>
    <row r="12">
      <c r="A12" s="620" t="n"/>
      <c r="B12" s="623">
        <f>TEXT(I12,"#.00%")&amp;" to "&amp;TEXT(I11-0.0001,"#.00%")</f>
        <v/>
      </c>
      <c r="C12" s="624">
        <f>J12</f>
        <v/>
      </c>
      <c r="D12" s="631">
        <f>TEXT(K12,"#.00%")&amp;" to "&amp;TEXT(K11-0.0001,"#.00%")</f>
        <v/>
      </c>
      <c r="E12" s="626">
        <f>L12</f>
        <v/>
      </c>
      <c r="F12" s="626" t="n"/>
      <c r="I12" s="628">
        <f>'Environmental Factor Ranges'!J15</f>
        <v/>
      </c>
      <c r="J12" s="628">
        <f>'Environmental Factor Ranges'!K15</f>
        <v/>
      </c>
      <c r="K12" s="629">
        <f>'Environmental Factor Ranges'!L15</f>
        <v/>
      </c>
      <c r="L12" s="629">
        <f>'Environmental Factor Ranges'!M15</f>
        <v/>
      </c>
    </row>
    <row r="13">
      <c r="A13" s="620" t="n"/>
      <c r="B13" s="623">
        <f>TEXT(I13,"#0.00%")&amp;" to "&amp;TEXT(I12-0.0001,"#0.00%")</f>
        <v/>
      </c>
      <c r="C13" s="624">
        <f>J13</f>
        <v/>
      </c>
      <c r="D13" s="631">
        <f>TEXT(K13,"#.00%")&amp;" to "&amp;TEXT(K12-0.0001,"#.00%")</f>
        <v/>
      </c>
      <c r="E13" s="626">
        <f>L13</f>
        <v/>
      </c>
      <c r="F13" s="626" t="n"/>
      <c r="I13" s="628">
        <f>'Environmental Factor Ranges'!J16</f>
        <v/>
      </c>
      <c r="J13" s="628">
        <f>'Environmental Factor Ranges'!K16</f>
        <v/>
      </c>
      <c r="K13" s="629">
        <f>'Environmental Factor Ranges'!L16</f>
        <v/>
      </c>
      <c r="L13" s="629">
        <f>'Environmental Factor Ranges'!M16</f>
        <v/>
      </c>
    </row>
    <row r="14">
      <c r="A14" s="620" t="n"/>
      <c r="B14" s="623">
        <f>TEXT(I14,"#0.00%")&amp;" to "&amp;TEXT(I13-0.0001,"#0.00%")</f>
        <v/>
      </c>
      <c r="C14" s="624">
        <f>J14</f>
        <v/>
      </c>
      <c r="D14" s="631">
        <f>TEXT(K14,"#.00%")&amp;" to "&amp;TEXT(K13-0.0001,"#.00%")</f>
        <v/>
      </c>
      <c r="E14" s="626">
        <f>L14</f>
        <v/>
      </c>
      <c r="F14" s="626" t="n"/>
      <c r="I14" s="628">
        <f>'Environmental Factor Ranges'!J17</f>
        <v/>
      </c>
      <c r="J14" s="628">
        <f>'Environmental Factor Ranges'!K17</f>
        <v/>
      </c>
      <c r="K14" s="629">
        <f>'Environmental Factor Ranges'!L17</f>
        <v/>
      </c>
      <c r="L14" s="629">
        <f>'Environmental Factor Ranges'!M17</f>
        <v/>
      </c>
    </row>
    <row r="15">
      <c r="A15" s="620" t="n"/>
      <c r="B15" s="623">
        <f>TEXT(I15,"#0.00%")&amp;" to "&amp;TEXT(I14-0.0001,"#0.00%")</f>
        <v/>
      </c>
      <c r="C15" s="624">
        <f>J15</f>
        <v/>
      </c>
      <c r="D15" s="631">
        <f>TEXT(K15,"#.00%")&amp;" to "&amp;TEXT(K14-0.0001,"#.00%")</f>
        <v/>
      </c>
      <c r="E15" s="626">
        <f>L15</f>
        <v/>
      </c>
      <c r="F15" s="626" t="n"/>
      <c r="I15" s="628">
        <f>'Environmental Factor Ranges'!J18</f>
        <v/>
      </c>
      <c r="J15" s="628">
        <f>'Environmental Factor Ranges'!K18</f>
        <v/>
      </c>
      <c r="K15" s="629">
        <f>'Environmental Factor Ranges'!L18</f>
        <v/>
      </c>
      <c r="L15" s="629">
        <f>'Environmental Factor Ranges'!M18</f>
        <v/>
      </c>
    </row>
    <row r="16">
      <c r="A16" s="620" t="n"/>
      <c r="B16" s="623">
        <f>TEXT(I16,"#.00%")&amp;" to "&amp;TEXT(I15-0.0001,"#.00%")</f>
        <v/>
      </c>
      <c r="C16" s="624">
        <f>J16</f>
        <v/>
      </c>
      <c r="D16" s="631">
        <f>TEXT(K16,"#.00%")&amp;" to "&amp;TEXT(K15-0.0001,"#.00%")</f>
        <v/>
      </c>
      <c r="E16" s="626">
        <f>L16</f>
        <v/>
      </c>
      <c r="F16" s="626" t="n"/>
      <c r="I16" s="628">
        <f>'Environmental Factor Ranges'!J19</f>
        <v/>
      </c>
      <c r="J16" s="628">
        <f>'Environmental Factor Ranges'!K19</f>
        <v/>
      </c>
      <c r="K16" s="629">
        <f>'Environmental Factor Ranges'!L19</f>
        <v/>
      </c>
      <c r="L16" s="629">
        <f>'Environmental Factor Ranges'!M19</f>
        <v/>
      </c>
    </row>
    <row r="17">
      <c r="A17" s="620" t="n"/>
      <c r="B17" s="623">
        <f>TEXT(I17,"#.00%")&amp;" to "&amp;TEXT(I16-0.0001,"#.00%")</f>
        <v/>
      </c>
      <c r="C17" s="624">
        <f>J17</f>
        <v/>
      </c>
      <c r="D17" s="631">
        <f>TEXT(K17,"#.00%")&amp;" to "&amp;TEXT(K16-0.0001,"#.00%")</f>
        <v/>
      </c>
      <c r="E17" s="626">
        <f>L17</f>
        <v/>
      </c>
      <c r="F17" s="626" t="n"/>
      <c r="I17" s="628">
        <f>'Environmental Factor Ranges'!J20</f>
        <v/>
      </c>
      <c r="J17" s="628">
        <f>'Environmental Factor Ranges'!K20</f>
        <v/>
      </c>
      <c r="K17" s="629">
        <f>'Environmental Factor Ranges'!L20</f>
        <v/>
      </c>
      <c r="L17" s="629">
        <f>'Environmental Factor Ranges'!M20</f>
        <v/>
      </c>
    </row>
    <row r="18">
      <c r="A18" s="620" t="n"/>
      <c r="B18" s="623">
        <f>TEXT(I18,"#.00%")&amp;" to "&amp;TEXT(I17-0.0001,"#.00%")</f>
        <v/>
      </c>
      <c r="C18" s="624">
        <f>J18</f>
        <v/>
      </c>
      <c r="D18" s="631">
        <f>TEXT(K18,"#.00%")&amp;" to "&amp;TEXT(K17-0.0001,"#.00%")</f>
        <v/>
      </c>
      <c r="E18" s="626">
        <f>L18</f>
        <v/>
      </c>
      <c r="F18" s="626" t="n"/>
      <c r="I18" s="628">
        <f>'Environmental Factor Ranges'!J21</f>
        <v/>
      </c>
      <c r="J18" s="628">
        <f>'Environmental Factor Ranges'!K21</f>
        <v/>
      </c>
      <c r="K18" s="629">
        <f>'Environmental Factor Ranges'!L21</f>
        <v/>
      </c>
      <c r="L18" s="629">
        <f>'Environmental Factor Ranges'!M21</f>
        <v/>
      </c>
    </row>
    <row r="19">
      <c r="A19" s="620" t="n"/>
      <c r="B19" s="623">
        <f>TEXT(I19,"#.00%")&amp;" to "&amp;TEXT(I18-0.0001,"#.00%")</f>
        <v/>
      </c>
      <c r="C19" s="624">
        <f>J19</f>
        <v/>
      </c>
      <c r="D19" s="631">
        <f>TEXT(K19,"#.00%")&amp;" to "&amp;TEXT(K18-0.0001,"#.00%")</f>
        <v/>
      </c>
      <c r="E19" s="626">
        <f>L19</f>
        <v/>
      </c>
      <c r="F19" s="626" t="n"/>
      <c r="I19" s="628">
        <f>'Environmental Factor Ranges'!J22</f>
        <v/>
      </c>
      <c r="J19" s="628">
        <f>'Environmental Factor Ranges'!K22</f>
        <v/>
      </c>
      <c r="K19" s="629">
        <f>'Environmental Factor Ranges'!L22</f>
        <v/>
      </c>
      <c r="L19" s="629">
        <f>'Environmental Factor Ranges'!M22</f>
        <v/>
      </c>
    </row>
    <row r="20">
      <c r="A20" s="620" t="n"/>
      <c r="B20" s="623">
        <f>TEXT(I20,"#.00%")&amp;" to "&amp;TEXT(I19-0.0001,"#.00%")</f>
        <v/>
      </c>
      <c r="C20" s="624">
        <f>J20</f>
        <v/>
      </c>
      <c r="D20" s="631" t="n"/>
      <c r="E20" s="626" t="n"/>
      <c r="F20" s="626" t="n"/>
      <c r="I20" s="628">
        <f>'Environmental Factor Ranges'!J23</f>
        <v/>
      </c>
      <c r="J20" s="628">
        <f>'Environmental Factor Ranges'!K23</f>
        <v/>
      </c>
      <c r="K20" s="628" t="n"/>
      <c r="L20" s="629" t="n"/>
    </row>
    <row r="21">
      <c r="A21" s="620" t="n"/>
      <c r="B21" s="623">
        <f>TEXT(I21,"#.00%")&amp;" to "&amp;TEXT(I20-0.0001,"#.00%")</f>
        <v/>
      </c>
      <c r="C21" s="624">
        <f>J21</f>
        <v/>
      </c>
      <c r="D21" s="631" t="n"/>
      <c r="E21" s="626" t="n"/>
      <c r="F21" s="626" t="n"/>
      <c r="I21" s="628">
        <f>'Environmental Factor Ranges'!J24</f>
        <v/>
      </c>
      <c r="J21" s="628">
        <f>'Environmental Factor Ranges'!K24</f>
        <v/>
      </c>
      <c r="K21" s="628" t="n"/>
      <c r="L21" s="628" t="n"/>
    </row>
    <row r="22">
      <c r="A22" s="620" t="n"/>
      <c r="B22" s="623">
        <f>IF(I22=0,"Not Risk Rated","&lt;"&amp;TEXT(I22,"#.00%"))</f>
        <v/>
      </c>
      <c r="C22" s="624">
        <f>J22</f>
        <v/>
      </c>
      <c r="D22" s="631" t="n"/>
      <c r="E22" s="626" t="n"/>
      <c r="F22" s="626" t="n"/>
      <c r="I22" s="628">
        <f>'Environmental Factor Ranges'!J25</f>
        <v/>
      </c>
      <c r="J22" s="628">
        <f>'Environmental Factor Ranges'!K25</f>
        <v/>
      </c>
      <c r="K22" s="628" t="n"/>
      <c r="L22" s="628" t="n"/>
    </row>
    <row r="23">
      <c r="B23" s="738" t="n"/>
      <c r="C23" s="632" t="n"/>
      <c r="D23" s="633" t="n"/>
      <c r="E23" s="632" t="n"/>
      <c r="F23" s="632" t="n"/>
      <c r="I23" s="628" t="n"/>
      <c r="J23" s="628" t="n"/>
      <c r="K23" s="628" t="n"/>
      <c r="L23" s="628" t="n"/>
    </row>
    <row r="24">
      <c r="B24" s="738" t="n"/>
      <c r="C24" s="632" t="n"/>
      <c r="D24" s="633" t="n"/>
      <c r="E24" s="632" t="n"/>
      <c r="F24" s="632" t="n"/>
      <c r="I24" s="628" t="n"/>
      <c r="J24" s="628" t="n"/>
      <c r="K24" s="628" t="n"/>
      <c r="L24" s="628" t="n"/>
    </row>
    <row r="26">
      <c r="B26" s="532" t="n"/>
      <c r="C26" s="532" t="n"/>
      <c r="D26" s="532" t="n"/>
      <c r="E26" s="532" t="n"/>
    </row>
    <row r="27" hidden="1" ht="7.15" customHeight="1" s="685"/>
    <row r="28" ht="57.6" customHeight="1" s="685">
      <c r="B28" s="530" t="n"/>
      <c r="C28" s="530" t="n"/>
      <c r="D28" s="530" t="n"/>
      <c r="E28" s="530" t="n"/>
    </row>
    <row r="29" hidden="1" ht="7.15" customHeight="1" s="685"/>
    <row r="30" ht="43.9" customHeight="1" s="685">
      <c r="B30" s="530" t="n"/>
      <c r="C30" s="530" t="n"/>
      <c r="D30" s="530" t="n"/>
      <c r="E30" s="530" t="n"/>
    </row>
    <row r="31" hidden="1" ht="13.15" customHeight="1" s="685"/>
    <row r="32" ht="85.90000000000001" customHeight="1" s="685">
      <c r="B32" s="530" t="n"/>
      <c r="C32" s="530" t="n"/>
      <c r="D32" s="530" t="n"/>
      <c r="E32" s="530" t="n"/>
    </row>
    <row r="33" hidden="1" ht="13.15" customHeight="1" s="685"/>
    <row r="34" ht="7.15" customHeight="1" s="685"/>
    <row r="35">
      <c r="B35" s="610" t="n"/>
      <c r="C35" s="610" t="n"/>
      <c r="D35" s="610" t="n"/>
      <c r="E35" s="610" t="n"/>
    </row>
    <row r="36" hidden="1" ht="13.15" customHeight="1" s="685"/>
    <row r="37" ht="58.9" customHeight="1" s="685">
      <c r="B37" s="530" t="n"/>
      <c r="C37" s="530" t="n"/>
      <c r="D37" s="530" t="n"/>
      <c r="E37" s="530" t="n"/>
    </row>
    <row r="38" hidden="1" ht="13.15" customHeight="1" s="685"/>
    <row r="39" ht="6.6" customHeight="1" s="685"/>
    <row r="40">
      <c r="B40" s="610" t="n"/>
      <c r="C40" s="610" t="n"/>
      <c r="D40" s="610" t="n"/>
      <c r="E40" s="610" t="n"/>
    </row>
    <row r="41" hidden="1" ht="13.15" customHeight="1" s="685"/>
    <row r="42" ht="44.45" customHeight="1" s="685">
      <c r="B42" s="530" t="n"/>
      <c r="C42" s="530" t="n"/>
      <c r="D42" s="530" t="n"/>
      <c r="E42" s="530" t="n"/>
    </row>
    <row r="48">
      <c r="L48" s="507" t="n"/>
    </row>
  </sheetData>
  <mergeCells count="5">
    <mergeCell ref="A2:F2"/>
    <mergeCell ref="A1:F1"/>
    <mergeCell ref="D4:F4"/>
    <mergeCell ref="A3:F3"/>
    <mergeCell ref="A4:C4"/>
  </mergeCells>
  <pageMargins left="0.25" right="0.25" top="0.25" bottom="0.25" header="0.3" footer="0.3"/>
  <pageSetup orientation="portrait" fitToHeight="0"/>
  <headerFooter>
    <oddHeader/>
    <oddFooter>&amp;L&amp;G</oddFooter>
    <evenHeader/>
    <evenFooter/>
    <firstHeader/>
    <firstFooter/>
  </headerFooter>
</worksheet>
</file>

<file path=xl/worksheets/sheet1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headerFooter>
    <oddHeader/>
    <oddFooter>&amp;RPage &amp;P of &amp;N</oddFooter>
    <evenHeader/>
    <evenFooter/>
    <firstHeader/>
    <firstFooter/>
  </headerFooter>
</worksheet>
</file>

<file path=xl/worksheets/sheet16.xml><?xml version="1.0" encoding="utf-8"?>
<worksheet xmlns="http://schemas.openxmlformats.org/spreadsheetml/2006/main">
  <sheetPr>
    <tabColor rgb="FF00B0F0"/>
    <outlinePr summaryBelow="1" summaryRight="1"/>
    <pageSetUpPr fitToPage="1"/>
  </sheetPr>
  <dimension ref="A1:AI125"/>
  <sheetViews>
    <sheetView view="pageBreakPreview" zoomScale="60" zoomScaleNormal="100" workbookViewId="0">
      <selection activeCell="E50" sqref="E50"/>
    </sheetView>
  </sheetViews>
  <sheetFormatPr baseColWidth="8" defaultRowHeight="15"/>
  <cols>
    <col width="43" customWidth="1" style="4" min="1" max="1"/>
    <col hidden="1" width="19" customWidth="1" style="194" min="2" max="3"/>
    <col width="22.42578125" customWidth="1" style="685" min="4" max="31"/>
    <col width="22.42578125" customWidth="1" style="4" min="32" max="33"/>
    <col width="22.42578125" customWidth="1" style="821" min="34" max="34"/>
    <col width="18.28515625" customWidth="1" style="685" min="35" max="35"/>
    <col width="16.28515625" customWidth="1" style="685" min="36" max="36"/>
  </cols>
  <sheetData>
    <row r="1">
      <c r="A1" s="4">
        <f>'Calc tab'!A1</f>
        <v/>
      </c>
      <c r="B1" s="194">
        <f>'Calc tab'!B1</f>
        <v/>
      </c>
      <c r="C1" s="194">
        <f>'Calc tab'!C1</f>
        <v/>
      </c>
      <c r="D1">
        <f>'Calc tab'!D1</f>
        <v/>
      </c>
      <c r="E1">
        <f>'Calc tab'!E1</f>
        <v/>
      </c>
      <c r="F1">
        <f>'Calc tab'!F1</f>
        <v/>
      </c>
      <c r="G1">
        <f>'Calc tab'!G1</f>
        <v/>
      </c>
      <c r="H1">
        <f>'Calc tab'!H1</f>
        <v/>
      </c>
      <c r="I1">
        <f>'Calc tab'!I1</f>
        <v/>
      </c>
      <c r="J1">
        <f>'Calc tab'!J1</f>
        <v/>
      </c>
      <c r="K1">
        <f>'Calc tab'!K1</f>
        <v/>
      </c>
      <c r="L1">
        <f>'Calc tab'!L1</f>
        <v/>
      </c>
      <c r="M1">
        <f>'Calc tab'!M1</f>
        <v/>
      </c>
      <c r="N1">
        <f>'Calc tab'!N1</f>
        <v/>
      </c>
      <c r="O1">
        <f>'Calc tab'!O1</f>
        <v/>
      </c>
      <c r="P1">
        <f>'Calc tab'!P1</f>
        <v/>
      </c>
      <c r="Q1">
        <f>'Calc tab'!Q1</f>
        <v/>
      </c>
      <c r="R1">
        <f>'Calc tab'!R1</f>
        <v/>
      </c>
      <c r="S1">
        <f>'Calc tab'!S1</f>
        <v/>
      </c>
      <c r="T1">
        <f>'Calc tab'!T1</f>
        <v/>
      </c>
      <c r="U1">
        <f>'Calc tab'!U1</f>
        <v/>
      </c>
      <c r="V1">
        <f>'Calc tab'!V1</f>
        <v/>
      </c>
      <c r="W1">
        <f>'Calc tab'!W1</f>
        <v/>
      </c>
      <c r="X1">
        <f>'Calc tab'!X1</f>
        <v/>
      </c>
      <c r="Y1">
        <f>'Calc tab'!Y1</f>
        <v/>
      </c>
      <c r="Z1">
        <f>'Calc tab'!Z1</f>
        <v/>
      </c>
      <c r="AA1">
        <f>'Calc tab'!AA1</f>
        <v/>
      </c>
      <c r="AB1">
        <f>'Calc tab'!AB1</f>
        <v/>
      </c>
      <c r="AC1">
        <f>'Calc tab'!AC1</f>
        <v/>
      </c>
      <c r="AD1">
        <f>'Calc tab'!AD1</f>
        <v/>
      </c>
      <c r="AE1">
        <f>'Calc tab'!AE1</f>
        <v/>
      </c>
    </row>
    <row r="2">
      <c r="A2" s="4">
        <f>'Calc tab'!A2</f>
        <v/>
      </c>
      <c r="B2" s="27">
        <f>'Calc tab'!B2</f>
        <v/>
      </c>
      <c r="C2" s="27">
        <f>'Calc tab'!C2</f>
        <v/>
      </c>
      <c r="D2" s="3">
        <f>'Calc tab'!D2</f>
        <v/>
      </c>
      <c r="E2" s="3">
        <f>'Calc tab'!E2</f>
        <v/>
      </c>
      <c r="F2" s="3">
        <f>'Calc tab'!F2</f>
        <v/>
      </c>
      <c r="G2" s="3">
        <f>'Calc tab'!G2</f>
        <v/>
      </c>
      <c r="H2" s="3">
        <f>'Calc tab'!H2</f>
        <v/>
      </c>
      <c r="I2" s="3">
        <f>'Calc tab'!I2</f>
        <v/>
      </c>
      <c r="J2" s="3">
        <f>'Calc tab'!J2</f>
        <v/>
      </c>
      <c r="K2" s="3">
        <f>'Calc tab'!K2</f>
        <v/>
      </c>
      <c r="L2" s="3">
        <f>'Calc tab'!L2</f>
        <v/>
      </c>
      <c r="M2" s="3">
        <f>'Calc tab'!M2</f>
        <v/>
      </c>
      <c r="N2" s="3">
        <f>'Calc tab'!N2</f>
        <v/>
      </c>
      <c r="O2" s="3">
        <f>'Calc tab'!O2</f>
        <v/>
      </c>
      <c r="P2" s="3">
        <f>'Calc tab'!P2</f>
        <v/>
      </c>
      <c r="Q2" s="3">
        <f>'Calc tab'!Q2</f>
        <v/>
      </c>
      <c r="R2" s="3">
        <f>'Calc tab'!R2</f>
        <v/>
      </c>
      <c r="S2" s="3">
        <f>'Calc tab'!S2</f>
        <v/>
      </c>
      <c r="T2" s="3">
        <f>'Calc tab'!T2</f>
        <v/>
      </c>
      <c r="U2" s="3">
        <f>'Calc tab'!U2</f>
        <v/>
      </c>
      <c r="V2" s="3">
        <f>'Calc tab'!V2</f>
        <v/>
      </c>
      <c r="W2" s="3">
        <f>'Calc tab'!W2</f>
        <v/>
      </c>
      <c r="X2" s="3">
        <f>'Calc tab'!X2</f>
        <v/>
      </c>
      <c r="Y2" s="3">
        <f>'Calc tab'!Y2</f>
        <v/>
      </c>
      <c r="Z2" s="3">
        <f>'Calc tab'!Z2</f>
        <v/>
      </c>
      <c r="AA2" s="3">
        <f>'Calc tab'!AA2</f>
        <v/>
      </c>
      <c r="AB2" s="3">
        <f>'Calc tab'!AB2</f>
        <v/>
      </c>
      <c r="AC2" s="3">
        <f>'Calc tab'!AC2</f>
        <v/>
      </c>
      <c r="AD2" s="3">
        <f>'Calc tab'!AD2</f>
        <v/>
      </c>
      <c r="AE2" s="3">
        <f>'Calc tab'!AE2</f>
        <v/>
      </c>
    </row>
    <row r="3">
      <c r="A3" s="4">
        <f>'Calc tab'!A3</f>
        <v/>
      </c>
      <c r="B3" s="27">
        <f>'Calc tab'!B3</f>
        <v/>
      </c>
      <c r="C3" s="27">
        <f>'Calc tab'!C3</f>
        <v/>
      </c>
      <c r="D3" s="3">
        <f>'Calc tab'!D3</f>
        <v/>
      </c>
      <c r="E3" s="3">
        <f>'Calc tab'!E3</f>
        <v/>
      </c>
      <c r="F3" s="3">
        <f>'Calc tab'!F3</f>
        <v/>
      </c>
      <c r="G3" s="3">
        <f>'Calc tab'!G3</f>
        <v/>
      </c>
      <c r="H3" s="3">
        <f>'Calc tab'!H3</f>
        <v/>
      </c>
      <c r="I3" s="3">
        <f>'Calc tab'!I3</f>
        <v/>
      </c>
      <c r="J3" s="3">
        <f>'Calc tab'!J3</f>
        <v/>
      </c>
      <c r="K3" s="3">
        <f>'Calc tab'!K3</f>
        <v/>
      </c>
      <c r="L3" s="3">
        <f>'Calc tab'!L3</f>
        <v/>
      </c>
      <c r="M3" s="3">
        <f>'Calc tab'!M3</f>
        <v/>
      </c>
      <c r="N3" s="3">
        <f>'Calc tab'!N3</f>
        <v/>
      </c>
      <c r="O3" s="3">
        <f>'Calc tab'!O3</f>
        <v/>
      </c>
      <c r="P3" s="3">
        <f>'Calc tab'!P3</f>
        <v/>
      </c>
      <c r="Q3" s="3">
        <f>'Calc tab'!Q3</f>
        <v/>
      </c>
      <c r="R3" s="3">
        <f>'Calc tab'!R3</f>
        <v/>
      </c>
      <c r="S3" s="3">
        <f>'Calc tab'!S3</f>
        <v/>
      </c>
      <c r="T3" s="3">
        <f>'Calc tab'!T3</f>
        <v/>
      </c>
      <c r="U3" s="3">
        <f>'Calc tab'!U3</f>
        <v/>
      </c>
      <c r="V3" s="3">
        <f>'Calc tab'!V3</f>
        <v/>
      </c>
      <c r="W3" s="3">
        <f>'Calc tab'!W3</f>
        <v/>
      </c>
      <c r="X3" s="3">
        <f>'Calc tab'!X3</f>
        <v/>
      </c>
      <c r="Y3" s="3">
        <f>'Calc tab'!Y3</f>
        <v/>
      </c>
      <c r="Z3" s="3">
        <f>'Calc tab'!Z3</f>
        <v/>
      </c>
      <c r="AA3" s="3">
        <f>'Calc tab'!AA3</f>
        <v/>
      </c>
      <c r="AB3" s="3">
        <f>'Calc tab'!AB3</f>
        <v/>
      </c>
      <c r="AC3" s="3">
        <f>'Calc tab'!AC3</f>
        <v/>
      </c>
      <c r="AD3" s="3">
        <f>'Calc tab'!AD3</f>
        <v/>
      </c>
      <c r="AE3" s="3">
        <f>'Calc tab'!AE3</f>
        <v/>
      </c>
    </row>
    <row r="4">
      <c r="A4" s="4">
        <f>'Calc tab'!A4</f>
        <v/>
      </c>
      <c r="B4" s="27">
        <f>'Calc tab'!B4</f>
        <v/>
      </c>
      <c r="C4" s="27">
        <f>'Calc tab'!C4</f>
        <v/>
      </c>
      <c r="D4" s="3">
        <f>'Calc tab'!D4</f>
        <v/>
      </c>
      <c r="E4" s="3">
        <f>'Calc tab'!E4</f>
        <v/>
      </c>
      <c r="F4" s="3">
        <f>'Calc tab'!F4</f>
        <v/>
      </c>
      <c r="G4" s="3">
        <f>'Calc tab'!G4</f>
        <v/>
      </c>
      <c r="H4" s="3">
        <f>'Calc tab'!H4</f>
        <v/>
      </c>
      <c r="I4" s="3">
        <f>'Calc tab'!I4</f>
        <v/>
      </c>
      <c r="J4" s="3">
        <f>'Calc tab'!J4</f>
        <v/>
      </c>
      <c r="K4" s="3">
        <f>'Calc tab'!K4</f>
        <v/>
      </c>
      <c r="L4" s="3">
        <f>'Calc tab'!L4</f>
        <v/>
      </c>
      <c r="M4" s="3">
        <f>'Calc tab'!M4</f>
        <v/>
      </c>
      <c r="N4" s="3">
        <f>'Calc tab'!N4</f>
        <v/>
      </c>
      <c r="O4" s="3">
        <f>'Calc tab'!O4</f>
        <v/>
      </c>
      <c r="P4" s="3">
        <f>'Calc tab'!P4</f>
        <v/>
      </c>
      <c r="Q4" s="3">
        <f>'Calc tab'!Q4</f>
        <v/>
      </c>
      <c r="R4" s="3">
        <f>'Calc tab'!R4</f>
        <v/>
      </c>
      <c r="S4" s="3">
        <f>'Calc tab'!S4</f>
        <v/>
      </c>
      <c r="T4" s="3">
        <f>'Calc tab'!T4</f>
        <v/>
      </c>
      <c r="U4" s="3">
        <f>'Calc tab'!U4</f>
        <v/>
      </c>
      <c r="V4" s="3">
        <f>'Calc tab'!V4</f>
        <v/>
      </c>
      <c r="W4" s="3">
        <f>'Calc tab'!W4</f>
        <v/>
      </c>
      <c r="X4" s="3">
        <f>'Calc tab'!X4</f>
        <v/>
      </c>
      <c r="Y4" s="3">
        <f>'Calc tab'!Y4</f>
        <v/>
      </c>
      <c r="Z4" s="3">
        <f>'Calc tab'!Z4</f>
        <v/>
      </c>
      <c r="AA4" s="3">
        <f>'Calc tab'!AA4</f>
        <v/>
      </c>
      <c r="AB4" s="3">
        <f>'Calc tab'!AB4</f>
        <v/>
      </c>
      <c r="AC4" s="3">
        <f>'Calc tab'!AC4</f>
        <v/>
      </c>
      <c r="AD4" s="3">
        <f>'Calc tab'!AD4</f>
        <v/>
      </c>
      <c r="AE4" s="3">
        <f>'Calc tab'!AE4</f>
        <v/>
      </c>
    </row>
    <row r="5">
      <c r="A5" s="4">
        <f>'Calc tab'!A5</f>
        <v/>
      </c>
      <c r="B5" s="27">
        <f>'Calc tab'!B5</f>
        <v/>
      </c>
      <c r="C5" s="27">
        <f>'Calc tab'!C5</f>
        <v/>
      </c>
      <c r="D5" s="3">
        <f>'Calc tab'!D5</f>
        <v/>
      </c>
      <c r="E5" s="3">
        <f>'Calc tab'!E5</f>
        <v/>
      </c>
      <c r="F5" s="3">
        <f>'Calc tab'!F5</f>
        <v/>
      </c>
      <c r="G5" s="3">
        <f>'Calc tab'!G5</f>
        <v/>
      </c>
      <c r="H5" s="3">
        <f>'Calc tab'!H5</f>
        <v/>
      </c>
      <c r="I5" s="3">
        <f>'Calc tab'!I5</f>
        <v/>
      </c>
      <c r="J5" s="3">
        <f>'Calc tab'!J5</f>
        <v/>
      </c>
      <c r="K5" s="3">
        <f>'Calc tab'!K5</f>
        <v/>
      </c>
      <c r="L5" s="3">
        <f>'Calc tab'!L5</f>
        <v/>
      </c>
      <c r="M5" s="3">
        <f>'Calc tab'!M5</f>
        <v/>
      </c>
      <c r="N5" s="3">
        <f>'Calc tab'!N5</f>
        <v/>
      </c>
      <c r="O5" s="3">
        <f>'Calc tab'!O5</f>
        <v/>
      </c>
      <c r="P5" s="3">
        <f>'Calc tab'!P5</f>
        <v/>
      </c>
      <c r="Q5" s="3">
        <f>'Calc tab'!Q5</f>
        <v/>
      </c>
      <c r="R5" s="3">
        <f>'Calc tab'!R5</f>
        <v/>
      </c>
      <c r="S5" s="3">
        <f>'Calc tab'!S5</f>
        <v/>
      </c>
      <c r="T5" s="3">
        <f>'Calc tab'!T5</f>
        <v/>
      </c>
      <c r="U5" s="3">
        <f>'Calc tab'!U5</f>
        <v/>
      </c>
      <c r="V5" s="3">
        <f>'Calc tab'!V5</f>
        <v/>
      </c>
      <c r="W5" s="3">
        <f>'Calc tab'!W5</f>
        <v/>
      </c>
      <c r="X5" s="3">
        <f>'Calc tab'!X5</f>
        <v/>
      </c>
      <c r="Y5" s="3">
        <f>'Calc tab'!Y5</f>
        <v/>
      </c>
      <c r="Z5" s="3">
        <f>'Calc tab'!Z5</f>
        <v/>
      </c>
      <c r="AA5" s="3">
        <f>'Calc tab'!AA5</f>
        <v/>
      </c>
      <c r="AB5" s="3">
        <f>'Calc tab'!AB5</f>
        <v/>
      </c>
      <c r="AC5" s="3">
        <f>'Calc tab'!AC5</f>
        <v/>
      </c>
      <c r="AD5" s="3">
        <f>'Calc tab'!AD5</f>
        <v/>
      </c>
      <c r="AE5" s="3">
        <f>'Calc tab'!AE5</f>
        <v/>
      </c>
    </row>
    <row r="6" ht="23.25" customHeight="1" s="685">
      <c r="A6" s="634">
        <f>"Prepared For "&amp;'Cover-Vizo'!A10</f>
        <v/>
      </c>
      <c r="B6" s="27" t="n"/>
      <c r="C6" s="27"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c r="AA6" s="3" t="n"/>
      <c r="AB6" s="3" t="n"/>
      <c r="AC6" s="3" t="n"/>
      <c r="AD6" s="3" t="n"/>
      <c r="AE6" s="3" t="n"/>
    </row>
    <row r="7" ht="15.75" customHeight="1" s="685">
      <c r="A7" s="603">
        <f>"Quarter Ended "&amp;TEXT('Cover-Vizo'!A11,"m/d/yyyy")</f>
        <v/>
      </c>
      <c r="B7" s="27" t="n"/>
      <c r="C7" s="27"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c r="AA7" s="3" t="n"/>
      <c r="AB7" s="3" t="n"/>
      <c r="AC7" s="3" t="n"/>
      <c r="AD7" s="3" t="n"/>
      <c r="AE7" s="3" t="n"/>
    </row>
    <row r="8" ht="15.75" customHeight="1" s="685">
      <c r="A8" s="57" t="inlineStr">
        <is>
          <t>Historical Calculation Supporting Documentation</t>
        </is>
      </c>
      <c r="B8" s="27" t="n"/>
      <c r="C8" s="27"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c r="AA8" s="3" t="n"/>
      <c r="AB8" s="3" t="n"/>
      <c r="AC8" s="3" t="n"/>
      <c r="AD8" s="3" t="n"/>
      <c r="AE8" s="3" t="n"/>
    </row>
    <row r="9">
      <c r="B9" s="27" t="n"/>
      <c r="C9" s="27"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c r="AA9" s="3" t="n"/>
      <c r="AB9" s="3" t="n"/>
      <c r="AC9" s="3" t="n"/>
      <c r="AD9" s="3" t="n"/>
      <c r="AE9" s="3" t="n"/>
    </row>
    <row r="10" ht="30" customFormat="1" customHeight="1" s="1">
      <c r="A10" s="479">
        <f>'Calc tab'!A6</f>
        <v/>
      </c>
      <c r="B10" s="479">
        <f>'Calc tab'!B6</f>
        <v/>
      </c>
      <c r="C10" s="479">
        <f>'Calc tab'!C6</f>
        <v/>
      </c>
      <c r="D10" s="479">
        <f>'Calc tab'!D6</f>
        <v/>
      </c>
      <c r="E10" s="479">
        <f>'Calc tab'!E6</f>
        <v/>
      </c>
      <c r="F10" s="479">
        <f>'Calc tab'!F6</f>
        <v/>
      </c>
      <c r="G10" s="479">
        <f>'Calc tab'!G6</f>
        <v/>
      </c>
      <c r="H10" s="479">
        <f>'Calc tab'!H6</f>
        <v/>
      </c>
      <c r="I10" s="479">
        <f>'Calc tab'!I6</f>
        <v/>
      </c>
      <c r="J10" s="479">
        <f>'Calc tab'!J6</f>
        <v/>
      </c>
      <c r="K10" s="479">
        <f>'Calc tab'!K6</f>
        <v/>
      </c>
      <c r="L10" s="479">
        <f>'Calc tab'!L6</f>
        <v/>
      </c>
      <c r="M10" s="479">
        <f>'Calc tab'!M6</f>
        <v/>
      </c>
      <c r="N10" s="479">
        <f>'Calc tab'!N6</f>
        <v/>
      </c>
      <c r="O10" s="479">
        <f>'Calc tab'!O6</f>
        <v/>
      </c>
      <c r="P10" s="479">
        <f>'Calc tab'!P6</f>
        <v/>
      </c>
      <c r="Q10" s="479">
        <f>'Calc tab'!Q6</f>
        <v/>
      </c>
      <c r="R10" s="479">
        <f>'Calc tab'!R6</f>
        <v/>
      </c>
      <c r="S10" s="479">
        <f>'Calc tab'!S6</f>
        <v/>
      </c>
      <c r="T10" s="479">
        <f>'Calc tab'!T6</f>
        <v/>
      </c>
      <c r="U10" s="479">
        <f>'Calc tab'!U6</f>
        <v/>
      </c>
      <c r="V10" s="479">
        <f>'Calc tab'!V6</f>
        <v/>
      </c>
      <c r="W10" s="479">
        <f>'Calc tab'!W6</f>
        <v/>
      </c>
      <c r="X10" s="479">
        <f>'Calc tab'!X6</f>
        <v/>
      </c>
      <c r="Y10" s="479">
        <f>'Calc tab'!Y6</f>
        <v/>
      </c>
      <c r="Z10" s="479">
        <f>'Calc tab'!Z6</f>
        <v/>
      </c>
      <c r="AA10" s="479">
        <f>'Calc tab'!AA6</f>
        <v/>
      </c>
      <c r="AB10" s="479">
        <f>'Calc tab'!AB6</f>
        <v/>
      </c>
      <c r="AC10" s="479">
        <f>'Calc tab'!AC6</f>
        <v/>
      </c>
      <c r="AD10" s="479">
        <f>'Calc tab'!AD6</f>
        <v/>
      </c>
      <c r="AE10" s="479">
        <f>'Calc tab'!AE6</f>
        <v/>
      </c>
      <c r="AF10" s="635">
        <f>'Calc tab'!AF6</f>
        <v/>
      </c>
      <c r="AG10" s="635">
        <f>'Calc tab'!AG6</f>
        <v/>
      </c>
      <c r="AH10" s="856">
        <f>'Calc tab'!AH6</f>
        <v/>
      </c>
    </row>
    <row r="11">
      <c r="A11" s="4">
        <f>'Calc tab'!A7</f>
        <v/>
      </c>
      <c r="B11" s="637">
        <f>'Calc tab'!B7</f>
        <v/>
      </c>
      <c r="C11" s="637">
        <f>'Calc tab'!C7</f>
        <v/>
      </c>
      <c r="D11" s="638">
        <f>'Calc tab'!D7</f>
        <v/>
      </c>
      <c r="E11" s="638">
        <f>'Calc tab'!E7</f>
        <v/>
      </c>
      <c r="F11" s="638">
        <f>'Calc tab'!F7</f>
        <v/>
      </c>
      <c r="G11" s="638">
        <f>'Calc tab'!G7</f>
        <v/>
      </c>
      <c r="H11" s="638">
        <f>'Calc tab'!H7</f>
        <v/>
      </c>
      <c r="I11" s="638">
        <f>'Calc tab'!I7</f>
        <v/>
      </c>
      <c r="J11" s="638">
        <f>'Calc tab'!J7</f>
        <v/>
      </c>
      <c r="K11" s="638">
        <f>'Calc tab'!K7</f>
        <v/>
      </c>
      <c r="L11" s="638">
        <f>'Calc tab'!L7</f>
        <v/>
      </c>
      <c r="M11" s="638">
        <f>'Calc tab'!M7</f>
        <v/>
      </c>
      <c r="N11" s="638">
        <f>'Calc tab'!N7</f>
        <v/>
      </c>
      <c r="O11" s="638">
        <f>'Calc tab'!O7</f>
        <v/>
      </c>
      <c r="P11" s="638">
        <f>'Calc tab'!P7</f>
        <v/>
      </c>
      <c r="Q11" s="638">
        <f>'Calc tab'!Q7</f>
        <v/>
      </c>
      <c r="R11" s="638">
        <f>'Calc tab'!R7</f>
        <v/>
      </c>
      <c r="S11" s="638">
        <f>'Calc tab'!S7</f>
        <v/>
      </c>
      <c r="T11" s="638">
        <f>'Calc tab'!T7</f>
        <v/>
      </c>
      <c r="U11" s="638">
        <f>'Calc tab'!U7</f>
        <v/>
      </c>
      <c r="V11" s="638">
        <f>'Calc tab'!V7</f>
        <v/>
      </c>
      <c r="W11" s="638">
        <f>'Calc tab'!W7</f>
        <v/>
      </c>
      <c r="X11" s="638">
        <f>'Calc tab'!X7</f>
        <v/>
      </c>
      <c r="Y11" s="638">
        <f>'Calc tab'!Y7</f>
        <v/>
      </c>
      <c r="Z11" s="638">
        <f>'Calc tab'!Z7</f>
        <v/>
      </c>
      <c r="AA11" s="638">
        <f>'Calc tab'!AA7</f>
        <v/>
      </c>
      <c r="AB11" s="638">
        <f>'Calc tab'!AB7</f>
        <v/>
      </c>
      <c r="AC11" s="638">
        <f>'Calc tab'!AC7</f>
        <v/>
      </c>
      <c r="AD11" s="638">
        <f>'Calc tab'!AD7</f>
        <v/>
      </c>
      <c r="AE11" s="638">
        <f>'Calc tab'!AE7</f>
        <v/>
      </c>
      <c r="AF11" s="639">
        <f>'Calc tab'!AF7</f>
        <v/>
      </c>
      <c r="AG11" s="640">
        <f>'Calc tab'!AG7</f>
        <v/>
      </c>
      <c r="AH11" s="857">
        <f>'Calc tab'!AH7</f>
        <v/>
      </c>
      <c r="AI11" s="648" t="n"/>
    </row>
    <row r="12">
      <c r="A12" s="4">
        <f>'Calc tab'!A8</f>
        <v/>
      </c>
      <c r="B12" s="637">
        <f>'Calc tab'!B8</f>
        <v/>
      </c>
      <c r="C12" s="637">
        <f>'Calc tab'!C8</f>
        <v/>
      </c>
      <c r="D12" s="638">
        <f>'Calc tab'!D8</f>
        <v/>
      </c>
      <c r="E12" s="638">
        <f>'Calc tab'!E8</f>
        <v/>
      </c>
      <c r="F12" s="638">
        <f>'Calc tab'!F8</f>
        <v/>
      </c>
      <c r="G12" s="638">
        <f>'Calc tab'!G8</f>
        <v/>
      </c>
      <c r="H12" s="638">
        <f>'Calc tab'!H8</f>
        <v/>
      </c>
      <c r="I12" s="638">
        <f>'Calc tab'!I8</f>
        <v/>
      </c>
      <c r="J12" s="638">
        <f>'Calc tab'!J8</f>
        <v/>
      </c>
      <c r="K12" s="638">
        <f>'Calc tab'!K8</f>
        <v/>
      </c>
      <c r="L12" s="638">
        <f>'Calc tab'!L8</f>
        <v/>
      </c>
      <c r="M12" s="638">
        <f>'Calc tab'!M8</f>
        <v/>
      </c>
      <c r="N12" s="638">
        <f>'Calc tab'!N8</f>
        <v/>
      </c>
      <c r="O12" s="638">
        <f>'Calc tab'!O8</f>
        <v/>
      </c>
      <c r="P12" s="638">
        <f>'Calc tab'!P8</f>
        <v/>
      </c>
      <c r="Q12" s="638">
        <f>'Calc tab'!Q8</f>
        <v/>
      </c>
      <c r="R12" s="638">
        <f>'Calc tab'!R8</f>
        <v/>
      </c>
      <c r="S12" s="638">
        <f>'Calc tab'!S8</f>
        <v/>
      </c>
      <c r="T12" s="638">
        <f>'Calc tab'!T8</f>
        <v/>
      </c>
      <c r="U12" s="638">
        <f>'Calc tab'!U8</f>
        <v/>
      </c>
      <c r="V12" s="638">
        <f>'Calc tab'!V8</f>
        <v/>
      </c>
      <c r="W12" s="638">
        <f>'Calc tab'!W8</f>
        <v/>
      </c>
      <c r="X12" s="638">
        <f>'Calc tab'!X8</f>
        <v/>
      </c>
      <c r="Y12" s="638">
        <f>'Calc tab'!Y8</f>
        <v/>
      </c>
      <c r="Z12" s="638">
        <f>'Calc tab'!Z8</f>
        <v/>
      </c>
      <c r="AA12" s="638">
        <f>'Calc tab'!AA8</f>
        <v/>
      </c>
      <c r="AB12" s="638">
        <f>'Calc tab'!AB8</f>
        <v/>
      </c>
      <c r="AC12" s="638">
        <f>'Calc tab'!AC8</f>
        <v/>
      </c>
      <c r="AD12" s="638">
        <f>'Calc tab'!AD8</f>
        <v/>
      </c>
      <c r="AE12" s="638">
        <f>'Calc tab'!AE8</f>
        <v/>
      </c>
      <c r="AF12" s="639">
        <f>'Calc tab'!AF8</f>
        <v/>
      </c>
      <c r="AG12" s="640">
        <f>'Calc tab'!AG8</f>
        <v/>
      </c>
      <c r="AH12" s="857">
        <f>'Calc tab'!AH8</f>
        <v/>
      </c>
      <c r="AI12" s="648" t="n"/>
    </row>
    <row r="13">
      <c r="A13" s="4">
        <f>'Calc tab'!A9</f>
        <v/>
      </c>
      <c r="B13" s="637">
        <f>'Calc tab'!B9</f>
        <v/>
      </c>
      <c r="C13" s="637">
        <f>'Calc tab'!C9</f>
        <v/>
      </c>
      <c r="D13" s="638">
        <f>'Calc tab'!D9</f>
        <v/>
      </c>
      <c r="E13" s="638">
        <f>'Calc tab'!E9</f>
        <v/>
      </c>
      <c r="F13" s="638">
        <f>'Calc tab'!F9</f>
        <v/>
      </c>
      <c r="G13" s="638">
        <f>'Calc tab'!G9</f>
        <v/>
      </c>
      <c r="H13" s="638">
        <f>'Calc tab'!H9</f>
        <v/>
      </c>
      <c r="I13" s="638">
        <f>'Calc tab'!I9</f>
        <v/>
      </c>
      <c r="J13" s="638">
        <f>'Calc tab'!J9</f>
        <v/>
      </c>
      <c r="K13" s="638">
        <f>'Calc tab'!K9</f>
        <v/>
      </c>
      <c r="L13" s="638">
        <f>'Calc tab'!L9</f>
        <v/>
      </c>
      <c r="M13" s="638">
        <f>'Calc tab'!M9</f>
        <v/>
      </c>
      <c r="N13" s="638">
        <f>'Calc tab'!N9</f>
        <v/>
      </c>
      <c r="O13" s="638">
        <f>'Calc tab'!O9</f>
        <v/>
      </c>
      <c r="P13" s="638">
        <f>'Calc tab'!P9</f>
        <v/>
      </c>
      <c r="Q13" s="638">
        <f>'Calc tab'!Q9</f>
        <v/>
      </c>
      <c r="R13" s="638">
        <f>'Calc tab'!R9</f>
        <v/>
      </c>
      <c r="S13" s="638">
        <f>'Calc tab'!S9</f>
        <v/>
      </c>
      <c r="T13" s="638">
        <f>'Calc tab'!T9</f>
        <v/>
      </c>
      <c r="U13" s="638">
        <f>'Calc tab'!U9</f>
        <v/>
      </c>
      <c r="V13" s="638">
        <f>'Calc tab'!V9</f>
        <v/>
      </c>
      <c r="W13" s="638">
        <f>'Calc tab'!W9</f>
        <v/>
      </c>
      <c r="X13" s="638">
        <f>'Calc tab'!X9</f>
        <v/>
      </c>
      <c r="Y13" s="638">
        <f>'Calc tab'!Y9</f>
        <v/>
      </c>
      <c r="Z13" s="638">
        <f>'Calc tab'!Z9</f>
        <v/>
      </c>
      <c r="AA13" s="638">
        <f>'Calc tab'!AA9</f>
        <v/>
      </c>
      <c r="AB13" s="638">
        <f>'Calc tab'!AB9</f>
        <v/>
      </c>
      <c r="AC13" s="638">
        <f>'Calc tab'!AC9</f>
        <v/>
      </c>
      <c r="AD13" s="638">
        <f>'Calc tab'!AD9</f>
        <v/>
      </c>
      <c r="AE13" s="638">
        <f>'Calc tab'!AE9</f>
        <v/>
      </c>
      <c r="AF13" s="639">
        <f>'Calc tab'!AF9</f>
        <v/>
      </c>
      <c r="AG13" s="640">
        <f>'Calc tab'!AG9</f>
        <v/>
      </c>
      <c r="AH13" s="857">
        <f>'Calc tab'!AH9</f>
        <v/>
      </c>
      <c r="AI13" s="648" t="n"/>
    </row>
    <row r="14">
      <c r="A14" s="4">
        <f>'Calc tab'!A10</f>
        <v/>
      </c>
      <c r="B14" s="637">
        <f>'Calc tab'!B10</f>
        <v/>
      </c>
      <c r="C14" s="637">
        <f>'Calc tab'!C10</f>
        <v/>
      </c>
      <c r="D14" s="638">
        <f>'Calc tab'!D10</f>
        <v/>
      </c>
      <c r="E14" s="638">
        <f>'Calc tab'!E10</f>
        <v/>
      </c>
      <c r="F14" s="638">
        <f>'Calc tab'!F10</f>
        <v/>
      </c>
      <c r="G14" s="638">
        <f>'Calc tab'!G10</f>
        <v/>
      </c>
      <c r="H14" s="638">
        <f>'Calc tab'!H10</f>
        <v/>
      </c>
      <c r="I14" s="638">
        <f>'Calc tab'!I10</f>
        <v/>
      </c>
      <c r="J14" s="638">
        <f>'Calc tab'!J10</f>
        <v/>
      </c>
      <c r="K14" s="638">
        <f>'Calc tab'!K10</f>
        <v/>
      </c>
      <c r="L14" s="638">
        <f>'Calc tab'!L10</f>
        <v/>
      </c>
      <c r="M14" s="638">
        <f>'Calc tab'!M10</f>
        <v/>
      </c>
      <c r="N14" s="638">
        <f>'Calc tab'!N10</f>
        <v/>
      </c>
      <c r="O14" s="638">
        <f>'Calc tab'!O10</f>
        <v/>
      </c>
      <c r="P14" s="638">
        <f>'Calc tab'!P10</f>
        <v/>
      </c>
      <c r="Q14" s="638">
        <f>'Calc tab'!Q10</f>
        <v/>
      </c>
      <c r="R14" s="638">
        <f>'Calc tab'!R10</f>
        <v/>
      </c>
      <c r="S14" s="638">
        <f>'Calc tab'!S10</f>
        <v/>
      </c>
      <c r="T14" s="638">
        <f>'Calc tab'!T10</f>
        <v/>
      </c>
      <c r="U14" s="638">
        <f>'Calc tab'!U10</f>
        <v/>
      </c>
      <c r="V14" s="638">
        <f>'Calc tab'!V10</f>
        <v/>
      </c>
      <c r="W14" s="638">
        <f>'Calc tab'!W10</f>
        <v/>
      </c>
      <c r="X14" s="638">
        <f>'Calc tab'!X10</f>
        <v/>
      </c>
      <c r="Y14" s="638">
        <f>'Calc tab'!Y10</f>
        <v/>
      </c>
      <c r="Z14" s="638">
        <f>'Calc tab'!Z10</f>
        <v/>
      </c>
      <c r="AA14" s="638">
        <f>'Calc tab'!AA10</f>
        <v/>
      </c>
      <c r="AB14" s="638">
        <f>'Calc tab'!AB10</f>
        <v/>
      </c>
      <c r="AC14" s="638">
        <f>'Calc tab'!AC10</f>
        <v/>
      </c>
      <c r="AD14" s="638">
        <f>'Calc tab'!AD10</f>
        <v/>
      </c>
      <c r="AE14" s="638">
        <f>'Calc tab'!AE10</f>
        <v/>
      </c>
      <c r="AF14" s="639">
        <f>'Calc tab'!AF10</f>
        <v/>
      </c>
      <c r="AG14" s="640">
        <f>'Calc tab'!AG10</f>
        <v/>
      </c>
      <c r="AH14" s="857">
        <f>'Calc tab'!AH10</f>
        <v/>
      </c>
      <c r="AI14" s="648" t="n"/>
    </row>
    <row r="15">
      <c r="A15" s="4">
        <f>'Calc tab'!A11</f>
        <v/>
      </c>
      <c r="B15" s="637">
        <f>'Calc tab'!B11</f>
        <v/>
      </c>
      <c r="C15" s="637">
        <f>'Calc tab'!C11</f>
        <v/>
      </c>
      <c r="D15" s="638">
        <f>'Calc tab'!D11</f>
        <v/>
      </c>
      <c r="E15" s="638">
        <f>'Calc tab'!E11</f>
        <v/>
      </c>
      <c r="F15" s="638">
        <f>'Calc tab'!F11</f>
        <v/>
      </c>
      <c r="G15" s="638">
        <f>'Calc tab'!G11</f>
        <v/>
      </c>
      <c r="H15" s="638">
        <f>'Calc tab'!H11</f>
        <v/>
      </c>
      <c r="I15" s="638">
        <f>'Calc tab'!I11</f>
        <v/>
      </c>
      <c r="J15" s="638">
        <f>'Calc tab'!J11</f>
        <v/>
      </c>
      <c r="K15" s="638">
        <f>'Calc tab'!K11</f>
        <v/>
      </c>
      <c r="L15" s="638">
        <f>'Calc tab'!L11</f>
        <v/>
      </c>
      <c r="M15" s="638">
        <f>'Calc tab'!M11</f>
        <v/>
      </c>
      <c r="N15" s="638">
        <f>'Calc tab'!N11</f>
        <v/>
      </c>
      <c r="O15" s="638">
        <f>'Calc tab'!O11</f>
        <v/>
      </c>
      <c r="P15" s="638">
        <f>'Calc tab'!P11</f>
        <v/>
      </c>
      <c r="Q15" s="638">
        <f>'Calc tab'!Q11</f>
        <v/>
      </c>
      <c r="R15" s="638">
        <f>'Calc tab'!R11</f>
        <v/>
      </c>
      <c r="S15" s="638">
        <f>'Calc tab'!S11</f>
        <v/>
      </c>
      <c r="T15" s="638">
        <f>'Calc tab'!T11</f>
        <v/>
      </c>
      <c r="U15" s="638">
        <f>'Calc tab'!U11</f>
        <v/>
      </c>
      <c r="V15" s="638">
        <f>'Calc tab'!V11</f>
        <v/>
      </c>
      <c r="W15" s="638">
        <f>'Calc tab'!W11</f>
        <v/>
      </c>
      <c r="X15" s="638">
        <f>'Calc tab'!X11</f>
        <v/>
      </c>
      <c r="Y15" s="638">
        <f>'Calc tab'!Y11</f>
        <v/>
      </c>
      <c r="Z15" s="638">
        <f>'Calc tab'!Z11</f>
        <v/>
      </c>
      <c r="AA15" s="638">
        <f>'Calc tab'!AA11</f>
        <v/>
      </c>
      <c r="AB15" s="638">
        <f>'Calc tab'!AB11</f>
        <v/>
      </c>
      <c r="AC15" s="638">
        <f>'Calc tab'!AC11</f>
        <v/>
      </c>
      <c r="AD15" s="638">
        <f>'Calc tab'!AD11</f>
        <v/>
      </c>
      <c r="AE15" s="638">
        <f>'Calc tab'!AE11</f>
        <v/>
      </c>
      <c r="AF15" s="639">
        <f>'Calc tab'!AF11</f>
        <v/>
      </c>
      <c r="AG15" s="640">
        <f>'Calc tab'!AG11</f>
        <v/>
      </c>
      <c r="AH15" s="857">
        <f>'Calc tab'!AH11</f>
        <v/>
      </c>
      <c r="AI15" s="648" t="n"/>
    </row>
    <row r="16">
      <c r="A16" s="4">
        <f>'Calc tab'!A12</f>
        <v/>
      </c>
      <c r="B16" s="637">
        <f>'Calc tab'!B12</f>
        <v/>
      </c>
      <c r="C16" s="637">
        <f>'Calc tab'!C12</f>
        <v/>
      </c>
      <c r="D16" s="638">
        <f>'Calc tab'!D12</f>
        <v/>
      </c>
      <c r="E16" s="638">
        <f>'Calc tab'!E12</f>
        <v/>
      </c>
      <c r="F16" s="638">
        <f>'Calc tab'!F12</f>
        <v/>
      </c>
      <c r="G16" s="638">
        <f>'Calc tab'!G12</f>
        <v/>
      </c>
      <c r="H16" s="638">
        <f>'Calc tab'!H12</f>
        <v/>
      </c>
      <c r="I16" s="638">
        <f>'Calc tab'!I12</f>
        <v/>
      </c>
      <c r="J16" s="638">
        <f>'Calc tab'!J12</f>
        <v/>
      </c>
      <c r="K16" s="638">
        <f>'Calc tab'!K12</f>
        <v/>
      </c>
      <c r="L16" s="638">
        <f>'Calc tab'!L12</f>
        <v/>
      </c>
      <c r="M16" s="638">
        <f>'Calc tab'!M12</f>
        <v/>
      </c>
      <c r="N16" s="638">
        <f>'Calc tab'!N12</f>
        <v/>
      </c>
      <c r="O16" s="638">
        <f>'Calc tab'!O12</f>
        <v/>
      </c>
      <c r="P16" s="638">
        <f>'Calc tab'!P12</f>
        <v/>
      </c>
      <c r="Q16" s="638">
        <f>'Calc tab'!Q12</f>
        <v/>
      </c>
      <c r="R16" s="638">
        <f>'Calc tab'!R12</f>
        <v/>
      </c>
      <c r="S16" s="638">
        <f>'Calc tab'!S12</f>
        <v/>
      </c>
      <c r="T16" s="638">
        <f>'Calc tab'!T12</f>
        <v/>
      </c>
      <c r="U16" s="638">
        <f>'Calc tab'!U12</f>
        <v/>
      </c>
      <c r="V16" s="638">
        <f>'Calc tab'!V12</f>
        <v/>
      </c>
      <c r="W16" s="638">
        <f>'Calc tab'!W12</f>
        <v/>
      </c>
      <c r="X16" s="638">
        <f>'Calc tab'!X12</f>
        <v/>
      </c>
      <c r="Y16" s="638">
        <f>'Calc tab'!Y12</f>
        <v/>
      </c>
      <c r="Z16" s="638">
        <f>'Calc tab'!Z12</f>
        <v/>
      </c>
      <c r="AA16" s="638">
        <f>'Calc tab'!AA12</f>
        <v/>
      </c>
      <c r="AB16" s="638">
        <f>'Calc tab'!AB12</f>
        <v/>
      </c>
      <c r="AC16" s="638">
        <f>'Calc tab'!AC12</f>
        <v/>
      </c>
      <c r="AD16" s="638">
        <f>'Calc tab'!AD12</f>
        <v/>
      </c>
      <c r="AE16" s="638">
        <f>'Calc tab'!AE12</f>
        <v/>
      </c>
      <c r="AF16" s="639">
        <f>'Calc tab'!AF12</f>
        <v/>
      </c>
      <c r="AG16" s="640">
        <f>'Calc tab'!AG12</f>
        <v/>
      </c>
      <c r="AH16" s="857">
        <f>'Calc tab'!AH12</f>
        <v/>
      </c>
      <c r="AI16" s="648" t="n"/>
    </row>
    <row r="17">
      <c r="A17" s="4">
        <f>'Calc tab'!A13</f>
        <v/>
      </c>
      <c r="B17" s="637">
        <f>'Calc tab'!B13</f>
        <v/>
      </c>
      <c r="C17" s="637">
        <f>'Calc tab'!C13</f>
        <v/>
      </c>
      <c r="D17" s="638">
        <f>'Calc tab'!D13</f>
        <v/>
      </c>
      <c r="E17" s="638">
        <f>'Calc tab'!E13</f>
        <v/>
      </c>
      <c r="F17" s="638">
        <f>'Calc tab'!F13</f>
        <v/>
      </c>
      <c r="G17" s="638">
        <f>'Calc tab'!G13</f>
        <v/>
      </c>
      <c r="H17" s="638">
        <f>'Calc tab'!H13</f>
        <v/>
      </c>
      <c r="I17" s="638">
        <f>'Calc tab'!I13</f>
        <v/>
      </c>
      <c r="J17" s="638">
        <f>'Calc tab'!J13</f>
        <v/>
      </c>
      <c r="K17" s="638">
        <f>'Calc tab'!K13</f>
        <v/>
      </c>
      <c r="L17" s="638">
        <f>'Calc tab'!L13</f>
        <v/>
      </c>
      <c r="M17" s="638">
        <f>'Calc tab'!M13</f>
        <v/>
      </c>
      <c r="N17" s="638">
        <f>'Calc tab'!N13</f>
        <v/>
      </c>
      <c r="O17" s="638">
        <f>'Calc tab'!O13</f>
        <v/>
      </c>
      <c r="P17" s="638">
        <f>'Calc tab'!P13</f>
        <v/>
      </c>
      <c r="Q17" s="638">
        <f>'Calc tab'!Q13</f>
        <v/>
      </c>
      <c r="R17" s="638">
        <f>'Calc tab'!R13</f>
        <v/>
      </c>
      <c r="S17" s="638">
        <f>'Calc tab'!S13</f>
        <v/>
      </c>
      <c r="T17" s="638">
        <f>'Calc tab'!T13</f>
        <v/>
      </c>
      <c r="U17" s="638">
        <f>'Calc tab'!U13</f>
        <v/>
      </c>
      <c r="V17" s="638">
        <f>'Calc tab'!V13</f>
        <v/>
      </c>
      <c r="W17" s="638">
        <f>'Calc tab'!W13</f>
        <v/>
      </c>
      <c r="X17" s="638">
        <f>'Calc tab'!X13</f>
        <v/>
      </c>
      <c r="Y17" s="638">
        <f>'Calc tab'!Y13</f>
        <v/>
      </c>
      <c r="Z17" s="638">
        <f>'Calc tab'!Z13</f>
        <v/>
      </c>
      <c r="AA17" s="638">
        <f>'Calc tab'!AA13</f>
        <v/>
      </c>
      <c r="AB17" s="638">
        <f>'Calc tab'!AB13</f>
        <v/>
      </c>
      <c r="AC17" s="638">
        <f>'Calc tab'!AC13</f>
        <v/>
      </c>
      <c r="AD17" s="638">
        <f>'Calc tab'!AD13</f>
        <v/>
      </c>
      <c r="AE17" s="638">
        <f>'Calc tab'!AE13</f>
        <v/>
      </c>
      <c r="AF17" s="639">
        <f>'Calc tab'!AF13</f>
        <v/>
      </c>
      <c r="AG17" s="640">
        <f>'Calc tab'!AG13</f>
        <v/>
      </c>
      <c r="AH17" s="857">
        <f>'Calc tab'!AH13</f>
        <v/>
      </c>
      <c r="AI17" s="648" t="n"/>
    </row>
    <row r="18" ht="30" customHeight="1" s="685">
      <c r="A18" s="4">
        <f>'Calc tab'!A14</f>
        <v/>
      </c>
      <c r="B18" s="637">
        <f>'Calc tab'!B14</f>
        <v/>
      </c>
      <c r="C18" s="637">
        <f>'Calc tab'!C14</f>
        <v/>
      </c>
      <c r="D18" s="638">
        <f>'Calc tab'!D14</f>
        <v/>
      </c>
      <c r="E18" s="638">
        <f>'Calc tab'!E14</f>
        <v/>
      </c>
      <c r="F18" s="638">
        <f>'Calc tab'!F14</f>
        <v/>
      </c>
      <c r="G18" s="638">
        <f>'Calc tab'!G14</f>
        <v/>
      </c>
      <c r="H18" s="638">
        <f>'Calc tab'!H14</f>
        <v/>
      </c>
      <c r="I18" s="638">
        <f>'Calc tab'!I14</f>
        <v/>
      </c>
      <c r="J18" s="638">
        <f>'Calc tab'!J14</f>
        <v/>
      </c>
      <c r="K18" s="638">
        <f>'Calc tab'!K14</f>
        <v/>
      </c>
      <c r="L18" s="638">
        <f>'Calc tab'!L14</f>
        <v/>
      </c>
      <c r="M18" s="638">
        <f>'Calc tab'!M14</f>
        <v/>
      </c>
      <c r="N18" s="638">
        <f>'Calc tab'!N14</f>
        <v/>
      </c>
      <c r="O18" s="638">
        <f>'Calc tab'!O14</f>
        <v/>
      </c>
      <c r="P18" s="638">
        <f>'Calc tab'!P14</f>
        <v/>
      </c>
      <c r="Q18" s="638">
        <f>'Calc tab'!Q14</f>
        <v/>
      </c>
      <c r="R18" s="638">
        <f>'Calc tab'!R14</f>
        <v/>
      </c>
      <c r="S18" s="638">
        <f>'Calc tab'!S14</f>
        <v/>
      </c>
      <c r="T18" s="638">
        <f>'Calc tab'!T14</f>
        <v/>
      </c>
      <c r="U18" s="638">
        <f>'Calc tab'!U14</f>
        <v/>
      </c>
      <c r="V18" s="638">
        <f>'Calc tab'!V14</f>
        <v/>
      </c>
      <c r="W18" s="638">
        <f>'Calc tab'!W14</f>
        <v/>
      </c>
      <c r="X18" s="638">
        <f>'Calc tab'!X14</f>
        <v/>
      </c>
      <c r="Y18" s="638">
        <f>'Calc tab'!Y14</f>
        <v/>
      </c>
      <c r="Z18" s="638">
        <f>'Calc tab'!Z14</f>
        <v/>
      </c>
      <c r="AA18" s="638">
        <f>'Calc tab'!AA14</f>
        <v/>
      </c>
      <c r="AB18" s="638">
        <f>'Calc tab'!AB14</f>
        <v/>
      </c>
      <c r="AC18" s="638">
        <f>'Calc tab'!AC14</f>
        <v/>
      </c>
      <c r="AD18" s="638">
        <f>'Calc tab'!AD14</f>
        <v/>
      </c>
      <c r="AE18" s="638">
        <f>'Calc tab'!AE14</f>
        <v/>
      </c>
      <c r="AF18" s="639">
        <f>'Calc tab'!AF14</f>
        <v/>
      </c>
      <c r="AG18" s="640">
        <f>'Calc tab'!AG14</f>
        <v/>
      </c>
      <c r="AH18" s="857">
        <f>'Calc tab'!AH14</f>
        <v/>
      </c>
      <c r="AI18" s="648" t="n"/>
    </row>
    <row r="19" ht="30" customHeight="1" s="685">
      <c r="A19" s="4">
        <f>'Calc tab'!A15</f>
        <v/>
      </c>
      <c r="B19" s="637">
        <f>'Calc tab'!B15</f>
        <v/>
      </c>
      <c r="C19" s="637">
        <f>'Calc tab'!C15</f>
        <v/>
      </c>
      <c r="D19" s="638">
        <f>'Calc tab'!D15</f>
        <v/>
      </c>
      <c r="E19" s="638">
        <f>'Calc tab'!E15</f>
        <v/>
      </c>
      <c r="F19" s="638">
        <f>'Calc tab'!F15</f>
        <v/>
      </c>
      <c r="G19" s="638">
        <f>'Calc tab'!G15</f>
        <v/>
      </c>
      <c r="H19" s="638">
        <f>'Calc tab'!H15</f>
        <v/>
      </c>
      <c r="I19" s="638">
        <f>'Calc tab'!I15</f>
        <v/>
      </c>
      <c r="J19" s="638">
        <f>'Calc tab'!J15</f>
        <v/>
      </c>
      <c r="K19" s="638">
        <f>'Calc tab'!K15</f>
        <v/>
      </c>
      <c r="L19" s="638">
        <f>'Calc tab'!L15</f>
        <v/>
      </c>
      <c r="M19" s="638">
        <f>'Calc tab'!M15</f>
        <v/>
      </c>
      <c r="N19" s="638">
        <f>'Calc tab'!N15</f>
        <v/>
      </c>
      <c r="O19" s="638">
        <f>'Calc tab'!O15</f>
        <v/>
      </c>
      <c r="P19" s="638">
        <f>'Calc tab'!P15</f>
        <v/>
      </c>
      <c r="Q19" s="638">
        <f>'Calc tab'!Q15</f>
        <v/>
      </c>
      <c r="R19" s="638">
        <f>'Calc tab'!R15</f>
        <v/>
      </c>
      <c r="S19" s="638">
        <f>'Calc tab'!S15</f>
        <v/>
      </c>
      <c r="T19" s="638">
        <f>'Calc tab'!T15</f>
        <v/>
      </c>
      <c r="U19" s="638">
        <f>'Calc tab'!U15</f>
        <v/>
      </c>
      <c r="V19" s="638">
        <f>'Calc tab'!V15</f>
        <v/>
      </c>
      <c r="W19" s="638">
        <f>'Calc tab'!W15</f>
        <v/>
      </c>
      <c r="X19" s="638">
        <f>'Calc tab'!X15</f>
        <v/>
      </c>
      <c r="Y19" s="638">
        <f>'Calc tab'!Y15</f>
        <v/>
      </c>
      <c r="Z19" s="638">
        <f>'Calc tab'!Z15</f>
        <v/>
      </c>
      <c r="AA19" s="638">
        <f>'Calc tab'!AA15</f>
        <v/>
      </c>
      <c r="AB19" s="638">
        <f>'Calc tab'!AB15</f>
        <v/>
      </c>
      <c r="AC19" s="638">
        <f>'Calc tab'!AC15</f>
        <v/>
      </c>
      <c r="AD19" s="638">
        <f>'Calc tab'!AD15</f>
        <v/>
      </c>
      <c r="AE19" s="638">
        <f>'Calc tab'!AE15</f>
        <v/>
      </c>
      <c r="AF19" s="639">
        <f>'Calc tab'!AF15</f>
        <v/>
      </c>
      <c r="AG19" s="640">
        <f>'Calc tab'!AG15</f>
        <v/>
      </c>
      <c r="AH19" s="857">
        <f>'Calc tab'!AH15</f>
        <v/>
      </c>
      <c r="AI19" s="648" t="n"/>
    </row>
    <row r="20" ht="30" customHeight="1" s="685">
      <c r="A20" s="4">
        <f>'Calc tab'!A16</f>
        <v/>
      </c>
      <c r="B20" s="637">
        <f>'Calc tab'!B16</f>
        <v/>
      </c>
      <c r="C20" s="637">
        <f>'Calc tab'!C16</f>
        <v/>
      </c>
      <c r="D20" s="638">
        <f>'Calc tab'!D16</f>
        <v/>
      </c>
      <c r="E20" s="638">
        <f>'Calc tab'!E16</f>
        <v/>
      </c>
      <c r="F20" s="638">
        <f>'Calc tab'!F16</f>
        <v/>
      </c>
      <c r="G20" s="638">
        <f>'Calc tab'!G16</f>
        <v/>
      </c>
      <c r="H20" s="638">
        <f>'Calc tab'!H16</f>
        <v/>
      </c>
      <c r="I20" s="638">
        <f>'Calc tab'!I16</f>
        <v/>
      </c>
      <c r="J20" s="638">
        <f>'Calc tab'!J16</f>
        <v/>
      </c>
      <c r="K20" s="638">
        <f>'Calc tab'!K16</f>
        <v/>
      </c>
      <c r="L20" s="638">
        <f>'Calc tab'!L16</f>
        <v/>
      </c>
      <c r="M20" s="638">
        <f>'Calc tab'!M16</f>
        <v/>
      </c>
      <c r="N20" s="638">
        <f>'Calc tab'!N16</f>
        <v/>
      </c>
      <c r="O20" s="638">
        <f>'Calc tab'!O16</f>
        <v/>
      </c>
      <c r="P20" s="638">
        <f>'Calc tab'!P16</f>
        <v/>
      </c>
      <c r="Q20" s="638">
        <f>'Calc tab'!Q16</f>
        <v/>
      </c>
      <c r="R20" s="638">
        <f>'Calc tab'!R16</f>
        <v/>
      </c>
      <c r="S20" s="638">
        <f>'Calc tab'!S16</f>
        <v/>
      </c>
      <c r="T20" s="638">
        <f>'Calc tab'!T16</f>
        <v/>
      </c>
      <c r="U20" s="638">
        <f>'Calc tab'!U16</f>
        <v/>
      </c>
      <c r="V20" s="638">
        <f>'Calc tab'!V16</f>
        <v/>
      </c>
      <c r="W20" s="638">
        <f>'Calc tab'!W16</f>
        <v/>
      </c>
      <c r="X20" s="638">
        <f>'Calc tab'!X16</f>
        <v/>
      </c>
      <c r="Y20" s="638">
        <f>'Calc tab'!Y16</f>
        <v/>
      </c>
      <c r="Z20" s="638">
        <f>'Calc tab'!Z16</f>
        <v/>
      </c>
      <c r="AA20" s="638">
        <f>'Calc tab'!AA16</f>
        <v/>
      </c>
      <c r="AB20" s="638">
        <f>'Calc tab'!AB16</f>
        <v/>
      </c>
      <c r="AC20" s="638">
        <f>'Calc tab'!AC16</f>
        <v/>
      </c>
      <c r="AD20" s="638">
        <f>'Calc tab'!AD16</f>
        <v/>
      </c>
      <c r="AE20" s="638">
        <f>'Calc tab'!AE16</f>
        <v/>
      </c>
      <c r="AF20" s="639">
        <f>'Calc tab'!AF16</f>
        <v/>
      </c>
      <c r="AG20" s="640">
        <f>'Calc tab'!AG16</f>
        <v/>
      </c>
      <c r="AH20" s="857">
        <f>'Calc tab'!AH16</f>
        <v/>
      </c>
      <c r="AI20" s="648" t="n"/>
    </row>
    <row r="21" ht="30" customHeight="1" s="685">
      <c r="A21" s="4">
        <f>'Calc tab'!A17</f>
        <v/>
      </c>
      <c r="B21" s="637">
        <f>'Calc tab'!B17</f>
        <v/>
      </c>
      <c r="C21" s="637">
        <f>'Calc tab'!C17</f>
        <v/>
      </c>
      <c r="D21" s="638">
        <f>'Calc tab'!D17</f>
        <v/>
      </c>
      <c r="E21" s="638">
        <f>'Calc tab'!E17</f>
        <v/>
      </c>
      <c r="F21" s="638">
        <f>'Calc tab'!F17</f>
        <v/>
      </c>
      <c r="G21" s="638">
        <f>'Calc tab'!G17</f>
        <v/>
      </c>
      <c r="H21" s="638">
        <f>'Calc tab'!H17</f>
        <v/>
      </c>
      <c r="I21" s="638">
        <f>'Calc tab'!I17</f>
        <v/>
      </c>
      <c r="J21" s="638">
        <f>'Calc tab'!J17</f>
        <v/>
      </c>
      <c r="K21" s="638">
        <f>'Calc tab'!K17</f>
        <v/>
      </c>
      <c r="L21" s="638">
        <f>'Calc tab'!L17</f>
        <v/>
      </c>
      <c r="M21" s="638">
        <f>'Calc tab'!M17</f>
        <v/>
      </c>
      <c r="N21" s="638">
        <f>'Calc tab'!N17</f>
        <v/>
      </c>
      <c r="O21" s="638">
        <f>'Calc tab'!O17</f>
        <v/>
      </c>
      <c r="P21" s="638">
        <f>'Calc tab'!P17</f>
        <v/>
      </c>
      <c r="Q21" s="638">
        <f>'Calc tab'!Q17</f>
        <v/>
      </c>
      <c r="R21" s="638">
        <f>'Calc tab'!R17</f>
        <v/>
      </c>
      <c r="S21" s="638">
        <f>'Calc tab'!S17</f>
        <v/>
      </c>
      <c r="T21" s="638">
        <f>'Calc tab'!T17</f>
        <v/>
      </c>
      <c r="U21" s="638">
        <f>'Calc tab'!U17</f>
        <v/>
      </c>
      <c r="V21" s="638">
        <f>'Calc tab'!V17</f>
        <v/>
      </c>
      <c r="W21" s="638">
        <f>'Calc tab'!W17</f>
        <v/>
      </c>
      <c r="X21" s="638">
        <f>'Calc tab'!X17</f>
        <v/>
      </c>
      <c r="Y21" s="638">
        <f>'Calc tab'!Y17</f>
        <v/>
      </c>
      <c r="Z21" s="638">
        <f>'Calc tab'!Z17</f>
        <v/>
      </c>
      <c r="AA21" s="638">
        <f>'Calc tab'!AA17</f>
        <v/>
      </c>
      <c r="AB21" s="638">
        <f>'Calc tab'!AB17</f>
        <v/>
      </c>
      <c r="AC21" s="638">
        <f>'Calc tab'!AC17</f>
        <v/>
      </c>
      <c r="AD21" s="638">
        <f>'Calc tab'!AD17</f>
        <v/>
      </c>
      <c r="AE21" s="638">
        <f>'Calc tab'!AE17</f>
        <v/>
      </c>
      <c r="AF21" s="639">
        <f>'Calc tab'!AF17</f>
        <v/>
      </c>
      <c r="AG21" s="640">
        <f>'Calc tab'!AG17</f>
        <v/>
      </c>
      <c r="AH21" s="857">
        <f>'Calc tab'!AH17</f>
        <v/>
      </c>
      <c r="AI21" s="648" t="n"/>
    </row>
    <row r="22" ht="30" customHeight="1" s="685">
      <c r="A22" s="4">
        <f>'Calc tab'!A18</f>
        <v/>
      </c>
      <c r="B22" s="637">
        <f>'Calc tab'!B18</f>
        <v/>
      </c>
      <c r="C22" s="637">
        <f>'Calc tab'!C18</f>
        <v/>
      </c>
      <c r="D22" s="638">
        <f>'Calc tab'!D18</f>
        <v/>
      </c>
      <c r="E22" s="638">
        <f>'Calc tab'!E18</f>
        <v/>
      </c>
      <c r="F22" s="638">
        <f>'Calc tab'!F18</f>
        <v/>
      </c>
      <c r="G22" s="638">
        <f>'Calc tab'!G18</f>
        <v/>
      </c>
      <c r="H22" s="638">
        <f>'Calc tab'!H18</f>
        <v/>
      </c>
      <c r="I22" s="638">
        <f>'Calc tab'!I18</f>
        <v/>
      </c>
      <c r="J22" s="638">
        <f>'Calc tab'!J18</f>
        <v/>
      </c>
      <c r="K22" s="638">
        <f>'Calc tab'!K18</f>
        <v/>
      </c>
      <c r="L22" s="638">
        <f>'Calc tab'!L18</f>
        <v/>
      </c>
      <c r="M22" s="638">
        <f>'Calc tab'!M18</f>
        <v/>
      </c>
      <c r="N22" s="638">
        <f>'Calc tab'!N18</f>
        <v/>
      </c>
      <c r="O22" s="638">
        <f>'Calc tab'!O18</f>
        <v/>
      </c>
      <c r="P22" s="638">
        <f>'Calc tab'!P18</f>
        <v/>
      </c>
      <c r="Q22" s="638">
        <f>'Calc tab'!Q18</f>
        <v/>
      </c>
      <c r="R22" s="638">
        <f>'Calc tab'!R18</f>
        <v/>
      </c>
      <c r="S22" s="638">
        <f>'Calc tab'!S18</f>
        <v/>
      </c>
      <c r="T22" s="638">
        <f>'Calc tab'!T18</f>
        <v/>
      </c>
      <c r="U22" s="638">
        <f>'Calc tab'!U18</f>
        <v/>
      </c>
      <c r="V22" s="638">
        <f>'Calc tab'!V18</f>
        <v/>
      </c>
      <c r="W22" s="638">
        <f>'Calc tab'!W18</f>
        <v/>
      </c>
      <c r="X22" s="638">
        <f>'Calc tab'!X18</f>
        <v/>
      </c>
      <c r="Y22" s="638">
        <f>'Calc tab'!Y18</f>
        <v/>
      </c>
      <c r="Z22" s="638">
        <f>'Calc tab'!Z18</f>
        <v/>
      </c>
      <c r="AA22" s="638">
        <f>'Calc tab'!AA18</f>
        <v/>
      </c>
      <c r="AB22" s="638">
        <f>'Calc tab'!AB18</f>
        <v/>
      </c>
      <c r="AC22" s="638">
        <f>'Calc tab'!AC18</f>
        <v/>
      </c>
      <c r="AD22" s="638">
        <f>'Calc tab'!AD18</f>
        <v/>
      </c>
      <c r="AE22" s="638">
        <f>'Calc tab'!AE18</f>
        <v/>
      </c>
      <c r="AF22" s="639">
        <f>'Calc tab'!AF18</f>
        <v/>
      </c>
      <c r="AG22" s="640">
        <f>'Calc tab'!AG18</f>
        <v/>
      </c>
      <c r="AH22" s="857">
        <f>'Calc tab'!AH18</f>
        <v/>
      </c>
      <c r="AI22" s="648" t="n"/>
    </row>
    <row r="23" ht="30" customHeight="1" s="685">
      <c r="A23" s="4">
        <f>'Calc tab'!A19</f>
        <v/>
      </c>
      <c r="B23" s="637">
        <f>'Calc tab'!B19</f>
        <v/>
      </c>
      <c r="C23" s="637">
        <f>'Calc tab'!C19</f>
        <v/>
      </c>
      <c r="D23" s="638">
        <f>'Calc tab'!D19</f>
        <v/>
      </c>
      <c r="E23" s="638">
        <f>'Calc tab'!E19</f>
        <v/>
      </c>
      <c r="F23" s="638">
        <f>'Calc tab'!F19</f>
        <v/>
      </c>
      <c r="G23" s="638">
        <f>'Calc tab'!G19</f>
        <v/>
      </c>
      <c r="H23" s="638">
        <f>'Calc tab'!H19</f>
        <v/>
      </c>
      <c r="I23" s="638">
        <f>'Calc tab'!I19</f>
        <v/>
      </c>
      <c r="J23" s="638">
        <f>'Calc tab'!J19</f>
        <v/>
      </c>
      <c r="K23" s="638">
        <f>'Calc tab'!K19</f>
        <v/>
      </c>
      <c r="L23" s="638">
        <f>'Calc tab'!L19</f>
        <v/>
      </c>
      <c r="M23" s="638">
        <f>'Calc tab'!M19</f>
        <v/>
      </c>
      <c r="N23" s="638">
        <f>'Calc tab'!N19</f>
        <v/>
      </c>
      <c r="O23" s="638">
        <f>'Calc tab'!O19</f>
        <v/>
      </c>
      <c r="P23" s="638">
        <f>'Calc tab'!P19</f>
        <v/>
      </c>
      <c r="Q23" s="638">
        <f>'Calc tab'!Q19</f>
        <v/>
      </c>
      <c r="R23" s="638">
        <f>'Calc tab'!R19</f>
        <v/>
      </c>
      <c r="S23" s="638">
        <f>'Calc tab'!S19</f>
        <v/>
      </c>
      <c r="T23" s="638">
        <f>'Calc tab'!T19</f>
        <v/>
      </c>
      <c r="U23" s="638">
        <f>'Calc tab'!U19</f>
        <v/>
      </c>
      <c r="V23" s="638">
        <f>'Calc tab'!V19</f>
        <v/>
      </c>
      <c r="W23" s="638">
        <f>'Calc tab'!W19</f>
        <v/>
      </c>
      <c r="X23" s="638">
        <f>'Calc tab'!X19</f>
        <v/>
      </c>
      <c r="Y23" s="638">
        <f>'Calc tab'!Y19</f>
        <v/>
      </c>
      <c r="Z23" s="638">
        <f>'Calc tab'!Z19</f>
        <v/>
      </c>
      <c r="AA23" s="638">
        <f>'Calc tab'!AA19</f>
        <v/>
      </c>
      <c r="AB23" s="638">
        <f>'Calc tab'!AB19</f>
        <v/>
      </c>
      <c r="AC23" s="638">
        <f>'Calc tab'!AC19</f>
        <v/>
      </c>
      <c r="AD23" s="638">
        <f>'Calc tab'!AD19</f>
        <v/>
      </c>
      <c r="AE23" s="638">
        <f>'Calc tab'!AE19</f>
        <v/>
      </c>
      <c r="AF23" s="642">
        <f>'Calc tab'!AF19</f>
        <v/>
      </c>
      <c r="AG23" s="643">
        <f>'Calc tab'!AG19</f>
        <v/>
      </c>
      <c r="AH23" s="858">
        <f>'Calc tab'!AH19</f>
        <v/>
      </c>
      <c r="AI23" s="649" t="n"/>
    </row>
    <row r="24" customFormat="1" s="1">
      <c r="A24" s="645">
        <f>'Calc tab'!A20</f>
        <v/>
      </c>
      <c r="B24" s="646">
        <f>'Calc tab'!B20</f>
        <v/>
      </c>
      <c r="C24" s="646">
        <f>'Calc tab'!C20</f>
        <v/>
      </c>
      <c r="D24" s="646">
        <f>'Calc tab'!D20</f>
        <v/>
      </c>
      <c r="E24" s="646">
        <f>'Calc tab'!E20</f>
        <v/>
      </c>
      <c r="F24" s="646">
        <f>'Calc tab'!F20</f>
        <v/>
      </c>
      <c r="G24" s="646">
        <f>'Calc tab'!G20</f>
        <v/>
      </c>
      <c r="H24" s="646">
        <f>'Calc tab'!H20</f>
        <v/>
      </c>
      <c r="I24" s="646">
        <f>'Calc tab'!I20</f>
        <v/>
      </c>
      <c r="J24" s="646">
        <f>'Calc tab'!J20</f>
        <v/>
      </c>
      <c r="K24" s="646">
        <f>'Calc tab'!K20</f>
        <v/>
      </c>
      <c r="L24" s="646">
        <f>'Calc tab'!L20</f>
        <v/>
      </c>
      <c r="M24" s="646">
        <f>'Calc tab'!M20</f>
        <v/>
      </c>
      <c r="N24" s="646">
        <f>'Calc tab'!N20</f>
        <v/>
      </c>
      <c r="O24" s="646">
        <f>'Calc tab'!O20</f>
        <v/>
      </c>
      <c r="P24" s="646">
        <f>'Calc tab'!P20</f>
        <v/>
      </c>
      <c r="Q24" s="646">
        <f>'Calc tab'!Q20</f>
        <v/>
      </c>
      <c r="R24" s="646">
        <f>'Calc tab'!R20</f>
        <v/>
      </c>
      <c r="S24" s="646">
        <f>'Calc tab'!S20</f>
        <v/>
      </c>
      <c r="T24" s="646">
        <f>'Calc tab'!T20</f>
        <v/>
      </c>
      <c r="U24" s="646">
        <f>'Calc tab'!U20</f>
        <v/>
      </c>
      <c r="V24" s="646">
        <f>'Calc tab'!V20</f>
        <v/>
      </c>
      <c r="W24" s="646">
        <f>'Calc tab'!W20</f>
        <v/>
      </c>
      <c r="X24" s="646">
        <f>'Calc tab'!X20</f>
        <v/>
      </c>
      <c r="Y24" s="646">
        <f>'Calc tab'!Y20</f>
        <v/>
      </c>
      <c r="Z24" s="646">
        <f>'Calc tab'!Z20</f>
        <v/>
      </c>
      <c r="AA24" s="646">
        <f>'Calc tab'!AA20</f>
        <v/>
      </c>
      <c r="AB24" s="646">
        <f>'Calc tab'!AB20</f>
        <v/>
      </c>
      <c r="AC24" s="646">
        <f>'Calc tab'!AC20</f>
        <v/>
      </c>
      <c r="AD24" s="646">
        <f>'Calc tab'!AD20</f>
        <v/>
      </c>
      <c r="AE24" s="646">
        <f>'Calc tab'!AE20</f>
        <v/>
      </c>
      <c r="AF24" s="640" t="n"/>
      <c r="AG24" s="640" t="n"/>
      <c r="AH24" s="859" t="n"/>
    </row>
    <row r="26" hidden="1" s="685"/>
    <row r="27" hidden="1" customFormat="1" s="194">
      <c r="A27" s="393">
        <f>'Calc tab'!A23</f>
        <v/>
      </c>
      <c r="B27" s="193">
        <f>'Calc tab'!B23</f>
        <v/>
      </c>
      <c r="C27" s="193">
        <f>'Calc tab'!C23</f>
        <v/>
      </c>
      <c r="D27" s="193">
        <f>'Calc tab'!D23</f>
        <v/>
      </c>
      <c r="E27" s="193">
        <f>'Calc tab'!E23</f>
        <v/>
      </c>
      <c r="F27" s="193">
        <f>'Calc tab'!F23</f>
        <v/>
      </c>
      <c r="G27" s="193">
        <f>'Calc tab'!G23</f>
        <v/>
      </c>
      <c r="H27" s="193">
        <f>'Calc tab'!H23</f>
        <v/>
      </c>
      <c r="I27" s="193">
        <f>'Calc tab'!I23</f>
        <v/>
      </c>
      <c r="J27" s="193">
        <f>'Calc tab'!J23</f>
        <v/>
      </c>
      <c r="K27" s="193">
        <f>'Calc tab'!K23</f>
        <v/>
      </c>
      <c r="L27" s="193">
        <f>'Calc tab'!L23</f>
        <v/>
      </c>
      <c r="M27" s="193">
        <f>'Calc tab'!M23</f>
        <v/>
      </c>
      <c r="N27" s="193">
        <f>'Calc tab'!N23</f>
        <v/>
      </c>
      <c r="O27" s="193">
        <f>'Calc tab'!O23</f>
        <v/>
      </c>
      <c r="P27" s="193">
        <f>'Calc tab'!P23</f>
        <v/>
      </c>
      <c r="Q27" s="193">
        <f>'Calc tab'!Q23</f>
        <v/>
      </c>
      <c r="R27" s="193">
        <f>'Calc tab'!R23</f>
        <v/>
      </c>
      <c r="S27" s="193">
        <f>'Calc tab'!S23</f>
        <v/>
      </c>
      <c r="T27" s="193">
        <f>'Calc tab'!T23</f>
        <v/>
      </c>
      <c r="U27" s="193">
        <f>'Calc tab'!U23</f>
        <v/>
      </c>
      <c r="V27" s="193">
        <f>'Calc tab'!V23</f>
        <v/>
      </c>
      <c r="W27" s="193">
        <f>'Calc tab'!W23</f>
        <v/>
      </c>
      <c r="X27" s="193">
        <f>'Calc tab'!X23</f>
        <v/>
      </c>
      <c r="Y27" s="193">
        <f>'Calc tab'!Y23</f>
        <v/>
      </c>
      <c r="Z27" s="193">
        <f>'Calc tab'!Z23</f>
        <v/>
      </c>
      <c r="AA27" s="193">
        <f>'Calc tab'!AA23</f>
        <v/>
      </c>
      <c r="AB27" s="193">
        <f>'Calc tab'!AB23</f>
        <v/>
      </c>
      <c r="AC27" s="193">
        <f>'Calc tab'!AC23</f>
        <v/>
      </c>
      <c r="AD27" s="193">
        <f>'Calc tab'!AD23</f>
        <v/>
      </c>
      <c r="AE27" s="193">
        <f>'Calc tab'!AE23</f>
        <v/>
      </c>
      <c r="AF27" s="394" t="n"/>
      <c r="AG27" s="394" t="n"/>
      <c r="AH27" s="830" t="n"/>
    </row>
    <row r="28" hidden="1" customFormat="1" s="194">
      <c r="A28" s="394">
        <f>'Calc tab'!A24</f>
        <v/>
      </c>
      <c r="B28" s="823">
        <f>'Calc tab'!B24</f>
        <v/>
      </c>
      <c r="C28" s="823">
        <f>'Calc tab'!C24</f>
        <v/>
      </c>
      <c r="D28" s="823">
        <f>'Calc tab'!D24</f>
        <v/>
      </c>
      <c r="E28" s="823">
        <f>'Calc tab'!E24</f>
        <v/>
      </c>
      <c r="F28" s="823">
        <f>'Calc tab'!F24</f>
        <v/>
      </c>
      <c r="G28" s="823">
        <f>'Calc tab'!G24</f>
        <v/>
      </c>
      <c r="H28" s="823">
        <f>'Calc tab'!H24</f>
        <v/>
      </c>
      <c r="I28" s="823">
        <f>'Calc tab'!I24</f>
        <v/>
      </c>
      <c r="J28" s="823">
        <f>'Calc tab'!J24</f>
        <v/>
      </c>
      <c r="K28" s="823">
        <f>'Calc tab'!K24</f>
        <v/>
      </c>
      <c r="L28" s="823">
        <f>'Calc tab'!L24</f>
        <v/>
      </c>
      <c r="M28" s="823">
        <f>'Calc tab'!M24</f>
        <v/>
      </c>
      <c r="N28" s="823">
        <f>'Calc tab'!N24</f>
        <v/>
      </c>
      <c r="O28" s="823">
        <f>'Calc tab'!O24</f>
        <v/>
      </c>
      <c r="P28" s="823">
        <f>'Calc tab'!P24</f>
        <v/>
      </c>
      <c r="Q28" s="823">
        <f>'Calc tab'!Q24</f>
        <v/>
      </c>
      <c r="R28" s="823">
        <f>'Calc tab'!R24</f>
        <v/>
      </c>
      <c r="S28" s="823">
        <f>'Calc tab'!S24</f>
        <v/>
      </c>
      <c r="T28" s="823">
        <f>'Calc tab'!T24</f>
        <v/>
      </c>
      <c r="U28" s="823">
        <f>'Calc tab'!U24</f>
        <v/>
      </c>
      <c r="V28" s="823">
        <f>'Calc tab'!V24</f>
        <v/>
      </c>
      <c r="W28" s="823">
        <f>'Calc tab'!W24</f>
        <v/>
      </c>
      <c r="X28" s="823">
        <f>'Calc tab'!X24</f>
        <v/>
      </c>
      <c r="Y28" s="823">
        <f>'Calc tab'!Y24</f>
        <v/>
      </c>
      <c r="Z28" s="823">
        <f>'Calc tab'!Z24</f>
        <v/>
      </c>
      <c r="AA28" s="823">
        <f>'Calc tab'!AA24</f>
        <v/>
      </c>
      <c r="AB28" s="823">
        <f>'Calc tab'!AB24</f>
        <v/>
      </c>
      <c r="AC28" s="823">
        <f>'Calc tab'!AC24</f>
        <v/>
      </c>
      <c r="AD28" s="823">
        <f>'Calc tab'!AD24</f>
        <v/>
      </c>
      <c r="AE28" s="823">
        <f>'Calc tab'!AE24</f>
        <v/>
      </c>
      <c r="AF28" s="394" t="n"/>
      <c r="AG28" s="394" t="n"/>
      <c r="AH28" s="830" t="n"/>
    </row>
    <row r="29" hidden="1" customFormat="1" s="194">
      <c r="A29" s="394">
        <f>'Calc tab'!A25</f>
        <v/>
      </c>
      <c r="B29" s="823">
        <f>'Calc tab'!B25</f>
        <v/>
      </c>
      <c r="C29" s="823">
        <f>'Calc tab'!C25</f>
        <v/>
      </c>
      <c r="D29" s="823">
        <f>'Calc tab'!D25</f>
        <v/>
      </c>
      <c r="E29" s="823">
        <f>'Calc tab'!E25</f>
        <v/>
      </c>
      <c r="F29" s="823">
        <f>'Calc tab'!F25</f>
        <v/>
      </c>
      <c r="G29" s="823">
        <f>'Calc tab'!G25</f>
        <v/>
      </c>
      <c r="H29" s="823">
        <f>'Calc tab'!H25</f>
        <v/>
      </c>
      <c r="I29" s="823">
        <f>'Calc tab'!I25</f>
        <v/>
      </c>
      <c r="J29" s="823">
        <f>'Calc tab'!J25</f>
        <v/>
      </c>
      <c r="K29" s="823">
        <f>'Calc tab'!K25</f>
        <v/>
      </c>
      <c r="L29" s="823">
        <f>'Calc tab'!L25</f>
        <v/>
      </c>
      <c r="M29" s="823">
        <f>'Calc tab'!M25</f>
        <v/>
      </c>
      <c r="N29" s="823">
        <f>'Calc tab'!N25</f>
        <v/>
      </c>
      <c r="O29" s="823">
        <f>'Calc tab'!O25</f>
        <v/>
      </c>
      <c r="P29" s="823">
        <f>'Calc tab'!P25</f>
        <v/>
      </c>
      <c r="Q29" s="823">
        <f>'Calc tab'!Q25</f>
        <v/>
      </c>
      <c r="R29" s="823">
        <f>'Calc tab'!R25</f>
        <v/>
      </c>
      <c r="S29" s="823">
        <f>'Calc tab'!S25</f>
        <v/>
      </c>
      <c r="T29" s="823">
        <f>'Calc tab'!T25</f>
        <v/>
      </c>
      <c r="U29" s="823">
        <f>'Calc tab'!U25</f>
        <v/>
      </c>
      <c r="V29" s="823">
        <f>'Calc tab'!V25</f>
        <v/>
      </c>
      <c r="W29" s="823">
        <f>'Calc tab'!W25</f>
        <v/>
      </c>
      <c r="X29" s="823">
        <f>'Calc tab'!X25</f>
        <v/>
      </c>
      <c r="Y29" s="823">
        <f>'Calc tab'!Y25</f>
        <v/>
      </c>
      <c r="Z29" s="823">
        <f>'Calc tab'!Z25</f>
        <v/>
      </c>
      <c r="AA29" s="823">
        <f>'Calc tab'!AA25</f>
        <v/>
      </c>
      <c r="AB29" s="823">
        <f>'Calc tab'!AB25</f>
        <v/>
      </c>
      <c r="AC29" s="823">
        <f>'Calc tab'!AC25</f>
        <v/>
      </c>
      <c r="AD29" s="823">
        <f>'Calc tab'!AD25</f>
        <v/>
      </c>
      <c r="AE29" s="823">
        <f>'Calc tab'!AE25</f>
        <v/>
      </c>
      <c r="AF29" s="394" t="n"/>
      <c r="AG29" s="394" t="n"/>
      <c r="AH29" s="830" t="n"/>
    </row>
    <row r="30" hidden="1" customFormat="1" s="194">
      <c r="A30" s="394">
        <f>'Calc tab'!A26</f>
        <v/>
      </c>
      <c r="B30" s="823">
        <f>'Calc tab'!B26</f>
        <v/>
      </c>
      <c r="C30" s="823">
        <f>'Calc tab'!C26</f>
        <v/>
      </c>
      <c r="D30" s="823">
        <f>'Calc tab'!D26</f>
        <v/>
      </c>
      <c r="E30" s="823">
        <f>'Calc tab'!E26</f>
        <v/>
      </c>
      <c r="F30" s="823">
        <f>'Calc tab'!F26</f>
        <v/>
      </c>
      <c r="G30" s="823">
        <f>'Calc tab'!G26</f>
        <v/>
      </c>
      <c r="H30" s="823">
        <f>'Calc tab'!H26</f>
        <v/>
      </c>
      <c r="I30" s="823">
        <f>'Calc tab'!I26</f>
        <v/>
      </c>
      <c r="J30" s="823">
        <f>'Calc tab'!J26</f>
        <v/>
      </c>
      <c r="K30" s="823">
        <f>'Calc tab'!K26</f>
        <v/>
      </c>
      <c r="L30" s="823">
        <f>'Calc tab'!L26</f>
        <v/>
      </c>
      <c r="M30" s="823">
        <f>'Calc tab'!M26</f>
        <v/>
      </c>
      <c r="N30" s="823">
        <f>'Calc tab'!N26</f>
        <v/>
      </c>
      <c r="O30" s="823">
        <f>'Calc tab'!O26</f>
        <v/>
      </c>
      <c r="P30" s="823">
        <f>'Calc tab'!P26</f>
        <v/>
      </c>
      <c r="Q30" s="823">
        <f>'Calc tab'!Q26</f>
        <v/>
      </c>
      <c r="R30" s="823">
        <f>'Calc tab'!R26</f>
        <v/>
      </c>
      <c r="S30" s="823">
        <f>'Calc tab'!S26</f>
        <v/>
      </c>
      <c r="T30" s="823">
        <f>'Calc tab'!T26</f>
        <v/>
      </c>
      <c r="U30" s="823">
        <f>'Calc tab'!U26</f>
        <v/>
      </c>
      <c r="V30" s="823">
        <f>'Calc tab'!V26</f>
        <v/>
      </c>
      <c r="W30" s="823">
        <f>'Calc tab'!W26</f>
        <v/>
      </c>
      <c r="X30" s="823">
        <f>'Calc tab'!X26</f>
        <v/>
      </c>
      <c r="Y30" s="823">
        <f>'Calc tab'!Y26</f>
        <v/>
      </c>
      <c r="Z30" s="823">
        <f>'Calc tab'!Z26</f>
        <v/>
      </c>
      <c r="AA30" s="823">
        <f>'Calc tab'!AA26</f>
        <v/>
      </c>
      <c r="AB30" s="823">
        <f>'Calc tab'!AB26</f>
        <v/>
      </c>
      <c r="AC30" s="823">
        <f>'Calc tab'!AC26</f>
        <v/>
      </c>
      <c r="AD30" s="823">
        <f>'Calc tab'!AD26</f>
        <v/>
      </c>
      <c r="AE30" s="823">
        <f>'Calc tab'!AE26</f>
        <v/>
      </c>
      <c r="AF30" s="394" t="n"/>
      <c r="AG30" s="394" t="n"/>
      <c r="AH30" s="830" t="n"/>
    </row>
    <row r="31" hidden="1" customFormat="1" s="194">
      <c r="A31" s="394">
        <f>'Calc tab'!A27</f>
        <v/>
      </c>
      <c r="B31" s="823">
        <f>'Calc tab'!B27</f>
        <v/>
      </c>
      <c r="C31" s="823">
        <f>'Calc tab'!C27</f>
        <v/>
      </c>
      <c r="D31" s="823">
        <f>'Calc tab'!D27</f>
        <v/>
      </c>
      <c r="E31" s="823">
        <f>'Calc tab'!E27</f>
        <v/>
      </c>
      <c r="F31" s="823">
        <f>'Calc tab'!F27</f>
        <v/>
      </c>
      <c r="G31" s="823">
        <f>'Calc tab'!G27</f>
        <v/>
      </c>
      <c r="H31" s="823">
        <f>'Calc tab'!H27</f>
        <v/>
      </c>
      <c r="I31" s="823">
        <f>'Calc tab'!I27</f>
        <v/>
      </c>
      <c r="J31" s="823">
        <f>'Calc tab'!J27</f>
        <v/>
      </c>
      <c r="K31" s="823">
        <f>'Calc tab'!K27</f>
        <v/>
      </c>
      <c r="L31" s="823">
        <f>'Calc tab'!L27</f>
        <v/>
      </c>
      <c r="M31" s="823">
        <f>'Calc tab'!M27</f>
        <v/>
      </c>
      <c r="N31" s="823">
        <f>'Calc tab'!N27</f>
        <v/>
      </c>
      <c r="O31" s="823">
        <f>'Calc tab'!O27</f>
        <v/>
      </c>
      <c r="P31" s="823">
        <f>'Calc tab'!P27</f>
        <v/>
      </c>
      <c r="Q31" s="823">
        <f>'Calc tab'!Q27</f>
        <v/>
      </c>
      <c r="R31" s="823">
        <f>'Calc tab'!R27</f>
        <v/>
      </c>
      <c r="S31" s="823">
        <f>'Calc tab'!S27</f>
        <v/>
      </c>
      <c r="T31" s="823">
        <f>'Calc tab'!T27</f>
        <v/>
      </c>
      <c r="U31" s="823">
        <f>'Calc tab'!U27</f>
        <v/>
      </c>
      <c r="V31" s="823">
        <f>'Calc tab'!V27</f>
        <v/>
      </c>
      <c r="W31" s="823">
        <f>'Calc tab'!W27</f>
        <v/>
      </c>
      <c r="X31" s="823">
        <f>'Calc tab'!X27</f>
        <v/>
      </c>
      <c r="Y31" s="823">
        <f>'Calc tab'!Y27</f>
        <v/>
      </c>
      <c r="Z31" s="823">
        <f>'Calc tab'!Z27</f>
        <v/>
      </c>
      <c r="AA31" s="823">
        <f>'Calc tab'!AA27</f>
        <v/>
      </c>
      <c r="AB31" s="823">
        <f>'Calc tab'!AB27</f>
        <v/>
      </c>
      <c r="AC31" s="823">
        <f>'Calc tab'!AC27</f>
        <v/>
      </c>
      <c r="AD31" s="823">
        <f>'Calc tab'!AD27</f>
        <v/>
      </c>
      <c r="AE31" s="823">
        <f>'Calc tab'!AE27</f>
        <v/>
      </c>
      <c r="AF31" s="394" t="n"/>
      <c r="AG31" s="394" t="n"/>
      <c r="AH31" s="830" t="n"/>
    </row>
    <row r="32" hidden="1" customFormat="1" s="194">
      <c r="A32" s="394">
        <f>'Calc tab'!A28</f>
        <v/>
      </c>
      <c r="B32" s="823">
        <f>'Calc tab'!B28</f>
        <v/>
      </c>
      <c r="C32" s="823">
        <f>'Calc tab'!C28</f>
        <v/>
      </c>
      <c r="D32" s="823">
        <f>'Calc tab'!D28</f>
        <v/>
      </c>
      <c r="E32" s="823">
        <f>'Calc tab'!E28</f>
        <v/>
      </c>
      <c r="F32" s="823">
        <f>'Calc tab'!F28</f>
        <v/>
      </c>
      <c r="G32" s="823">
        <f>'Calc tab'!G28</f>
        <v/>
      </c>
      <c r="H32" s="823">
        <f>'Calc tab'!H28</f>
        <v/>
      </c>
      <c r="I32" s="823">
        <f>'Calc tab'!I28</f>
        <v/>
      </c>
      <c r="J32" s="823">
        <f>'Calc tab'!J28</f>
        <v/>
      </c>
      <c r="K32" s="823">
        <f>'Calc tab'!K28</f>
        <v/>
      </c>
      <c r="L32" s="823">
        <f>'Calc tab'!L28</f>
        <v/>
      </c>
      <c r="M32" s="823">
        <f>'Calc tab'!M28</f>
        <v/>
      </c>
      <c r="N32" s="823">
        <f>'Calc tab'!N28</f>
        <v/>
      </c>
      <c r="O32" s="823">
        <f>'Calc tab'!O28</f>
        <v/>
      </c>
      <c r="P32" s="823">
        <f>'Calc tab'!P28</f>
        <v/>
      </c>
      <c r="Q32" s="823">
        <f>'Calc tab'!Q28</f>
        <v/>
      </c>
      <c r="R32" s="823">
        <f>'Calc tab'!R28</f>
        <v/>
      </c>
      <c r="S32" s="823">
        <f>'Calc tab'!S28</f>
        <v/>
      </c>
      <c r="T32" s="823">
        <f>'Calc tab'!T28</f>
        <v/>
      </c>
      <c r="U32" s="823">
        <f>'Calc tab'!U28</f>
        <v/>
      </c>
      <c r="V32" s="823">
        <f>'Calc tab'!V28</f>
        <v/>
      </c>
      <c r="W32" s="823">
        <f>'Calc tab'!W28</f>
        <v/>
      </c>
      <c r="X32" s="823">
        <f>'Calc tab'!X28</f>
        <v/>
      </c>
      <c r="Y32" s="823">
        <f>'Calc tab'!Y28</f>
        <v/>
      </c>
      <c r="Z32" s="823">
        <f>'Calc tab'!Z28</f>
        <v/>
      </c>
      <c r="AA32" s="823">
        <f>'Calc tab'!AA28</f>
        <v/>
      </c>
      <c r="AB32" s="823">
        <f>'Calc tab'!AB28</f>
        <v/>
      </c>
      <c r="AC32" s="823">
        <f>'Calc tab'!AC28</f>
        <v/>
      </c>
      <c r="AD32" s="823">
        <f>'Calc tab'!AD28</f>
        <v/>
      </c>
      <c r="AE32" s="823">
        <f>'Calc tab'!AE28</f>
        <v/>
      </c>
      <c r="AF32" s="394" t="n"/>
      <c r="AG32" s="394" t="n"/>
      <c r="AH32" s="830" t="n"/>
    </row>
    <row r="33" hidden="1" customFormat="1" s="194">
      <c r="A33" s="394">
        <f>'Calc tab'!A29</f>
        <v/>
      </c>
      <c r="B33" s="823">
        <f>'Calc tab'!B29</f>
        <v/>
      </c>
      <c r="C33" s="823">
        <f>'Calc tab'!C29</f>
        <v/>
      </c>
      <c r="D33" s="823">
        <f>'Calc tab'!D29</f>
        <v/>
      </c>
      <c r="E33" s="823">
        <f>'Calc tab'!E29</f>
        <v/>
      </c>
      <c r="F33" s="823">
        <f>'Calc tab'!F29</f>
        <v/>
      </c>
      <c r="G33" s="823">
        <f>'Calc tab'!G29</f>
        <v/>
      </c>
      <c r="H33" s="823">
        <f>'Calc tab'!H29</f>
        <v/>
      </c>
      <c r="I33" s="823">
        <f>'Calc tab'!I29</f>
        <v/>
      </c>
      <c r="J33" s="823">
        <f>'Calc tab'!J29</f>
        <v/>
      </c>
      <c r="K33" s="823">
        <f>'Calc tab'!K29</f>
        <v/>
      </c>
      <c r="L33" s="823">
        <f>'Calc tab'!L29</f>
        <v/>
      </c>
      <c r="M33" s="823">
        <f>'Calc tab'!M29</f>
        <v/>
      </c>
      <c r="N33" s="823">
        <f>'Calc tab'!N29</f>
        <v/>
      </c>
      <c r="O33" s="823">
        <f>'Calc tab'!O29</f>
        <v/>
      </c>
      <c r="P33" s="823">
        <f>'Calc tab'!P29</f>
        <v/>
      </c>
      <c r="Q33" s="823">
        <f>'Calc tab'!Q29</f>
        <v/>
      </c>
      <c r="R33" s="823">
        <f>'Calc tab'!R29</f>
        <v/>
      </c>
      <c r="S33" s="823">
        <f>'Calc tab'!S29</f>
        <v/>
      </c>
      <c r="T33" s="823">
        <f>'Calc tab'!T29</f>
        <v/>
      </c>
      <c r="U33" s="823">
        <f>'Calc tab'!U29</f>
        <v/>
      </c>
      <c r="V33" s="823">
        <f>'Calc tab'!V29</f>
        <v/>
      </c>
      <c r="W33" s="823">
        <f>'Calc tab'!W29</f>
        <v/>
      </c>
      <c r="X33" s="823">
        <f>'Calc tab'!X29</f>
        <v/>
      </c>
      <c r="Y33" s="823">
        <f>'Calc tab'!Y29</f>
        <v/>
      </c>
      <c r="Z33" s="823">
        <f>'Calc tab'!Z29</f>
        <v/>
      </c>
      <c r="AA33" s="823">
        <f>'Calc tab'!AA29</f>
        <v/>
      </c>
      <c r="AB33" s="823">
        <f>'Calc tab'!AB29</f>
        <v/>
      </c>
      <c r="AC33" s="823">
        <f>'Calc tab'!AC29</f>
        <v/>
      </c>
      <c r="AD33" s="823">
        <f>'Calc tab'!AD29</f>
        <v/>
      </c>
      <c r="AE33" s="823">
        <f>'Calc tab'!AE29</f>
        <v/>
      </c>
      <c r="AF33" s="394" t="n"/>
      <c r="AG33" s="394" t="n"/>
      <c r="AH33" s="830" t="n"/>
    </row>
    <row r="34" hidden="1" customFormat="1" s="194">
      <c r="A34" s="394">
        <f>'Calc tab'!A30</f>
        <v/>
      </c>
      <c r="B34" s="823">
        <f>'Calc tab'!B30</f>
        <v/>
      </c>
      <c r="C34" s="823">
        <f>'Calc tab'!C30</f>
        <v/>
      </c>
      <c r="D34" s="823">
        <f>'Calc tab'!D30</f>
        <v/>
      </c>
      <c r="E34" s="823">
        <f>'Calc tab'!E30</f>
        <v/>
      </c>
      <c r="F34" s="823">
        <f>'Calc tab'!F30</f>
        <v/>
      </c>
      <c r="G34" s="823">
        <f>'Calc tab'!G30</f>
        <v/>
      </c>
      <c r="H34" s="823">
        <f>'Calc tab'!H30</f>
        <v/>
      </c>
      <c r="I34" s="823">
        <f>'Calc tab'!I30</f>
        <v/>
      </c>
      <c r="J34" s="823">
        <f>'Calc tab'!J30</f>
        <v/>
      </c>
      <c r="K34" s="823">
        <f>'Calc tab'!K30</f>
        <v/>
      </c>
      <c r="L34" s="823">
        <f>'Calc tab'!L30</f>
        <v/>
      </c>
      <c r="M34" s="823">
        <f>'Calc tab'!M30</f>
        <v/>
      </c>
      <c r="N34" s="823">
        <f>'Calc tab'!N30</f>
        <v/>
      </c>
      <c r="O34" s="823">
        <f>'Calc tab'!O30</f>
        <v/>
      </c>
      <c r="P34" s="823">
        <f>'Calc tab'!P30</f>
        <v/>
      </c>
      <c r="Q34" s="823">
        <f>'Calc tab'!Q30</f>
        <v/>
      </c>
      <c r="R34" s="823">
        <f>'Calc tab'!R30</f>
        <v/>
      </c>
      <c r="S34" s="823">
        <f>'Calc tab'!S30</f>
        <v/>
      </c>
      <c r="T34" s="823">
        <f>'Calc tab'!T30</f>
        <v/>
      </c>
      <c r="U34" s="823">
        <f>'Calc tab'!U30</f>
        <v/>
      </c>
      <c r="V34" s="823">
        <f>'Calc tab'!V30</f>
        <v/>
      </c>
      <c r="W34" s="823">
        <f>'Calc tab'!W30</f>
        <v/>
      </c>
      <c r="X34" s="823">
        <f>'Calc tab'!X30</f>
        <v/>
      </c>
      <c r="Y34" s="823">
        <f>'Calc tab'!Y30</f>
        <v/>
      </c>
      <c r="Z34" s="823">
        <f>'Calc tab'!Z30</f>
        <v/>
      </c>
      <c r="AA34" s="823">
        <f>'Calc tab'!AA30</f>
        <v/>
      </c>
      <c r="AB34" s="823">
        <f>'Calc tab'!AB30</f>
        <v/>
      </c>
      <c r="AC34" s="823">
        <f>'Calc tab'!AC30</f>
        <v/>
      </c>
      <c r="AD34" s="823">
        <f>'Calc tab'!AD30</f>
        <v/>
      </c>
      <c r="AE34" s="823">
        <f>'Calc tab'!AE30</f>
        <v/>
      </c>
      <c r="AF34" s="394" t="n"/>
      <c r="AG34" s="394" t="n"/>
      <c r="AH34" s="830" t="n"/>
    </row>
    <row r="35" hidden="1" ht="30" customFormat="1" customHeight="1" s="194">
      <c r="A35" s="394">
        <f>'Calc tab'!A31</f>
        <v/>
      </c>
      <c r="B35" s="823">
        <f>'Calc tab'!B31</f>
        <v/>
      </c>
      <c r="C35" s="823">
        <f>'Calc tab'!C31</f>
        <v/>
      </c>
      <c r="D35" s="823">
        <f>'Calc tab'!D31</f>
        <v/>
      </c>
      <c r="E35" s="823">
        <f>'Calc tab'!E31</f>
        <v/>
      </c>
      <c r="F35" s="823">
        <f>'Calc tab'!F31</f>
        <v/>
      </c>
      <c r="G35" s="823">
        <f>'Calc tab'!G31</f>
        <v/>
      </c>
      <c r="H35" s="823">
        <f>'Calc tab'!H31</f>
        <v/>
      </c>
      <c r="I35" s="823">
        <f>'Calc tab'!I31</f>
        <v/>
      </c>
      <c r="J35" s="823">
        <f>'Calc tab'!J31</f>
        <v/>
      </c>
      <c r="K35" s="823">
        <f>'Calc tab'!K31</f>
        <v/>
      </c>
      <c r="L35" s="823">
        <f>'Calc tab'!L31</f>
        <v/>
      </c>
      <c r="M35" s="823">
        <f>'Calc tab'!M31</f>
        <v/>
      </c>
      <c r="N35" s="823">
        <f>'Calc tab'!N31</f>
        <v/>
      </c>
      <c r="O35" s="823">
        <f>'Calc tab'!O31</f>
        <v/>
      </c>
      <c r="P35" s="823">
        <f>'Calc tab'!P31</f>
        <v/>
      </c>
      <c r="Q35" s="823">
        <f>'Calc tab'!Q31</f>
        <v/>
      </c>
      <c r="R35" s="823">
        <f>'Calc tab'!R31</f>
        <v/>
      </c>
      <c r="S35" s="823">
        <f>'Calc tab'!S31</f>
        <v/>
      </c>
      <c r="T35" s="823">
        <f>'Calc tab'!T31</f>
        <v/>
      </c>
      <c r="U35" s="823">
        <f>'Calc tab'!U31</f>
        <v/>
      </c>
      <c r="V35" s="823">
        <f>'Calc tab'!V31</f>
        <v/>
      </c>
      <c r="W35" s="823">
        <f>'Calc tab'!W31</f>
        <v/>
      </c>
      <c r="X35" s="823">
        <f>'Calc tab'!X31</f>
        <v/>
      </c>
      <c r="Y35" s="823">
        <f>'Calc tab'!Y31</f>
        <v/>
      </c>
      <c r="Z35" s="823">
        <f>'Calc tab'!Z31</f>
        <v/>
      </c>
      <c r="AA35" s="823">
        <f>'Calc tab'!AA31</f>
        <v/>
      </c>
      <c r="AB35" s="823">
        <f>'Calc tab'!AB31</f>
        <v/>
      </c>
      <c r="AC35" s="823">
        <f>'Calc tab'!AC31</f>
        <v/>
      </c>
      <c r="AD35" s="823">
        <f>'Calc tab'!AD31</f>
        <v/>
      </c>
      <c r="AE35" s="823">
        <f>'Calc tab'!AE31</f>
        <v/>
      </c>
      <c r="AF35" s="394" t="n"/>
      <c r="AG35" s="394" t="n"/>
      <c r="AH35" s="830" t="n"/>
    </row>
    <row r="36" hidden="1" ht="30" customFormat="1" customHeight="1" s="194">
      <c r="A36" s="394">
        <f>'Calc tab'!A32</f>
        <v/>
      </c>
      <c r="B36" s="823">
        <f>'Calc tab'!B32</f>
        <v/>
      </c>
      <c r="C36" s="823">
        <f>'Calc tab'!C32</f>
        <v/>
      </c>
      <c r="D36" s="823">
        <f>'Calc tab'!D32</f>
        <v/>
      </c>
      <c r="E36" s="823">
        <f>'Calc tab'!E32</f>
        <v/>
      </c>
      <c r="F36" s="823">
        <f>'Calc tab'!F32</f>
        <v/>
      </c>
      <c r="G36" s="823">
        <f>'Calc tab'!G32</f>
        <v/>
      </c>
      <c r="H36" s="823">
        <f>'Calc tab'!H32</f>
        <v/>
      </c>
      <c r="I36" s="823">
        <f>'Calc tab'!I32</f>
        <v/>
      </c>
      <c r="J36" s="823">
        <f>'Calc tab'!J32</f>
        <v/>
      </c>
      <c r="K36" s="823">
        <f>'Calc tab'!K32</f>
        <v/>
      </c>
      <c r="L36" s="823">
        <f>'Calc tab'!L32</f>
        <v/>
      </c>
      <c r="M36" s="823">
        <f>'Calc tab'!M32</f>
        <v/>
      </c>
      <c r="N36" s="823">
        <f>'Calc tab'!N32</f>
        <v/>
      </c>
      <c r="O36" s="823">
        <f>'Calc tab'!O32</f>
        <v/>
      </c>
      <c r="P36" s="823">
        <f>'Calc tab'!P32</f>
        <v/>
      </c>
      <c r="Q36" s="823">
        <f>'Calc tab'!Q32</f>
        <v/>
      </c>
      <c r="R36" s="823">
        <f>'Calc tab'!R32</f>
        <v/>
      </c>
      <c r="S36" s="823">
        <f>'Calc tab'!S32</f>
        <v/>
      </c>
      <c r="T36" s="823">
        <f>'Calc tab'!T32</f>
        <v/>
      </c>
      <c r="U36" s="823">
        <f>'Calc tab'!U32</f>
        <v/>
      </c>
      <c r="V36" s="823">
        <f>'Calc tab'!V32</f>
        <v/>
      </c>
      <c r="W36" s="823">
        <f>'Calc tab'!W32</f>
        <v/>
      </c>
      <c r="X36" s="823">
        <f>'Calc tab'!X32</f>
        <v/>
      </c>
      <c r="Y36" s="823">
        <f>'Calc tab'!Y32</f>
        <v/>
      </c>
      <c r="Z36" s="823">
        <f>'Calc tab'!Z32</f>
        <v/>
      </c>
      <c r="AA36" s="823">
        <f>'Calc tab'!AA32</f>
        <v/>
      </c>
      <c r="AB36" s="823">
        <f>'Calc tab'!AB32</f>
        <v/>
      </c>
      <c r="AC36" s="823">
        <f>'Calc tab'!AC32</f>
        <v/>
      </c>
      <c r="AD36" s="823">
        <f>'Calc tab'!AD32</f>
        <v/>
      </c>
      <c r="AE36" s="823">
        <f>'Calc tab'!AE32</f>
        <v/>
      </c>
      <c r="AF36" s="394" t="n"/>
      <c r="AG36" s="394" t="n"/>
      <c r="AH36" s="830" t="n"/>
    </row>
    <row r="37" hidden="1" ht="30" customFormat="1" customHeight="1" s="194">
      <c r="A37" s="394">
        <f>'Calc tab'!A33</f>
        <v/>
      </c>
      <c r="B37" s="823">
        <f>'Calc tab'!B33</f>
        <v/>
      </c>
      <c r="C37" s="823">
        <f>'Calc tab'!C33</f>
        <v/>
      </c>
      <c r="D37" s="823">
        <f>'Calc tab'!D33</f>
        <v/>
      </c>
      <c r="E37" s="823">
        <f>'Calc tab'!E33</f>
        <v/>
      </c>
      <c r="F37" s="823">
        <f>'Calc tab'!F33</f>
        <v/>
      </c>
      <c r="G37" s="823">
        <f>'Calc tab'!G33</f>
        <v/>
      </c>
      <c r="H37" s="823">
        <f>'Calc tab'!H33</f>
        <v/>
      </c>
      <c r="I37" s="823">
        <f>'Calc tab'!I33</f>
        <v/>
      </c>
      <c r="J37" s="823">
        <f>'Calc tab'!J33</f>
        <v/>
      </c>
      <c r="K37" s="823">
        <f>'Calc tab'!K33</f>
        <v/>
      </c>
      <c r="L37" s="823">
        <f>'Calc tab'!L33</f>
        <v/>
      </c>
      <c r="M37" s="823">
        <f>'Calc tab'!M33</f>
        <v/>
      </c>
      <c r="N37" s="823">
        <f>'Calc tab'!N33</f>
        <v/>
      </c>
      <c r="O37" s="823">
        <f>'Calc tab'!O33</f>
        <v/>
      </c>
      <c r="P37" s="823">
        <f>'Calc tab'!P33</f>
        <v/>
      </c>
      <c r="Q37" s="823">
        <f>'Calc tab'!Q33</f>
        <v/>
      </c>
      <c r="R37" s="823">
        <f>'Calc tab'!R33</f>
        <v/>
      </c>
      <c r="S37" s="823">
        <f>'Calc tab'!S33</f>
        <v/>
      </c>
      <c r="T37" s="823">
        <f>'Calc tab'!T33</f>
        <v/>
      </c>
      <c r="U37" s="823">
        <f>'Calc tab'!U33</f>
        <v/>
      </c>
      <c r="V37" s="823">
        <f>'Calc tab'!V33</f>
        <v/>
      </c>
      <c r="W37" s="823">
        <f>'Calc tab'!W33</f>
        <v/>
      </c>
      <c r="X37" s="823">
        <f>'Calc tab'!X33</f>
        <v/>
      </c>
      <c r="Y37" s="823">
        <f>'Calc tab'!Y33</f>
        <v/>
      </c>
      <c r="Z37" s="823">
        <f>'Calc tab'!Z33</f>
        <v/>
      </c>
      <c r="AA37" s="823">
        <f>'Calc tab'!AA33</f>
        <v/>
      </c>
      <c r="AB37" s="823">
        <f>'Calc tab'!AB33</f>
        <v/>
      </c>
      <c r="AC37" s="823">
        <f>'Calc tab'!AC33</f>
        <v/>
      </c>
      <c r="AD37" s="823">
        <f>'Calc tab'!AD33</f>
        <v/>
      </c>
      <c r="AE37" s="823">
        <f>'Calc tab'!AE33</f>
        <v/>
      </c>
      <c r="AF37" s="394" t="n"/>
      <c r="AG37" s="394" t="n"/>
      <c r="AH37" s="830" t="n"/>
    </row>
    <row r="38" hidden="1" ht="30" customFormat="1" customHeight="1" s="194">
      <c r="A38" s="394">
        <f>'Calc tab'!A34</f>
        <v/>
      </c>
      <c r="B38" s="823">
        <f>'Calc tab'!B34</f>
        <v/>
      </c>
      <c r="C38" s="823">
        <f>'Calc tab'!C34</f>
        <v/>
      </c>
      <c r="D38" s="823">
        <f>'Calc tab'!D34</f>
        <v/>
      </c>
      <c r="E38" s="823">
        <f>'Calc tab'!E34</f>
        <v/>
      </c>
      <c r="F38" s="823">
        <f>'Calc tab'!F34</f>
        <v/>
      </c>
      <c r="G38" s="823">
        <f>'Calc tab'!G34</f>
        <v/>
      </c>
      <c r="H38" s="823">
        <f>'Calc tab'!H34</f>
        <v/>
      </c>
      <c r="I38" s="823">
        <f>'Calc tab'!I34</f>
        <v/>
      </c>
      <c r="J38" s="823">
        <f>'Calc tab'!J34</f>
        <v/>
      </c>
      <c r="K38" s="823">
        <f>'Calc tab'!K34</f>
        <v/>
      </c>
      <c r="L38" s="823">
        <f>'Calc tab'!L34</f>
        <v/>
      </c>
      <c r="M38" s="823">
        <f>'Calc tab'!M34</f>
        <v/>
      </c>
      <c r="N38" s="823">
        <f>'Calc tab'!N34</f>
        <v/>
      </c>
      <c r="O38" s="823">
        <f>'Calc tab'!O34</f>
        <v/>
      </c>
      <c r="P38" s="823">
        <f>'Calc tab'!P34</f>
        <v/>
      </c>
      <c r="Q38" s="823">
        <f>'Calc tab'!Q34</f>
        <v/>
      </c>
      <c r="R38" s="823">
        <f>'Calc tab'!R34</f>
        <v/>
      </c>
      <c r="S38" s="823">
        <f>'Calc tab'!S34</f>
        <v/>
      </c>
      <c r="T38" s="823">
        <f>'Calc tab'!T34</f>
        <v/>
      </c>
      <c r="U38" s="823">
        <f>'Calc tab'!U34</f>
        <v/>
      </c>
      <c r="V38" s="823">
        <f>'Calc tab'!V34</f>
        <v/>
      </c>
      <c r="W38" s="823">
        <f>'Calc tab'!W34</f>
        <v/>
      </c>
      <c r="X38" s="823">
        <f>'Calc tab'!X34</f>
        <v/>
      </c>
      <c r="Y38" s="823">
        <f>'Calc tab'!Y34</f>
        <v/>
      </c>
      <c r="Z38" s="823">
        <f>'Calc tab'!Z34</f>
        <v/>
      </c>
      <c r="AA38" s="823">
        <f>'Calc tab'!AA34</f>
        <v/>
      </c>
      <c r="AB38" s="823">
        <f>'Calc tab'!AB34</f>
        <v/>
      </c>
      <c r="AC38" s="823">
        <f>'Calc tab'!AC34</f>
        <v/>
      </c>
      <c r="AD38" s="823">
        <f>'Calc tab'!AD34</f>
        <v/>
      </c>
      <c r="AE38" s="823">
        <f>'Calc tab'!AE34</f>
        <v/>
      </c>
      <c r="AF38" s="394" t="n"/>
      <c r="AG38" s="394" t="n"/>
      <c r="AH38" s="830" t="n"/>
    </row>
    <row r="39" hidden="1" ht="30" customFormat="1" customHeight="1" s="194">
      <c r="A39" s="394">
        <f>'Calc tab'!A35</f>
        <v/>
      </c>
      <c r="B39" s="823">
        <f>'Calc tab'!B35</f>
        <v/>
      </c>
      <c r="C39" s="823">
        <f>'Calc tab'!C35</f>
        <v/>
      </c>
      <c r="D39" s="823">
        <f>'Calc tab'!D35</f>
        <v/>
      </c>
      <c r="E39" s="823">
        <f>'Calc tab'!E35</f>
        <v/>
      </c>
      <c r="F39" s="823">
        <f>'Calc tab'!F35</f>
        <v/>
      </c>
      <c r="G39" s="823">
        <f>'Calc tab'!G35</f>
        <v/>
      </c>
      <c r="H39" s="823">
        <f>'Calc tab'!H35</f>
        <v/>
      </c>
      <c r="I39" s="823">
        <f>'Calc tab'!I35</f>
        <v/>
      </c>
      <c r="J39" s="823">
        <f>'Calc tab'!J35</f>
        <v/>
      </c>
      <c r="K39" s="823">
        <f>'Calc tab'!K35</f>
        <v/>
      </c>
      <c r="L39" s="823">
        <f>'Calc tab'!L35</f>
        <v/>
      </c>
      <c r="M39" s="823">
        <f>'Calc tab'!M35</f>
        <v/>
      </c>
      <c r="N39" s="823">
        <f>'Calc tab'!N35</f>
        <v/>
      </c>
      <c r="O39" s="823">
        <f>'Calc tab'!O35</f>
        <v/>
      </c>
      <c r="P39" s="823">
        <f>'Calc tab'!P35</f>
        <v/>
      </c>
      <c r="Q39" s="823">
        <f>'Calc tab'!Q35</f>
        <v/>
      </c>
      <c r="R39" s="823">
        <f>'Calc tab'!R35</f>
        <v/>
      </c>
      <c r="S39" s="823">
        <f>'Calc tab'!S35</f>
        <v/>
      </c>
      <c r="T39" s="823">
        <f>'Calc tab'!T35</f>
        <v/>
      </c>
      <c r="U39" s="823">
        <f>'Calc tab'!U35</f>
        <v/>
      </c>
      <c r="V39" s="823">
        <f>'Calc tab'!V35</f>
        <v/>
      </c>
      <c r="W39" s="823">
        <f>'Calc tab'!W35</f>
        <v/>
      </c>
      <c r="X39" s="823">
        <f>'Calc tab'!X35</f>
        <v/>
      </c>
      <c r="Y39" s="823">
        <f>'Calc tab'!Y35</f>
        <v/>
      </c>
      <c r="Z39" s="823">
        <f>'Calc tab'!Z35</f>
        <v/>
      </c>
      <c r="AA39" s="823">
        <f>'Calc tab'!AA35</f>
        <v/>
      </c>
      <c r="AB39" s="823">
        <f>'Calc tab'!AB35</f>
        <v/>
      </c>
      <c r="AC39" s="823">
        <f>'Calc tab'!AC35</f>
        <v/>
      </c>
      <c r="AD39" s="823">
        <f>'Calc tab'!AD35</f>
        <v/>
      </c>
      <c r="AE39" s="823">
        <f>'Calc tab'!AE35</f>
        <v/>
      </c>
      <c r="AF39" s="394" t="n"/>
      <c r="AG39" s="394" t="n"/>
      <c r="AH39" s="830" t="n"/>
    </row>
    <row r="40" hidden="1" ht="30" customFormat="1" customHeight="1" s="194">
      <c r="A40" s="394">
        <f>'Calc tab'!A36</f>
        <v/>
      </c>
      <c r="B40" s="823">
        <f>'Calc tab'!B36</f>
        <v/>
      </c>
      <c r="C40" s="823">
        <f>'Calc tab'!C36</f>
        <v/>
      </c>
      <c r="D40" s="823">
        <f>'Calc tab'!D36</f>
        <v/>
      </c>
      <c r="E40" s="823">
        <f>'Calc tab'!E36</f>
        <v/>
      </c>
      <c r="F40" s="823">
        <f>'Calc tab'!F36</f>
        <v/>
      </c>
      <c r="G40" s="823">
        <f>'Calc tab'!G36</f>
        <v/>
      </c>
      <c r="H40" s="823">
        <f>'Calc tab'!H36</f>
        <v/>
      </c>
      <c r="I40" s="823">
        <f>'Calc tab'!I36</f>
        <v/>
      </c>
      <c r="J40" s="823">
        <f>'Calc tab'!J36</f>
        <v/>
      </c>
      <c r="K40" s="823">
        <f>'Calc tab'!K36</f>
        <v/>
      </c>
      <c r="L40" s="823">
        <f>'Calc tab'!L36</f>
        <v/>
      </c>
      <c r="M40" s="823">
        <f>'Calc tab'!M36</f>
        <v/>
      </c>
      <c r="N40" s="823">
        <f>'Calc tab'!N36</f>
        <v/>
      </c>
      <c r="O40" s="823">
        <f>'Calc tab'!O36</f>
        <v/>
      </c>
      <c r="P40" s="823">
        <f>'Calc tab'!P36</f>
        <v/>
      </c>
      <c r="Q40" s="823">
        <f>'Calc tab'!Q36</f>
        <v/>
      </c>
      <c r="R40" s="823">
        <f>'Calc tab'!R36</f>
        <v/>
      </c>
      <c r="S40" s="823">
        <f>'Calc tab'!S36</f>
        <v/>
      </c>
      <c r="T40" s="823">
        <f>'Calc tab'!T36</f>
        <v/>
      </c>
      <c r="U40" s="823">
        <f>'Calc tab'!U36</f>
        <v/>
      </c>
      <c r="V40" s="823">
        <f>'Calc tab'!V36</f>
        <v/>
      </c>
      <c r="W40" s="823">
        <f>'Calc tab'!W36</f>
        <v/>
      </c>
      <c r="X40" s="823">
        <f>'Calc tab'!X36</f>
        <v/>
      </c>
      <c r="Y40" s="823">
        <f>'Calc tab'!Y36</f>
        <v/>
      </c>
      <c r="Z40" s="823">
        <f>'Calc tab'!Z36</f>
        <v/>
      </c>
      <c r="AA40" s="823">
        <f>'Calc tab'!AA36</f>
        <v/>
      </c>
      <c r="AB40" s="823">
        <f>'Calc tab'!AB36</f>
        <v/>
      </c>
      <c r="AC40" s="823">
        <f>'Calc tab'!AC36</f>
        <v/>
      </c>
      <c r="AD40" s="823">
        <f>'Calc tab'!AD36</f>
        <v/>
      </c>
      <c r="AE40" s="823">
        <f>'Calc tab'!AE36</f>
        <v/>
      </c>
      <c r="AF40" s="394" t="n"/>
      <c r="AG40" s="394" t="n"/>
      <c r="AH40" s="830" t="n"/>
    </row>
    <row r="41" hidden="1" customFormat="1" s="197">
      <c r="A41" s="395">
        <f>'Calc tab'!A37</f>
        <v/>
      </c>
      <c r="B41" s="831">
        <f>'Calc tab'!B37</f>
        <v/>
      </c>
      <c r="C41" s="831">
        <f>'Calc tab'!C37</f>
        <v/>
      </c>
      <c r="D41" s="831">
        <f>'Calc tab'!D37</f>
        <v/>
      </c>
      <c r="E41" s="831">
        <f>'Calc tab'!E37</f>
        <v/>
      </c>
      <c r="F41" s="831">
        <f>'Calc tab'!F37</f>
        <v/>
      </c>
      <c r="G41" s="831">
        <f>'Calc tab'!G37</f>
        <v/>
      </c>
      <c r="H41" s="831">
        <f>'Calc tab'!H37</f>
        <v/>
      </c>
      <c r="I41" s="831">
        <f>'Calc tab'!I37</f>
        <v/>
      </c>
      <c r="J41" s="831">
        <f>'Calc tab'!J37</f>
        <v/>
      </c>
      <c r="K41" s="831">
        <f>'Calc tab'!K37</f>
        <v/>
      </c>
      <c r="L41" s="831">
        <f>'Calc tab'!L37</f>
        <v/>
      </c>
      <c r="M41" s="831">
        <f>'Calc tab'!M37</f>
        <v/>
      </c>
      <c r="N41" s="831">
        <f>'Calc tab'!N37</f>
        <v/>
      </c>
      <c r="O41" s="831">
        <f>'Calc tab'!O37</f>
        <v/>
      </c>
      <c r="P41" s="831">
        <f>'Calc tab'!P37</f>
        <v/>
      </c>
      <c r="Q41" s="831">
        <f>'Calc tab'!Q37</f>
        <v/>
      </c>
      <c r="R41" s="831">
        <f>'Calc tab'!R37</f>
        <v/>
      </c>
      <c r="S41" s="831">
        <f>'Calc tab'!S37</f>
        <v/>
      </c>
      <c r="T41" s="831">
        <f>'Calc tab'!T37</f>
        <v/>
      </c>
      <c r="U41" s="831">
        <f>'Calc tab'!U37</f>
        <v/>
      </c>
      <c r="V41" s="831">
        <f>'Calc tab'!V37</f>
        <v/>
      </c>
      <c r="W41" s="831">
        <f>'Calc tab'!W37</f>
        <v/>
      </c>
      <c r="X41" s="831">
        <f>'Calc tab'!X37</f>
        <v/>
      </c>
      <c r="Y41" s="831">
        <f>'Calc tab'!Y37</f>
        <v/>
      </c>
      <c r="Z41" s="831">
        <f>'Calc tab'!Z37</f>
        <v/>
      </c>
      <c r="AA41" s="831">
        <f>'Calc tab'!AA37</f>
        <v/>
      </c>
      <c r="AB41" s="831">
        <f>'Calc tab'!AB37</f>
        <v/>
      </c>
      <c r="AC41" s="831">
        <f>'Calc tab'!AC37</f>
        <v/>
      </c>
      <c r="AD41" s="831">
        <f>'Calc tab'!AD37</f>
        <v/>
      </c>
      <c r="AE41" s="831">
        <f>'Calc tab'!AE37</f>
        <v/>
      </c>
      <c r="AF41" s="200" t="n"/>
      <c r="AG41" s="200" t="n"/>
      <c r="AH41" s="832" t="n"/>
    </row>
    <row r="44" ht="30" customFormat="1" customHeight="1" s="1">
      <c r="A44" s="479">
        <f>'Calc tab'!A40</f>
        <v/>
      </c>
      <c r="B44" s="479">
        <f>'Calc tab'!B40</f>
        <v/>
      </c>
      <c r="C44" s="479">
        <f>'Calc tab'!C40</f>
        <v/>
      </c>
      <c r="D44" s="479">
        <f>'Calc tab'!D40</f>
        <v/>
      </c>
      <c r="E44" s="479">
        <f>'Calc tab'!E40</f>
        <v/>
      </c>
      <c r="F44" s="479">
        <f>'Calc tab'!F40</f>
        <v/>
      </c>
      <c r="G44" s="479">
        <f>'Calc tab'!G40</f>
        <v/>
      </c>
      <c r="H44" s="479">
        <f>'Calc tab'!H40</f>
        <v/>
      </c>
      <c r="I44" s="479">
        <f>'Calc tab'!I40</f>
        <v/>
      </c>
      <c r="J44" s="479">
        <f>'Calc tab'!J40</f>
        <v/>
      </c>
      <c r="K44" s="479">
        <f>'Calc tab'!K40</f>
        <v/>
      </c>
      <c r="L44" s="479">
        <f>'Calc tab'!L40</f>
        <v/>
      </c>
      <c r="M44" s="479">
        <f>'Calc tab'!M40</f>
        <v/>
      </c>
      <c r="N44" s="479">
        <f>'Calc tab'!N40</f>
        <v/>
      </c>
      <c r="O44" s="479">
        <f>'Calc tab'!O40</f>
        <v/>
      </c>
      <c r="P44" s="479">
        <f>'Calc tab'!P40</f>
        <v/>
      </c>
      <c r="Q44" s="479">
        <f>'Calc tab'!Q40</f>
        <v/>
      </c>
      <c r="R44" s="479">
        <f>'Calc tab'!R40</f>
        <v/>
      </c>
      <c r="S44" s="479">
        <f>'Calc tab'!S40</f>
        <v/>
      </c>
      <c r="T44" s="479">
        <f>'Calc tab'!T40</f>
        <v/>
      </c>
      <c r="U44" s="479">
        <f>'Calc tab'!U40</f>
        <v/>
      </c>
      <c r="V44" s="479">
        <f>'Calc tab'!V40</f>
        <v/>
      </c>
      <c r="W44" s="479">
        <f>'Calc tab'!W40</f>
        <v/>
      </c>
      <c r="X44" s="479">
        <f>'Calc tab'!X40</f>
        <v/>
      </c>
      <c r="Y44" s="479">
        <f>'Calc tab'!Y40</f>
        <v/>
      </c>
      <c r="Z44" s="479">
        <f>'Calc tab'!Z40</f>
        <v/>
      </c>
      <c r="AA44" s="479">
        <f>'Calc tab'!AA40</f>
        <v/>
      </c>
      <c r="AB44" s="479">
        <f>'Calc tab'!AB40</f>
        <v/>
      </c>
      <c r="AC44" s="479">
        <f>'Calc tab'!AC40</f>
        <v/>
      </c>
      <c r="AD44" s="479">
        <f>'Calc tab'!AD40</f>
        <v/>
      </c>
      <c r="AE44" s="479">
        <f>'Calc tab'!AE40</f>
        <v/>
      </c>
      <c r="AF44" s="635">
        <f>'Calc tab'!AF40</f>
        <v/>
      </c>
      <c r="AG44" s="635">
        <f>'Calc tab'!AG40</f>
        <v/>
      </c>
      <c r="AH44" s="856">
        <f>'Calc tab'!AH40</f>
        <v/>
      </c>
      <c r="AI44" s="486">
        <f>'Calc tab'!AI40</f>
        <v/>
      </c>
    </row>
    <row r="45">
      <c r="A45" s="4">
        <f>'Calc tab'!A41</f>
        <v/>
      </c>
      <c r="B45" s="637">
        <f>'Calc tab'!B41</f>
        <v/>
      </c>
      <c r="C45" s="637">
        <f>'Calc tab'!C41</f>
        <v/>
      </c>
      <c r="D45" s="638">
        <f>'Calc tab'!D41</f>
        <v/>
      </c>
      <c r="E45" s="638">
        <f>'Calc tab'!E41</f>
        <v/>
      </c>
      <c r="F45" s="638">
        <f>'Calc tab'!F41</f>
        <v/>
      </c>
      <c r="G45" s="638">
        <f>'Calc tab'!G41</f>
        <v/>
      </c>
      <c r="H45" s="638">
        <f>'Calc tab'!H41</f>
        <v/>
      </c>
      <c r="I45" s="638">
        <f>'Calc tab'!I41</f>
        <v/>
      </c>
      <c r="J45" s="638">
        <f>'Calc tab'!J41</f>
        <v/>
      </c>
      <c r="K45" s="638">
        <f>'Calc tab'!K41</f>
        <v/>
      </c>
      <c r="L45" s="638">
        <f>'Calc tab'!L41</f>
        <v/>
      </c>
      <c r="M45" s="638">
        <f>'Calc tab'!M41</f>
        <v/>
      </c>
      <c r="N45" s="638">
        <f>'Calc tab'!N41</f>
        <v/>
      </c>
      <c r="O45" s="638">
        <f>'Calc tab'!O41</f>
        <v/>
      </c>
      <c r="P45" s="638">
        <f>'Calc tab'!P41</f>
        <v/>
      </c>
      <c r="Q45" s="638">
        <f>'Calc tab'!Q41</f>
        <v/>
      </c>
      <c r="R45" s="638">
        <f>'Calc tab'!R41</f>
        <v/>
      </c>
      <c r="S45" s="638">
        <f>'Calc tab'!S41</f>
        <v/>
      </c>
      <c r="T45" s="638">
        <f>'Calc tab'!T41</f>
        <v/>
      </c>
      <c r="U45" s="638">
        <f>'Calc tab'!U41</f>
        <v/>
      </c>
      <c r="V45" s="638">
        <f>'Calc tab'!V41</f>
        <v/>
      </c>
      <c r="W45" s="638">
        <f>'Calc tab'!W41</f>
        <v/>
      </c>
      <c r="X45" s="638">
        <f>'Calc tab'!X41</f>
        <v/>
      </c>
      <c r="Y45" s="638">
        <f>'Calc tab'!Y41</f>
        <v/>
      </c>
      <c r="Z45" s="638">
        <f>'Calc tab'!Z41</f>
        <v/>
      </c>
      <c r="AA45" s="638">
        <f>'Calc tab'!AA41</f>
        <v/>
      </c>
      <c r="AB45" s="638">
        <f>'Calc tab'!AB41</f>
        <v/>
      </c>
      <c r="AC45" s="638">
        <f>'Calc tab'!AC41</f>
        <v/>
      </c>
      <c r="AD45" s="638">
        <f>'Calc tab'!AD41</f>
        <v/>
      </c>
      <c r="AE45" s="638">
        <f>'Calc tab'!AE41</f>
        <v/>
      </c>
      <c r="AF45" s="639">
        <f>'Calc tab'!AF41</f>
        <v/>
      </c>
      <c r="AG45" s="640">
        <f>'Calc tab'!AG41</f>
        <v/>
      </c>
      <c r="AH45" s="857">
        <f>'Calc tab'!AH41</f>
        <v/>
      </c>
      <c r="AI45" s="648">
        <f>'Calc tab'!AI41</f>
        <v/>
      </c>
    </row>
    <row r="46">
      <c r="A46" s="4">
        <f>'Calc tab'!A42</f>
        <v/>
      </c>
      <c r="B46" s="637">
        <f>'Calc tab'!B42</f>
        <v/>
      </c>
      <c r="C46" s="637">
        <f>'Calc tab'!C42</f>
        <v/>
      </c>
      <c r="D46" s="638">
        <f>'Calc tab'!D42</f>
        <v/>
      </c>
      <c r="E46" s="638">
        <f>'Calc tab'!E42</f>
        <v/>
      </c>
      <c r="F46" s="638">
        <f>'Calc tab'!F42</f>
        <v/>
      </c>
      <c r="G46" s="638">
        <f>'Calc tab'!G42</f>
        <v/>
      </c>
      <c r="H46" s="638">
        <f>'Calc tab'!H42</f>
        <v/>
      </c>
      <c r="I46" s="638">
        <f>'Calc tab'!I42</f>
        <v/>
      </c>
      <c r="J46" s="638">
        <f>'Calc tab'!J42</f>
        <v/>
      </c>
      <c r="K46" s="638">
        <f>'Calc tab'!K42</f>
        <v/>
      </c>
      <c r="L46" s="638">
        <f>'Calc tab'!L42</f>
        <v/>
      </c>
      <c r="M46" s="638">
        <f>'Calc tab'!M42</f>
        <v/>
      </c>
      <c r="N46" s="638">
        <f>'Calc tab'!N42</f>
        <v/>
      </c>
      <c r="O46" s="638">
        <f>'Calc tab'!O42</f>
        <v/>
      </c>
      <c r="P46" s="638">
        <f>'Calc tab'!P42</f>
        <v/>
      </c>
      <c r="Q46" s="638">
        <f>'Calc tab'!Q42</f>
        <v/>
      </c>
      <c r="R46" s="638">
        <f>'Calc tab'!R42</f>
        <v/>
      </c>
      <c r="S46" s="638">
        <f>'Calc tab'!S42</f>
        <v/>
      </c>
      <c r="T46" s="638">
        <f>'Calc tab'!T42</f>
        <v/>
      </c>
      <c r="U46" s="638">
        <f>'Calc tab'!U42</f>
        <v/>
      </c>
      <c r="V46" s="638">
        <f>'Calc tab'!V42</f>
        <v/>
      </c>
      <c r="W46" s="638">
        <f>'Calc tab'!W42</f>
        <v/>
      </c>
      <c r="X46" s="638">
        <f>'Calc tab'!X42</f>
        <v/>
      </c>
      <c r="Y46" s="638">
        <f>'Calc tab'!Y42</f>
        <v/>
      </c>
      <c r="Z46" s="638">
        <f>'Calc tab'!Z42</f>
        <v/>
      </c>
      <c r="AA46" s="638">
        <f>'Calc tab'!AA42</f>
        <v/>
      </c>
      <c r="AB46" s="638">
        <f>'Calc tab'!AB42</f>
        <v/>
      </c>
      <c r="AC46" s="638">
        <f>'Calc tab'!AC42</f>
        <v/>
      </c>
      <c r="AD46" s="638">
        <f>'Calc tab'!AD42</f>
        <v/>
      </c>
      <c r="AE46" s="638">
        <f>'Calc tab'!AE42</f>
        <v/>
      </c>
      <c r="AF46" s="639">
        <f>'Calc tab'!AF42</f>
        <v/>
      </c>
      <c r="AG46" s="640">
        <f>'Calc tab'!AG42</f>
        <v/>
      </c>
      <c r="AH46" s="857">
        <f>'Calc tab'!AH42</f>
        <v/>
      </c>
      <c r="AI46" s="648">
        <f>'Calc tab'!AI42</f>
        <v/>
      </c>
    </row>
    <row r="47">
      <c r="A47" s="4">
        <f>'Calc tab'!A43</f>
        <v/>
      </c>
      <c r="B47" s="637">
        <f>'Calc tab'!B43</f>
        <v/>
      </c>
      <c r="C47" s="637">
        <f>'Calc tab'!C43</f>
        <v/>
      </c>
      <c r="D47" s="638">
        <f>'Calc tab'!D43</f>
        <v/>
      </c>
      <c r="E47" s="638">
        <f>'Calc tab'!E43</f>
        <v/>
      </c>
      <c r="F47" s="638">
        <f>'Calc tab'!F43</f>
        <v/>
      </c>
      <c r="G47" s="638">
        <f>'Calc tab'!G43</f>
        <v/>
      </c>
      <c r="H47" s="638">
        <f>'Calc tab'!H43</f>
        <v/>
      </c>
      <c r="I47" s="638">
        <f>'Calc tab'!I43</f>
        <v/>
      </c>
      <c r="J47" s="638">
        <f>'Calc tab'!J43</f>
        <v/>
      </c>
      <c r="K47" s="638">
        <f>'Calc tab'!K43</f>
        <v/>
      </c>
      <c r="L47" s="638">
        <f>'Calc tab'!L43</f>
        <v/>
      </c>
      <c r="M47" s="638">
        <f>'Calc tab'!M43</f>
        <v/>
      </c>
      <c r="N47" s="638">
        <f>'Calc tab'!N43</f>
        <v/>
      </c>
      <c r="O47" s="638">
        <f>'Calc tab'!O43</f>
        <v/>
      </c>
      <c r="P47" s="638">
        <f>'Calc tab'!P43</f>
        <v/>
      </c>
      <c r="Q47" s="638">
        <f>'Calc tab'!Q43</f>
        <v/>
      </c>
      <c r="R47" s="638">
        <f>'Calc tab'!R43</f>
        <v/>
      </c>
      <c r="S47" s="638">
        <f>'Calc tab'!S43</f>
        <v/>
      </c>
      <c r="T47" s="638">
        <f>'Calc tab'!T43</f>
        <v/>
      </c>
      <c r="U47" s="638">
        <f>'Calc tab'!U43</f>
        <v/>
      </c>
      <c r="V47" s="638">
        <f>'Calc tab'!V43</f>
        <v/>
      </c>
      <c r="W47" s="638">
        <f>'Calc tab'!W43</f>
        <v/>
      </c>
      <c r="X47" s="638">
        <f>'Calc tab'!X43</f>
        <v/>
      </c>
      <c r="Y47" s="638">
        <f>'Calc tab'!Y43</f>
        <v/>
      </c>
      <c r="Z47" s="638">
        <f>'Calc tab'!Z43</f>
        <v/>
      </c>
      <c r="AA47" s="638">
        <f>'Calc tab'!AA43</f>
        <v/>
      </c>
      <c r="AB47" s="638">
        <f>'Calc tab'!AB43</f>
        <v/>
      </c>
      <c r="AC47" s="638">
        <f>'Calc tab'!AC43</f>
        <v/>
      </c>
      <c r="AD47" s="638">
        <f>'Calc tab'!AD43</f>
        <v/>
      </c>
      <c r="AE47" s="638">
        <f>'Calc tab'!AE43</f>
        <v/>
      </c>
      <c r="AF47" s="639">
        <f>'Calc tab'!AF43</f>
        <v/>
      </c>
      <c r="AG47" s="640">
        <f>'Calc tab'!AG43</f>
        <v/>
      </c>
      <c r="AH47" s="857">
        <f>'Calc tab'!AH43</f>
        <v/>
      </c>
      <c r="AI47" s="648">
        <f>'Calc tab'!AI43</f>
        <v/>
      </c>
    </row>
    <row r="48">
      <c r="A48" s="4">
        <f>'Calc tab'!A44</f>
        <v/>
      </c>
      <c r="B48" s="637">
        <f>'Calc tab'!B44</f>
        <v/>
      </c>
      <c r="C48" s="637">
        <f>'Calc tab'!C44</f>
        <v/>
      </c>
      <c r="D48" s="638">
        <f>'Calc tab'!D44</f>
        <v/>
      </c>
      <c r="E48" s="638">
        <f>'Calc tab'!E44</f>
        <v/>
      </c>
      <c r="F48" s="638">
        <f>'Calc tab'!F44</f>
        <v/>
      </c>
      <c r="G48" s="638">
        <f>'Calc tab'!G44</f>
        <v/>
      </c>
      <c r="H48" s="638">
        <f>'Calc tab'!H44</f>
        <v/>
      </c>
      <c r="I48" s="638">
        <f>'Calc tab'!I44</f>
        <v/>
      </c>
      <c r="J48" s="638">
        <f>'Calc tab'!J44</f>
        <v/>
      </c>
      <c r="K48" s="638">
        <f>'Calc tab'!K44</f>
        <v/>
      </c>
      <c r="L48" s="638">
        <f>'Calc tab'!L44</f>
        <v/>
      </c>
      <c r="M48" s="638">
        <f>'Calc tab'!M44</f>
        <v/>
      </c>
      <c r="N48" s="638">
        <f>'Calc tab'!N44</f>
        <v/>
      </c>
      <c r="O48" s="638">
        <f>'Calc tab'!O44</f>
        <v/>
      </c>
      <c r="P48" s="638">
        <f>'Calc tab'!P44</f>
        <v/>
      </c>
      <c r="Q48" s="638">
        <f>'Calc tab'!Q44</f>
        <v/>
      </c>
      <c r="R48" s="638">
        <f>'Calc tab'!R44</f>
        <v/>
      </c>
      <c r="S48" s="638">
        <f>'Calc tab'!S44</f>
        <v/>
      </c>
      <c r="T48" s="638">
        <f>'Calc tab'!T44</f>
        <v/>
      </c>
      <c r="U48" s="638">
        <f>'Calc tab'!U44</f>
        <v/>
      </c>
      <c r="V48" s="638">
        <f>'Calc tab'!V44</f>
        <v/>
      </c>
      <c r="W48" s="638">
        <f>'Calc tab'!W44</f>
        <v/>
      </c>
      <c r="X48" s="638">
        <f>'Calc tab'!X44</f>
        <v/>
      </c>
      <c r="Y48" s="638">
        <f>'Calc tab'!Y44</f>
        <v/>
      </c>
      <c r="Z48" s="638">
        <f>'Calc tab'!Z44</f>
        <v/>
      </c>
      <c r="AA48" s="638">
        <f>'Calc tab'!AA44</f>
        <v/>
      </c>
      <c r="AB48" s="638">
        <f>'Calc tab'!AB44</f>
        <v/>
      </c>
      <c r="AC48" s="638">
        <f>'Calc tab'!AC44</f>
        <v/>
      </c>
      <c r="AD48" s="638">
        <f>'Calc tab'!AD44</f>
        <v/>
      </c>
      <c r="AE48" s="638">
        <f>'Calc tab'!AE44</f>
        <v/>
      </c>
      <c r="AF48" s="639">
        <f>'Calc tab'!AF44</f>
        <v/>
      </c>
      <c r="AG48" s="640">
        <f>'Calc tab'!AG44</f>
        <v/>
      </c>
      <c r="AH48" s="857">
        <f>'Calc tab'!AH44</f>
        <v/>
      </c>
      <c r="AI48" s="648">
        <f>'Calc tab'!AI44</f>
        <v/>
      </c>
    </row>
    <row r="49">
      <c r="A49" s="4">
        <f>'Calc tab'!A45</f>
        <v/>
      </c>
      <c r="B49" s="637">
        <f>'Calc tab'!B45</f>
        <v/>
      </c>
      <c r="C49" s="637">
        <f>'Calc tab'!C45</f>
        <v/>
      </c>
      <c r="D49" s="638">
        <f>'Calc tab'!D45</f>
        <v/>
      </c>
      <c r="E49" s="638">
        <f>'Calc tab'!E45</f>
        <v/>
      </c>
      <c r="F49" s="638">
        <f>'Calc tab'!F45</f>
        <v/>
      </c>
      <c r="G49" s="638">
        <f>'Calc tab'!G45</f>
        <v/>
      </c>
      <c r="H49" s="638">
        <f>'Calc tab'!H45</f>
        <v/>
      </c>
      <c r="I49" s="638">
        <f>'Calc tab'!I45</f>
        <v/>
      </c>
      <c r="J49" s="638">
        <f>'Calc tab'!J45</f>
        <v/>
      </c>
      <c r="K49" s="638">
        <f>'Calc tab'!K45</f>
        <v/>
      </c>
      <c r="L49" s="638">
        <f>'Calc tab'!L45</f>
        <v/>
      </c>
      <c r="M49" s="638">
        <f>'Calc tab'!M45</f>
        <v/>
      </c>
      <c r="N49" s="638">
        <f>'Calc tab'!N45</f>
        <v/>
      </c>
      <c r="O49" s="638">
        <f>'Calc tab'!O45</f>
        <v/>
      </c>
      <c r="P49" s="638">
        <f>'Calc tab'!P45</f>
        <v/>
      </c>
      <c r="Q49" s="638">
        <f>'Calc tab'!Q45</f>
        <v/>
      </c>
      <c r="R49" s="638">
        <f>'Calc tab'!R45</f>
        <v/>
      </c>
      <c r="S49" s="638">
        <f>'Calc tab'!S45</f>
        <v/>
      </c>
      <c r="T49" s="638">
        <f>'Calc tab'!T45</f>
        <v/>
      </c>
      <c r="U49" s="638">
        <f>'Calc tab'!U45</f>
        <v/>
      </c>
      <c r="V49" s="638">
        <f>'Calc tab'!V45</f>
        <v/>
      </c>
      <c r="W49" s="638">
        <f>'Calc tab'!W45</f>
        <v/>
      </c>
      <c r="X49" s="638">
        <f>'Calc tab'!X45</f>
        <v/>
      </c>
      <c r="Y49" s="638">
        <f>'Calc tab'!Y45</f>
        <v/>
      </c>
      <c r="Z49" s="638">
        <f>'Calc tab'!Z45</f>
        <v/>
      </c>
      <c r="AA49" s="638">
        <f>'Calc tab'!AA45</f>
        <v/>
      </c>
      <c r="AB49" s="638">
        <f>'Calc tab'!AB45</f>
        <v/>
      </c>
      <c r="AC49" s="638">
        <f>'Calc tab'!AC45</f>
        <v/>
      </c>
      <c r="AD49" s="638">
        <f>'Calc tab'!AD45</f>
        <v/>
      </c>
      <c r="AE49" s="638">
        <f>'Calc tab'!AE45</f>
        <v/>
      </c>
      <c r="AF49" s="639">
        <f>'Calc tab'!AF45</f>
        <v/>
      </c>
      <c r="AG49" s="640">
        <f>'Calc tab'!AG45</f>
        <v/>
      </c>
      <c r="AH49" s="857">
        <f>'Calc tab'!AH45</f>
        <v/>
      </c>
      <c r="AI49" s="648">
        <f>'Calc tab'!AI45</f>
        <v/>
      </c>
    </row>
    <row r="50">
      <c r="A50" s="4">
        <f>'Calc tab'!A46</f>
        <v/>
      </c>
      <c r="B50" s="637">
        <f>'Calc tab'!B46</f>
        <v/>
      </c>
      <c r="C50" s="637">
        <f>'Calc tab'!C46</f>
        <v/>
      </c>
      <c r="D50" s="638">
        <f>'Calc tab'!D46</f>
        <v/>
      </c>
      <c r="E50" s="638">
        <f>'Calc tab'!E46</f>
        <v/>
      </c>
      <c r="F50" s="638">
        <f>'Calc tab'!F46</f>
        <v/>
      </c>
      <c r="G50" s="638">
        <f>'Calc tab'!G46</f>
        <v/>
      </c>
      <c r="H50" s="638">
        <f>'Calc tab'!H46</f>
        <v/>
      </c>
      <c r="I50" s="638">
        <f>'Calc tab'!I46</f>
        <v/>
      </c>
      <c r="J50" s="638">
        <f>'Calc tab'!J46</f>
        <v/>
      </c>
      <c r="K50" s="638">
        <f>'Calc tab'!K46</f>
        <v/>
      </c>
      <c r="L50" s="638">
        <f>'Calc tab'!L46</f>
        <v/>
      </c>
      <c r="M50" s="638">
        <f>'Calc tab'!M46</f>
        <v/>
      </c>
      <c r="N50" s="638">
        <f>'Calc tab'!N46</f>
        <v/>
      </c>
      <c r="O50" s="638">
        <f>'Calc tab'!O46</f>
        <v/>
      </c>
      <c r="P50" s="638">
        <f>'Calc tab'!P46</f>
        <v/>
      </c>
      <c r="Q50" s="638">
        <f>'Calc tab'!Q46</f>
        <v/>
      </c>
      <c r="R50" s="638">
        <f>'Calc tab'!R46</f>
        <v/>
      </c>
      <c r="S50" s="638">
        <f>'Calc tab'!S46</f>
        <v/>
      </c>
      <c r="T50" s="638">
        <f>'Calc tab'!T46</f>
        <v/>
      </c>
      <c r="U50" s="638">
        <f>'Calc tab'!U46</f>
        <v/>
      </c>
      <c r="V50" s="638">
        <f>'Calc tab'!V46</f>
        <v/>
      </c>
      <c r="W50" s="638">
        <f>'Calc tab'!W46</f>
        <v/>
      </c>
      <c r="X50" s="638">
        <f>'Calc tab'!X46</f>
        <v/>
      </c>
      <c r="Y50" s="638">
        <f>'Calc tab'!Y46</f>
        <v/>
      </c>
      <c r="Z50" s="638">
        <f>'Calc tab'!Z46</f>
        <v/>
      </c>
      <c r="AA50" s="638">
        <f>'Calc tab'!AA46</f>
        <v/>
      </c>
      <c r="AB50" s="638">
        <f>'Calc tab'!AB46</f>
        <v/>
      </c>
      <c r="AC50" s="638">
        <f>'Calc tab'!AC46</f>
        <v/>
      </c>
      <c r="AD50" s="638">
        <f>'Calc tab'!AD46</f>
        <v/>
      </c>
      <c r="AE50" s="638">
        <f>'Calc tab'!AE46</f>
        <v/>
      </c>
      <c r="AF50" s="639">
        <f>'Calc tab'!AF46</f>
        <v/>
      </c>
      <c r="AG50" s="640">
        <f>'Calc tab'!AG46</f>
        <v/>
      </c>
      <c r="AH50" s="857">
        <f>'Calc tab'!AH46</f>
        <v/>
      </c>
      <c r="AI50" s="648">
        <f>'Calc tab'!AI46</f>
        <v/>
      </c>
    </row>
    <row r="51">
      <c r="A51" s="4">
        <f>'Calc tab'!A47</f>
        <v/>
      </c>
      <c r="B51" s="637">
        <f>'Calc tab'!B47</f>
        <v/>
      </c>
      <c r="C51" s="637">
        <f>'Calc tab'!C47</f>
        <v/>
      </c>
      <c r="D51" s="638">
        <f>'Calc tab'!D47</f>
        <v/>
      </c>
      <c r="E51" s="638">
        <f>'Calc tab'!E47</f>
        <v/>
      </c>
      <c r="F51" s="638">
        <f>'Calc tab'!F47</f>
        <v/>
      </c>
      <c r="G51" s="638">
        <f>'Calc tab'!G47</f>
        <v/>
      </c>
      <c r="H51" s="638">
        <f>'Calc tab'!H47</f>
        <v/>
      </c>
      <c r="I51" s="638">
        <f>'Calc tab'!I47</f>
        <v/>
      </c>
      <c r="J51" s="638">
        <f>'Calc tab'!J47</f>
        <v/>
      </c>
      <c r="K51" s="638">
        <f>'Calc tab'!K47</f>
        <v/>
      </c>
      <c r="L51" s="638">
        <f>'Calc tab'!L47</f>
        <v/>
      </c>
      <c r="M51" s="638">
        <f>'Calc tab'!M47</f>
        <v/>
      </c>
      <c r="N51" s="638">
        <f>'Calc tab'!N47</f>
        <v/>
      </c>
      <c r="O51" s="638">
        <f>'Calc tab'!O47</f>
        <v/>
      </c>
      <c r="P51" s="638">
        <f>'Calc tab'!P47</f>
        <v/>
      </c>
      <c r="Q51" s="638">
        <f>'Calc tab'!Q47</f>
        <v/>
      </c>
      <c r="R51" s="638">
        <f>'Calc tab'!R47</f>
        <v/>
      </c>
      <c r="S51" s="638">
        <f>'Calc tab'!S47</f>
        <v/>
      </c>
      <c r="T51" s="638">
        <f>'Calc tab'!T47</f>
        <v/>
      </c>
      <c r="U51" s="638">
        <f>'Calc tab'!U47</f>
        <v/>
      </c>
      <c r="V51" s="638">
        <f>'Calc tab'!V47</f>
        <v/>
      </c>
      <c r="W51" s="638">
        <f>'Calc tab'!W47</f>
        <v/>
      </c>
      <c r="X51" s="638">
        <f>'Calc tab'!X47</f>
        <v/>
      </c>
      <c r="Y51" s="638">
        <f>'Calc tab'!Y47</f>
        <v/>
      </c>
      <c r="Z51" s="638">
        <f>'Calc tab'!Z47</f>
        <v/>
      </c>
      <c r="AA51" s="638">
        <f>'Calc tab'!AA47</f>
        <v/>
      </c>
      <c r="AB51" s="638">
        <f>'Calc tab'!AB47</f>
        <v/>
      </c>
      <c r="AC51" s="638">
        <f>'Calc tab'!AC47</f>
        <v/>
      </c>
      <c r="AD51" s="638">
        <f>'Calc tab'!AD47</f>
        <v/>
      </c>
      <c r="AE51" s="638">
        <f>'Calc tab'!AE47</f>
        <v/>
      </c>
      <c r="AF51" s="639">
        <f>'Calc tab'!AF47</f>
        <v/>
      </c>
      <c r="AG51" s="640">
        <f>'Calc tab'!AG47</f>
        <v/>
      </c>
      <c r="AH51" s="857">
        <f>'Calc tab'!AH47</f>
        <v/>
      </c>
      <c r="AI51" s="648">
        <f>'Calc tab'!AI47</f>
        <v/>
      </c>
    </row>
    <row r="52" ht="30" customHeight="1" s="685">
      <c r="A52" s="4">
        <f>'Calc tab'!A48</f>
        <v/>
      </c>
      <c r="B52" s="637">
        <f>'Calc tab'!B48</f>
        <v/>
      </c>
      <c r="C52" s="637">
        <f>'Calc tab'!C48</f>
        <v/>
      </c>
      <c r="D52" s="638">
        <f>'Calc tab'!D48</f>
        <v/>
      </c>
      <c r="E52" s="638">
        <f>'Calc tab'!E48</f>
        <v/>
      </c>
      <c r="F52" s="638">
        <f>'Calc tab'!F48</f>
        <v/>
      </c>
      <c r="G52" s="638">
        <f>'Calc tab'!G48</f>
        <v/>
      </c>
      <c r="H52" s="638">
        <f>'Calc tab'!H48</f>
        <v/>
      </c>
      <c r="I52" s="638">
        <f>'Calc tab'!I48</f>
        <v/>
      </c>
      <c r="J52" s="638">
        <f>'Calc tab'!J48</f>
        <v/>
      </c>
      <c r="K52" s="638">
        <f>'Calc tab'!K48</f>
        <v/>
      </c>
      <c r="L52" s="638">
        <f>'Calc tab'!L48</f>
        <v/>
      </c>
      <c r="M52" s="638">
        <f>'Calc tab'!M48</f>
        <v/>
      </c>
      <c r="N52" s="638">
        <f>'Calc tab'!N48</f>
        <v/>
      </c>
      <c r="O52" s="638">
        <f>'Calc tab'!O48</f>
        <v/>
      </c>
      <c r="P52" s="638">
        <f>'Calc tab'!P48</f>
        <v/>
      </c>
      <c r="Q52" s="638">
        <f>'Calc tab'!Q48</f>
        <v/>
      </c>
      <c r="R52" s="638">
        <f>'Calc tab'!R48</f>
        <v/>
      </c>
      <c r="S52" s="638">
        <f>'Calc tab'!S48</f>
        <v/>
      </c>
      <c r="T52" s="638">
        <f>'Calc tab'!T48</f>
        <v/>
      </c>
      <c r="U52" s="638">
        <f>'Calc tab'!U48</f>
        <v/>
      </c>
      <c r="V52" s="638">
        <f>'Calc tab'!V48</f>
        <v/>
      </c>
      <c r="W52" s="638">
        <f>'Calc tab'!W48</f>
        <v/>
      </c>
      <c r="X52" s="638">
        <f>'Calc tab'!X48</f>
        <v/>
      </c>
      <c r="Y52" s="638">
        <f>'Calc tab'!Y48</f>
        <v/>
      </c>
      <c r="Z52" s="638">
        <f>'Calc tab'!Z48</f>
        <v/>
      </c>
      <c r="AA52" s="638">
        <f>'Calc tab'!AA48</f>
        <v/>
      </c>
      <c r="AB52" s="638">
        <f>'Calc tab'!AB48</f>
        <v/>
      </c>
      <c r="AC52" s="638">
        <f>'Calc tab'!AC48</f>
        <v/>
      </c>
      <c r="AD52" s="638">
        <f>'Calc tab'!AD48</f>
        <v/>
      </c>
      <c r="AE52" s="638">
        <f>'Calc tab'!AE48</f>
        <v/>
      </c>
      <c r="AF52" s="639">
        <f>'Calc tab'!AF48</f>
        <v/>
      </c>
      <c r="AG52" s="640">
        <f>'Calc tab'!AG48</f>
        <v/>
      </c>
      <c r="AH52" s="857">
        <f>'Calc tab'!AH48</f>
        <v/>
      </c>
      <c r="AI52" s="648">
        <f>'Calc tab'!AI48</f>
        <v/>
      </c>
    </row>
    <row r="53" ht="30" customHeight="1" s="685">
      <c r="A53" s="4">
        <f>'Calc tab'!A49</f>
        <v/>
      </c>
      <c r="B53" s="637">
        <f>'Calc tab'!B49</f>
        <v/>
      </c>
      <c r="C53" s="637">
        <f>'Calc tab'!C49</f>
        <v/>
      </c>
      <c r="D53" s="638">
        <f>'Calc tab'!D49</f>
        <v/>
      </c>
      <c r="E53" s="638">
        <f>'Calc tab'!E49</f>
        <v/>
      </c>
      <c r="F53" s="638">
        <f>'Calc tab'!F49</f>
        <v/>
      </c>
      <c r="G53" s="638">
        <f>'Calc tab'!G49</f>
        <v/>
      </c>
      <c r="H53" s="638">
        <f>'Calc tab'!H49</f>
        <v/>
      </c>
      <c r="I53" s="638">
        <f>'Calc tab'!I49</f>
        <v/>
      </c>
      <c r="J53" s="638">
        <f>'Calc tab'!J49</f>
        <v/>
      </c>
      <c r="K53" s="638">
        <f>'Calc tab'!K49</f>
        <v/>
      </c>
      <c r="L53" s="638">
        <f>'Calc tab'!L49</f>
        <v/>
      </c>
      <c r="M53" s="638">
        <f>'Calc tab'!M49</f>
        <v/>
      </c>
      <c r="N53" s="638">
        <f>'Calc tab'!N49</f>
        <v/>
      </c>
      <c r="O53" s="638">
        <f>'Calc tab'!O49</f>
        <v/>
      </c>
      <c r="P53" s="638">
        <f>'Calc tab'!P49</f>
        <v/>
      </c>
      <c r="Q53" s="638">
        <f>'Calc tab'!Q49</f>
        <v/>
      </c>
      <c r="R53" s="638">
        <f>'Calc tab'!R49</f>
        <v/>
      </c>
      <c r="S53" s="638">
        <f>'Calc tab'!S49</f>
        <v/>
      </c>
      <c r="T53" s="638">
        <f>'Calc tab'!T49</f>
        <v/>
      </c>
      <c r="U53" s="638">
        <f>'Calc tab'!U49</f>
        <v/>
      </c>
      <c r="V53" s="638">
        <f>'Calc tab'!V49</f>
        <v/>
      </c>
      <c r="W53" s="638">
        <f>'Calc tab'!W49</f>
        <v/>
      </c>
      <c r="X53" s="638">
        <f>'Calc tab'!X49</f>
        <v/>
      </c>
      <c r="Y53" s="638">
        <f>'Calc tab'!Y49</f>
        <v/>
      </c>
      <c r="Z53" s="638">
        <f>'Calc tab'!Z49</f>
        <v/>
      </c>
      <c r="AA53" s="638">
        <f>'Calc tab'!AA49</f>
        <v/>
      </c>
      <c r="AB53" s="638">
        <f>'Calc tab'!AB49</f>
        <v/>
      </c>
      <c r="AC53" s="638">
        <f>'Calc tab'!AC49</f>
        <v/>
      </c>
      <c r="AD53" s="638">
        <f>'Calc tab'!AD49</f>
        <v/>
      </c>
      <c r="AE53" s="638">
        <f>'Calc tab'!AE49</f>
        <v/>
      </c>
      <c r="AF53" s="639">
        <f>'Calc tab'!AF49</f>
        <v/>
      </c>
      <c r="AG53" s="640">
        <f>'Calc tab'!AG49</f>
        <v/>
      </c>
      <c r="AH53" s="857">
        <f>'Calc tab'!AH49</f>
        <v/>
      </c>
      <c r="AI53" s="648">
        <f>'Calc tab'!AI49</f>
        <v/>
      </c>
    </row>
    <row r="54" ht="30" customHeight="1" s="685">
      <c r="A54" s="4">
        <f>'Calc tab'!A50</f>
        <v/>
      </c>
      <c r="B54" s="637">
        <f>'Calc tab'!B50</f>
        <v/>
      </c>
      <c r="C54" s="637">
        <f>'Calc tab'!C50</f>
        <v/>
      </c>
      <c r="D54" s="638">
        <f>'Calc tab'!D50</f>
        <v/>
      </c>
      <c r="E54" s="638">
        <f>'Calc tab'!E50</f>
        <v/>
      </c>
      <c r="F54" s="638">
        <f>'Calc tab'!F50</f>
        <v/>
      </c>
      <c r="G54" s="638">
        <f>'Calc tab'!G50</f>
        <v/>
      </c>
      <c r="H54" s="638">
        <f>'Calc tab'!H50</f>
        <v/>
      </c>
      <c r="I54" s="638">
        <f>'Calc tab'!I50</f>
        <v/>
      </c>
      <c r="J54" s="638">
        <f>'Calc tab'!J50</f>
        <v/>
      </c>
      <c r="K54" s="638">
        <f>'Calc tab'!K50</f>
        <v/>
      </c>
      <c r="L54" s="638">
        <f>'Calc tab'!L50</f>
        <v/>
      </c>
      <c r="M54" s="638">
        <f>'Calc tab'!M50</f>
        <v/>
      </c>
      <c r="N54" s="638">
        <f>'Calc tab'!N50</f>
        <v/>
      </c>
      <c r="O54" s="638">
        <f>'Calc tab'!O50</f>
        <v/>
      </c>
      <c r="P54" s="638">
        <f>'Calc tab'!P50</f>
        <v/>
      </c>
      <c r="Q54" s="638">
        <f>'Calc tab'!Q50</f>
        <v/>
      </c>
      <c r="R54" s="638">
        <f>'Calc tab'!R50</f>
        <v/>
      </c>
      <c r="S54" s="638">
        <f>'Calc tab'!S50</f>
        <v/>
      </c>
      <c r="T54" s="638">
        <f>'Calc tab'!T50</f>
        <v/>
      </c>
      <c r="U54" s="638">
        <f>'Calc tab'!U50</f>
        <v/>
      </c>
      <c r="V54" s="638">
        <f>'Calc tab'!V50</f>
        <v/>
      </c>
      <c r="W54" s="638">
        <f>'Calc tab'!W50</f>
        <v/>
      </c>
      <c r="X54" s="638">
        <f>'Calc tab'!X50</f>
        <v/>
      </c>
      <c r="Y54" s="638">
        <f>'Calc tab'!Y50</f>
        <v/>
      </c>
      <c r="Z54" s="638">
        <f>'Calc tab'!Z50</f>
        <v/>
      </c>
      <c r="AA54" s="638">
        <f>'Calc tab'!AA50</f>
        <v/>
      </c>
      <c r="AB54" s="638">
        <f>'Calc tab'!AB50</f>
        <v/>
      </c>
      <c r="AC54" s="638">
        <f>'Calc tab'!AC50</f>
        <v/>
      </c>
      <c r="AD54" s="638">
        <f>'Calc tab'!AD50</f>
        <v/>
      </c>
      <c r="AE54" s="638">
        <f>'Calc tab'!AE50</f>
        <v/>
      </c>
      <c r="AF54" s="639">
        <f>'Calc tab'!AF50</f>
        <v/>
      </c>
      <c r="AG54" s="640">
        <f>'Calc tab'!AG50</f>
        <v/>
      </c>
      <c r="AH54" s="857">
        <f>'Calc tab'!AH50</f>
        <v/>
      </c>
      <c r="AI54" s="648">
        <f>'Calc tab'!AI50</f>
        <v/>
      </c>
    </row>
    <row r="55" ht="30" customHeight="1" s="685">
      <c r="A55" s="4">
        <f>'Calc tab'!A51</f>
        <v/>
      </c>
      <c r="B55" s="637">
        <f>'Calc tab'!B51</f>
        <v/>
      </c>
      <c r="C55" s="637">
        <f>'Calc tab'!C51</f>
        <v/>
      </c>
      <c r="D55" s="638">
        <f>'Calc tab'!D51</f>
        <v/>
      </c>
      <c r="E55" s="638">
        <f>'Calc tab'!E51</f>
        <v/>
      </c>
      <c r="F55" s="638">
        <f>'Calc tab'!F51</f>
        <v/>
      </c>
      <c r="G55" s="638">
        <f>'Calc tab'!G51</f>
        <v/>
      </c>
      <c r="H55" s="638">
        <f>'Calc tab'!H51</f>
        <v/>
      </c>
      <c r="I55" s="638">
        <f>'Calc tab'!I51</f>
        <v/>
      </c>
      <c r="J55" s="638">
        <f>'Calc tab'!J51</f>
        <v/>
      </c>
      <c r="K55" s="638">
        <f>'Calc tab'!K51</f>
        <v/>
      </c>
      <c r="L55" s="638">
        <f>'Calc tab'!L51</f>
        <v/>
      </c>
      <c r="M55" s="638">
        <f>'Calc tab'!M51</f>
        <v/>
      </c>
      <c r="N55" s="638">
        <f>'Calc tab'!N51</f>
        <v/>
      </c>
      <c r="O55" s="638">
        <f>'Calc tab'!O51</f>
        <v/>
      </c>
      <c r="P55" s="638">
        <f>'Calc tab'!P51</f>
        <v/>
      </c>
      <c r="Q55" s="638">
        <f>'Calc tab'!Q51</f>
        <v/>
      </c>
      <c r="R55" s="638">
        <f>'Calc tab'!R51</f>
        <v/>
      </c>
      <c r="S55" s="638">
        <f>'Calc tab'!S51</f>
        <v/>
      </c>
      <c r="T55" s="638">
        <f>'Calc tab'!T51</f>
        <v/>
      </c>
      <c r="U55" s="638">
        <f>'Calc tab'!U51</f>
        <v/>
      </c>
      <c r="V55" s="638">
        <f>'Calc tab'!V51</f>
        <v/>
      </c>
      <c r="W55" s="638">
        <f>'Calc tab'!W51</f>
        <v/>
      </c>
      <c r="X55" s="638">
        <f>'Calc tab'!X51</f>
        <v/>
      </c>
      <c r="Y55" s="638">
        <f>'Calc tab'!Y51</f>
        <v/>
      </c>
      <c r="Z55" s="638">
        <f>'Calc tab'!Z51</f>
        <v/>
      </c>
      <c r="AA55" s="638">
        <f>'Calc tab'!AA51</f>
        <v/>
      </c>
      <c r="AB55" s="638">
        <f>'Calc tab'!AB51</f>
        <v/>
      </c>
      <c r="AC55" s="638">
        <f>'Calc tab'!AC51</f>
        <v/>
      </c>
      <c r="AD55" s="638">
        <f>'Calc tab'!AD51</f>
        <v/>
      </c>
      <c r="AE55" s="638">
        <f>'Calc tab'!AE51</f>
        <v/>
      </c>
      <c r="AF55" s="639">
        <f>'Calc tab'!AF51</f>
        <v/>
      </c>
      <c r="AG55" s="640">
        <f>'Calc tab'!AG51</f>
        <v/>
      </c>
      <c r="AH55" s="857">
        <f>'Calc tab'!AH51</f>
        <v/>
      </c>
      <c r="AI55" s="648">
        <f>'Calc tab'!AI51</f>
        <v/>
      </c>
    </row>
    <row r="56" ht="30" customHeight="1" s="685">
      <c r="A56" s="4">
        <f>'Calc tab'!A52</f>
        <v/>
      </c>
      <c r="B56" s="637">
        <f>'Calc tab'!B52</f>
        <v/>
      </c>
      <c r="C56" s="637">
        <f>'Calc tab'!C52</f>
        <v/>
      </c>
      <c r="D56" s="638">
        <f>'Calc tab'!D52</f>
        <v/>
      </c>
      <c r="E56" s="638">
        <f>'Calc tab'!E52</f>
        <v/>
      </c>
      <c r="F56" s="638">
        <f>'Calc tab'!F52</f>
        <v/>
      </c>
      <c r="G56" s="638">
        <f>'Calc tab'!G52</f>
        <v/>
      </c>
      <c r="H56" s="638">
        <f>'Calc tab'!H52</f>
        <v/>
      </c>
      <c r="I56" s="638">
        <f>'Calc tab'!I52</f>
        <v/>
      </c>
      <c r="J56" s="638">
        <f>'Calc tab'!J52</f>
        <v/>
      </c>
      <c r="K56" s="638">
        <f>'Calc tab'!K52</f>
        <v/>
      </c>
      <c r="L56" s="638">
        <f>'Calc tab'!L52</f>
        <v/>
      </c>
      <c r="M56" s="638">
        <f>'Calc tab'!M52</f>
        <v/>
      </c>
      <c r="N56" s="638">
        <f>'Calc tab'!N52</f>
        <v/>
      </c>
      <c r="O56" s="638">
        <f>'Calc tab'!O52</f>
        <v/>
      </c>
      <c r="P56" s="638">
        <f>'Calc tab'!P52</f>
        <v/>
      </c>
      <c r="Q56" s="638">
        <f>'Calc tab'!Q52</f>
        <v/>
      </c>
      <c r="R56" s="638">
        <f>'Calc tab'!R52</f>
        <v/>
      </c>
      <c r="S56" s="638">
        <f>'Calc tab'!S52</f>
        <v/>
      </c>
      <c r="T56" s="638">
        <f>'Calc tab'!T52</f>
        <v/>
      </c>
      <c r="U56" s="638">
        <f>'Calc tab'!U52</f>
        <v/>
      </c>
      <c r="V56" s="638">
        <f>'Calc tab'!V52</f>
        <v/>
      </c>
      <c r="W56" s="638">
        <f>'Calc tab'!W52</f>
        <v/>
      </c>
      <c r="X56" s="638">
        <f>'Calc tab'!X52</f>
        <v/>
      </c>
      <c r="Y56" s="638">
        <f>'Calc tab'!Y52</f>
        <v/>
      </c>
      <c r="Z56" s="638">
        <f>'Calc tab'!Z52</f>
        <v/>
      </c>
      <c r="AA56" s="638">
        <f>'Calc tab'!AA52</f>
        <v/>
      </c>
      <c r="AB56" s="638">
        <f>'Calc tab'!AB52</f>
        <v/>
      </c>
      <c r="AC56" s="638">
        <f>'Calc tab'!AC52</f>
        <v/>
      </c>
      <c r="AD56" s="638">
        <f>'Calc tab'!AD52</f>
        <v/>
      </c>
      <c r="AE56" s="638">
        <f>'Calc tab'!AE52</f>
        <v/>
      </c>
      <c r="AF56" s="639">
        <f>'Calc tab'!AF52</f>
        <v/>
      </c>
      <c r="AG56" s="640">
        <f>'Calc tab'!AG52</f>
        <v/>
      </c>
      <c r="AH56" s="857">
        <f>'Calc tab'!AH52</f>
        <v/>
      </c>
      <c r="AI56" s="648">
        <f>'Calc tab'!AI52</f>
        <v/>
      </c>
    </row>
    <row r="57" ht="30" customHeight="1" s="685">
      <c r="A57" s="4">
        <f>'Calc tab'!A53</f>
        <v/>
      </c>
      <c r="B57" s="637">
        <f>'Calc tab'!B53</f>
        <v/>
      </c>
      <c r="C57" s="637">
        <f>'Calc tab'!C53</f>
        <v/>
      </c>
      <c r="D57" s="638">
        <f>'Calc tab'!D53</f>
        <v/>
      </c>
      <c r="E57" s="638">
        <f>'Calc tab'!E53</f>
        <v/>
      </c>
      <c r="F57" s="638">
        <f>'Calc tab'!F53</f>
        <v/>
      </c>
      <c r="G57" s="638">
        <f>'Calc tab'!G53</f>
        <v/>
      </c>
      <c r="H57" s="638">
        <f>'Calc tab'!H53</f>
        <v/>
      </c>
      <c r="I57" s="638">
        <f>'Calc tab'!I53</f>
        <v/>
      </c>
      <c r="J57" s="638">
        <f>'Calc tab'!J53</f>
        <v/>
      </c>
      <c r="K57" s="638">
        <f>'Calc tab'!K53</f>
        <v/>
      </c>
      <c r="L57" s="638">
        <f>'Calc tab'!L53</f>
        <v/>
      </c>
      <c r="M57" s="638">
        <f>'Calc tab'!M53</f>
        <v/>
      </c>
      <c r="N57" s="638">
        <f>'Calc tab'!N53</f>
        <v/>
      </c>
      <c r="O57" s="638">
        <f>'Calc tab'!O53</f>
        <v/>
      </c>
      <c r="P57" s="638">
        <f>'Calc tab'!P53</f>
        <v/>
      </c>
      <c r="Q57" s="638">
        <f>'Calc tab'!Q53</f>
        <v/>
      </c>
      <c r="R57" s="638">
        <f>'Calc tab'!R53</f>
        <v/>
      </c>
      <c r="S57" s="638">
        <f>'Calc tab'!S53</f>
        <v/>
      </c>
      <c r="T57" s="638">
        <f>'Calc tab'!T53</f>
        <v/>
      </c>
      <c r="U57" s="638">
        <f>'Calc tab'!U53</f>
        <v/>
      </c>
      <c r="V57" s="638">
        <f>'Calc tab'!V53</f>
        <v/>
      </c>
      <c r="W57" s="638">
        <f>'Calc tab'!W53</f>
        <v/>
      </c>
      <c r="X57" s="638">
        <f>'Calc tab'!X53</f>
        <v/>
      </c>
      <c r="Y57" s="638">
        <f>'Calc tab'!Y53</f>
        <v/>
      </c>
      <c r="Z57" s="638">
        <f>'Calc tab'!Z53</f>
        <v/>
      </c>
      <c r="AA57" s="638">
        <f>'Calc tab'!AA53</f>
        <v/>
      </c>
      <c r="AB57" s="638">
        <f>'Calc tab'!AB53</f>
        <v/>
      </c>
      <c r="AC57" s="638">
        <f>'Calc tab'!AC53</f>
        <v/>
      </c>
      <c r="AD57" s="638">
        <f>'Calc tab'!AD53</f>
        <v/>
      </c>
      <c r="AE57" s="638">
        <f>'Calc tab'!AE53</f>
        <v/>
      </c>
      <c r="AF57" s="642">
        <f>'Calc tab'!AF53</f>
        <v/>
      </c>
      <c r="AG57" s="643">
        <f>'Calc tab'!AG53</f>
        <v/>
      </c>
      <c r="AH57" s="858">
        <f>'Calc tab'!AH53</f>
        <v/>
      </c>
      <c r="AI57" s="649">
        <f>'Calc tab'!AI53</f>
        <v/>
      </c>
    </row>
    <row r="58" customFormat="1" s="1">
      <c r="A58" s="645">
        <f>'Calc tab'!A54</f>
        <v/>
      </c>
      <c r="B58" s="646">
        <f>'Calc tab'!B54</f>
        <v/>
      </c>
      <c r="C58" s="646">
        <f>'Calc tab'!C54</f>
        <v/>
      </c>
      <c r="D58" s="646">
        <f>'Calc tab'!D54</f>
        <v/>
      </c>
      <c r="E58" s="646">
        <f>'Calc tab'!E54</f>
        <v/>
      </c>
      <c r="F58" s="646">
        <f>'Calc tab'!F54</f>
        <v/>
      </c>
      <c r="G58" s="646">
        <f>'Calc tab'!G54</f>
        <v/>
      </c>
      <c r="H58" s="646">
        <f>'Calc tab'!H54</f>
        <v/>
      </c>
      <c r="I58" s="646">
        <f>'Calc tab'!I54</f>
        <v/>
      </c>
      <c r="J58" s="646">
        <f>'Calc tab'!J54</f>
        <v/>
      </c>
      <c r="K58" s="646">
        <f>'Calc tab'!K54</f>
        <v/>
      </c>
      <c r="L58" s="646">
        <f>'Calc tab'!L54</f>
        <v/>
      </c>
      <c r="M58" s="646">
        <f>'Calc tab'!M54</f>
        <v/>
      </c>
      <c r="N58" s="646">
        <f>'Calc tab'!N54</f>
        <v/>
      </c>
      <c r="O58" s="646">
        <f>'Calc tab'!O54</f>
        <v/>
      </c>
      <c r="P58" s="646">
        <f>'Calc tab'!P54</f>
        <v/>
      </c>
      <c r="Q58" s="646">
        <f>'Calc tab'!Q54</f>
        <v/>
      </c>
      <c r="R58" s="646">
        <f>'Calc tab'!R54</f>
        <v/>
      </c>
      <c r="S58" s="646">
        <f>'Calc tab'!S54</f>
        <v/>
      </c>
      <c r="T58" s="646">
        <f>'Calc tab'!T54</f>
        <v/>
      </c>
      <c r="U58" s="646">
        <f>'Calc tab'!U54</f>
        <v/>
      </c>
      <c r="V58" s="646">
        <f>'Calc tab'!V54</f>
        <v/>
      </c>
      <c r="W58" s="646">
        <f>'Calc tab'!W54</f>
        <v/>
      </c>
      <c r="X58" s="646">
        <f>'Calc tab'!X54</f>
        <v/>
      </c>
      <c r="Y58" s="646">
        <f>'Calc tab'!Y54</f>
        <v/>
      </c>
      <c r="Z58" s="646">
        <f>'Calc tab'!Z54</f>
        <v/>
      </c>
      <c r="AA58" s="646">
        <f>'Calc tab'!AA54</f>
        <v/>
      </c>
      <c r="AB58" s="646">
        <f>'Calc tab'!AB54</f>
        <v/>
      </c>
      <c r="AC58" s="646">
        <f>'Calc tab'!AC54</f>
        <v/>
      </c>
      <c r="AD58" s="646">
        <f>'Calc tab'!AD54</f>
        <v/>
      </c>
      <c r="AE58" s="646">
        <f>'Calc tab'!AE54</f>
        <v/>
      </c>
      <c r="AF58" s="640" t="n"/>
      <c r="AG58" s="640" t="n"/>
      <c r="AH58" s="859" t="n"/>
      <c r="AI58" s="650" t="n"/>
    </row>
    <row r="61" hidden="1" ht="30" customFormat="1" customHeight="1" s="194">
      <c r="A61" s="393">
        <f>'Calc tab'!A57</f>
        <v/>
      </c>
      <c r="B61" s="193">
        <f>'Calc tab'!B57</f>
        <v/>
      </c>
      <c r="C61" s="193">
        <f>'Calc tab'!C57</f>
        <v/>
      </c>
      <c r="D61" s="193">
        <f>'Calc tab'!D57</f>
        <v/>
      </c>
      <c r="E61" s="193">
        <f>'Calc tab'!E57</f>
        <v/>
      </c>
      <c r="F61" s="193">
        <f>'Calc tab'!F57</f>
        <v/>
      </c>
      <c r="G61" s="193">
        <f>'Calc tab'!G57</f>
        <v/>
      </c>
      <c r="H61" s="193">
        <f>'Calc tab'!H57</f>
        <v/>
      </c>
      <c r="I61" s="193">
        <f>'Calc tab'!I57</f>
        <v/>
      </c>
      <c r="J61" s="193">
        <f>'Calc tab'!J57</f>
        <v/>
      </c>
      <c r="K61" s="193">
        <f>'Calc tab'!K57</f>
        <v/>
      </c>
      <c r="L61" s="193">
        <f>'Calc tab'!L57</f>
        <v/>
      </c>
      <c r="M61" s="193">
        <f>'Calc tab'!M57</f>
        <v/>
      </c>
      <c r="N61" s="193">
        <f>'Calc tab'!N57</f>
        <v/>
      </c>
      <c r="O61" s="193">
        <f>'Calc tab'!O57</f>
        <v/>
      </c>
      <c r="P61" s="193">
        <f>'Calc tab'!P57</f>
        <v/>
      </c>
      <c r="Q61" s="193">
        <f>'Calc tab'!Q57</f>
        <v/>
      </c>
      <c r="R61" s="193">
        <f>'Calc tab'!R57</f>
        <v/>
      </c>
      <c r="S61" s="193">
        <f>'Calc tab'!S57</f>
        <v/>
      </c>
      <c r="T61" s="193">
        <f>'Calc tab'!T57</f>
        <v/>
      </c>
      <c r="U61" s="193">
        <f>'Calc tab'!U57</f>
        <v/>
      </c>
      <c r="V61" s="193">
        <f>'Calc tab'!V57</f>
        <v/>
      </c>
      <c r="W61" s="193">
        <f>'Calc tab'!W57</f>
        <v/>
      </c>
      <c r="X61" s="193">
        <f>'Calc tab'!X57</f>
        <v/>
      </c>
      <c r="Y61" s="193">
        <f>'Calc tab'!Y57</f>
        <v/>
      </c>
      <c r="Z61" s="193">
        <f>'Calc tab'!Z57</f>
        <v/>
      </c>
      <c r="AA61" s="193">
        <f>'Calc tab'!AA57</f>
        <v/>
      </c>
      <c r="AB61" s="193">
        <f>'Calc tab'!AB57</f>
        <v/>
      </c>
      <c r="AC61" s="193">
        <f>'Calc tab'!AC57</f>
        <v/>
      </c>
      <c r="AD61" s="193">
        <f>'Calc tab'!AD57</f>
        <v/>
      </c>
      <c r="AE61" s="193">
        <f>'Calc tab'!AE57</f>
        <v/>
      </c>
      <c r="AF61" s="414">
        <f>'Calc tab'!AF57</f>
        <v/>
      </c>
      <c r="AG61" s="414">
        <f>'Calc tab'!AG57</f>
        <v/>
      </c>
      <c r="AH61" s="834">
        <f>'Calc tab'!AH57</f>
        <v/>
      </c>
      <c r="AI61" s="387">
        <f>'Calc tab'!AI57</f>
        <v/>
      </c>
    </row>
    <row r="62" hidden="1" customFormat="1" s="194">
      <c r="A62" s="394">
        <f>'Calc tab'!A58</f>
        <v/>
      </c>
      <c r="B62" s="823">
        <f>'Calc tab'!B58</f>
        <v/>
      </c>
      <c r="C62" s="823">
        <f>'Calc tab'!C58</f>
        <v/>
      </c>
      <c r="D62" s="823">
        <f>'Calc tab'!D58</f>
        <v/>
      </c>
      <c r="E62" s="823">
        <f>'Calc tab'!E58</f>
        <v/>
      </c>
      <c r="F62" s="823">
        <f>'Calc tab'!F58</f>
        <v/>
      </c>
      <c r="G62" s="823">
        <f>'Calc tab'!G58</f>
        <v/>
      </c>
      <c r="H62" s="823">
        <f>'Calc tab'!H58</f>
        <v/>
      </c>
      <c r="I62" s="823">
        <f>'Calc tab'!I58</f>
        <v/>
      </c>
      <c r="J62" s="823">
        <f>'Calc tab'!J58</f>
        <v/>
      </c>
      <c r="K62" s="823">
        <f>'Calc tab'!K58</f>
        <v/>
      </c>
      <c r="L62" s="823">
        <f>'Calc tab'!L58</f>
        <v/>
      </c>
      <c r="M62" s="823">
        <f>'Calc tab'!M58</f>
        <v/>
      </c>
      <c r="N62" s="823">
        <f>'Calc tab'!N58</f>
        <v/>
      </c>
      <c r="O62" s="823">
        <f>'Calc tab'!O58</f>
        <v/>
      </c>
      <c r="P62" s="823">
        <f>'Calc tab'!P58</f>
        <v/>
      </c>
      <c r="Q62" s="823">
        <f>'Calc tab'!Q58</f>
        <v/>
      </c>
      <c r="R62" s="823">
        <f>'Calc tab'!R58</f>
        <v/>
      </c>
      <c r="S62" s="823">
        <f>'Calc tab'!S58</f>
        <v/>
      </c>
      <c r="T62" s="823">
        <f>'Calc tab'!T58</f>
        <v/>
      </c>
      <c r="U62" s="823">
        <f>'Calc tab'!U58</f>
        <v/>
      </c>
      <c r="V62" s="823">
        <f>'Calc tab'!V58</f>
        <v/>
      </c>
      <c r="W62" s="823">
        <f>'Calc tab'!W58</f>
        <v/>
      </c>
      <c r="X62" s="823">
        <f>'Calc tab'!X58</f>
        <v/>
      </c>
      <c r="Y62" s="823">
        <f>'Calc tab'!Y58</f>
        <v/>
      </c>
      <c r="Z62" s="823">
        <f>'Calc tab'!Z58</f>
        <v/>
      </c>
      <c r="AA62" s="823">
        <f>'Calc tab'!AA58</f>
        <v/>
      </c>
      <c r="AB62" s="823">
        <f>'Calc tab'!AB58</f>
        <v/>
      </c>
      <c r="AC62" s="823">
        <f>'Calc tab'!AC58</f>
        <v/>
      </c>
      <c r="AD62" s="823">
        <f>'Calc tab'!AD58</f>
        <v/>
      </c>
      <c r="AE62" s="823">
        <f>'Calc tab'!AE58</f>
        <v/>
      </c>
      <c r="AF62" s="415">
        <f>'Calc tab'!AF58</f>
        <v/>
      </c>
      <c r="AG62" s="415">
        <f>'Calc tab'!AG58</f>
        <v/>
      </c>
      <c r="AH62" s="835">
        <f>'Calc tab'!AH58</f>
        <v/>
      </c>
      <c r="AI62" s="388">
        <f>'Calc tab'!AI58</f>
        <v/>
      </c>
    </row>
    <row r="63" hidden="1" customFormat="1" s="194">
      <c r="A63" s="394">
        <f>'Calc tab'!A59</f>
        <v/>
      </c>
      <c r="B63" s="823">
        <f>'Calc tab'!B59</f>
        <v/>
      </c>
      <c r="C63" s="823">
        <f>'Calc tab'!C59</f>
        <v/>
      </c>
      <c r="D63" s="823">
        <f>'Calc tab'!D59</f>
        <v/>
      </c>
      <c r="E63" s="823">
        <f>'Calc tab'!E59</f>
        <v/>
      </c>
      <c r="F63" s="823">
        <f>'Calc tab'!F59</f>
        <v/>
      </c>
      <c r="G63" s="823">
        <f>'Calc tab'!G59</f>
        <v/>
      </c>
      <c r="H63" s="823">
        <f>'Calc tab'!H59</f>
        <v/>
      </c>
      <c r="I63" s="823">
        <f>'Calc tab'!I59</f>
        <v/>
      </c>
      <c r="J63" s="823">
        <f>'Calc tab'!J59</f>
        <v/>
      </c>
      <c r="K63" s="823">
        <f>'Calc tab'!K59</f>
        <v/>
      </c>
      <c r="L63" s="823">
        <f>'Calc tab'!L59</f>
        <v/>
      </c>
      <c r="M63" s="823">
        <f>'Calc tab'!M59</f>
        <v/>
      </c>
      <c r="N63" s="823">
        <f>'Calc tab'!N59</f>
        <v/>
      </c>
      <c r="O63" s="823">
        <f>'Calc tab'!O59</f>
        <v/>
      </c>
      <c r="P63" s="823">
        <f>'Calc tab'!P59</f>
        <v/>
      </c>
      <c r="Q63" s="823">
        <f>'Calc tab'!Q59</f>
        <v/>
      </c>
      <c r="R63" s="823">
        <f>'Calc tab'!R59</f>
        <v/>
      </c>
      <c r="S63" s="823">
        <f>'Calc tab'!S59</f>
        <v/>
      </c>
      <c r="T63" s="823">
        <f>'Calc tab'!T59</f>
        <v/>
      </c>
      <c r="U63" s="823">
        <f>'Calc tab'!U59</f>
        <v/>
      </c>
      <c r="V63" s="823">
        <f>'Calc tab'!V59</f>
        <v/>
      </c>
      <c r="W63" s="823">
        <f>'Calc tab'!W59</f>
        <v/>
      </c>
      <c r="X63" s="823">
        <f>'Calc tab'!X59</f>
        <v/>
      </c>
      <c r="Y63" s="823">
        <f>'Calc tab'!Y59</f>
        <v/>
      </c>
      <c r="Z63" s="823">
        <f>'Calc tab'!Z59</f>
        <v/>
      </c>
      <c r="AA63" s="823">
        <f>'Calc tab'!AA59</f>
        <v/>
      </c>
      <c r="AB63" s="823">
        <f>'Calc tab'!AB59</f>
        <v/>
      </c>
      <c r="AC63" s="823">
        <f>'Calc tab'!AC59</f>
        <v/>
      </c>
      <c r="AD63" s="823">
        <f>'Calc tab'!AD59</f>
        <v/>
      </c>
      <c r="AE63" s="823">
        <f>'Calc tab'!AE59</f>
        <v/>
      </c>
      <c r="AF63" s="415">
        <f>'Calc tab'!AF59</f>
        <v/>
      </c>
      <c r="AG63" s="415">
        <f>'Calc tab'!AG59</f>
        <v/>
      </c>
      <c r="AH63" s="835">
        <f>'Calc tab'!AH59</f>
        <v/>
      </c>
      <c r="AI63" s="388">
        <f>'Calc tab'!AI59</f>
        <v/>
      </c>
    </row>
    <row r="64" hidden="1" customFormat="1" s="194">
      <c r="A64" s="394">
        <f>'Calc tab'!A60</f>
        <v/>
      </c>
      <c r="B64" s="823">
        <f>'Calc tab'!B60</f>
        <v/>
      </c>
      <c r="C64" s="823">
        <f>'Calc tab'!C60</f>
        <v/>
      </c>
      <c r="D64" s="823">
        <f>'Calc tab'!D60</f>
        <v/>
      </c>
      <c r="E64" s="823">
        <f>'Calc tab'!E60</f>
        <v/>
      </c>
      <c r="F64" s="823">
        <f>'Calc tab'!F60</f>
        <v/>
      </c>
      <c r="G64" s="823">
        <f>'Calc tab'!G60</f>
        <v/>
      </c>
      <c r="H64" s="823">
        <f>'Calc tab'!H60</f>
        <v/>
      </c>
      <c r="I64" s="823">
        <f>'Calc tab'!I60</f>
        <v/>
      </c>
      <c r="J64" s="823">
        <f>'Calc tab'!J60</f>
        <v/>
      </c>
      <c r="K64" s="823">
        <f>'Calc tab'!K60</f>
        <v/>
      </c>
      <c r="L64" s="823">
        <f>'Calc tab'!L60</f>
        <v/>
      </c>
      <c r="M64" s="823">
        <f>'Calc tab'!M60</f>
        <v/>
      </c>
      <c r="N64" s="823">
        <f>'Calc tab'!N60</f>
        <v/>
      </c>
      <c r="O64" s="823">
        <f>'Calc tab'!O60</f>
        <v/>
      </c>
      <c r="P64" s="823">
        <f>'Calc tab'!P60</f>
        <v/>
      </c>
      <c r="Q64" s="823">
        <f>'Calc tab'!Q60</f>
        <v/>
      </c>
      <c r="R64" s="823">
        <f>'Calc tab'!R60</f>
        <v/>
      </c>
      <c r="S64" s="823">
        <f>'Calc tab'!S60</f>
        <v/>
      </c>
      <c r="T64" s="823">
        <f>'Calc tab'!T60</f>
        <v/>
      </c>
      <c r="U64" s="823">
        <f>'Calc tab'!U60</f>
        <v/>
      </c>
      <c r="V64" s="823">
        <f>'Calc tab'!V60</f>
        <v/>
      </c>
      <c r="W64" s="823">
        <f>'Calc tab'!W60</f>
        <v/>
      </c>
      <c r="X64" s="823">
        <f>'Calc tab'!X60</f>
        <v/>
      </c>
      <c r="Y64" s="823">
        <f>'Calc tab'!Y60</f>
        <v/>
      </c>
      <c r="Z64" s="823">
        <f>'Calc tab'!Z60</f>
        <v/>
      </c>
      <c r="AA64" s="823">
        <f>'Calc tab'!AA60</f>
        <v/>
      </c>
      <c r="AB64" s="823">
        <f>'Calc tab'!AB60</f>
        <v/>
      </c>
      <c r="AC64" s="823">
        <f>'Calc tab'!AC60</f>
        <v/>
      </c>
      <c r="AD64" s="823">
        <f>'Calc tab'!AD60</f>
        <v/>
      </c>
      <c r="AE64" s="823">
        <f>'Calc tab'!AE60</f>
        <v/>
      </c>
      <c r="AF64" s="415">
        <f>'Calc tab'!AF60</f>
        <v/>
      </c>
      <c r="AG64" s="415">
        <f>'Calc tab'!AG60</f>
        <v/>
      </c>
      <c r="AH64" s="835">
        <f>'Calc tab'!AH60</f>
        <v/>
      </c>
      <c r="AI64" s="388">
        <f>'Calc tab'!AI60</f>
        <v/>
      </c>
    </row>
    <row r="65" hidden="1" customFormat="1" s="194">
      <c r="A65" s="394">
        <f>'Calc tab'!A61</f>
        <v/>
      </c>
      <c r="B65" s="823">
        <f>'Calc tab'!B61</f>
        <v/>
      </c>
      <c r="C65" s="823">
        <f>'Calc tab'!C61</f>
        <v/>
      </c>
      <c r="D65" s="823">
        <f>'Calc tab'!D61</f>
        <v/>
      </c>
      <c r="E65" s="823">
        <f>'Calc tab'!E61</f>
        <v/>
      </c>
      <c r="F65" s="823">
        <f>'Calc tab'!F61</f>
        <v/>
      </c>
      <c r="G65" s="823">
        <f>'Calc tab'!G61</f>
        <v/>
      </c>
      <c r="H65" s="823">
        <f>'Calc tab'!H61</f>
        <v/>
      </c>
      <c r="I65" s="823">
        <f>'Calc tab'!I61</f>
        <v/>
      </c>
      <c r="J65" s="823">
        <f>'Calc tab'!J61</f>
        <v/>
      </c>
      <c r="K65" s="823">
        <f>'Calc tab'!K61</f>
        <v/>
      </c>
      <c r="L65" s="823">
        <f>'Calc tab'!L61</f>
        <v/>
      </c>
      <c r="M65" s="823">
        <f>'Calc tab'!M61</f>
        <v/>
      </c>
      <c r="N65" s="823">
        <f>'Calc tab'!N61</f>
        <v/>
      </c>
      <c r="O65" s="823">
        <f>'Calc tab'!O61</f>
        <v/>
      </c>
      <c r="P65" s="823">
        <f>'Calc tab'!P61</f>
        <v/>
      </c>
      <c r="Q65" s="823">
        <f>'Calc tab'!Q61</f>
        <v/>
      </c>
      <c r="R65" s="823">
        <f>'Calc tab'!R61</f>
        <v/>
      </c>
      <c r="S65" s="823">
        <f>'Calc tab'!S61</f>
        <v/>
      </c>
      <c r="T65" s="823">
        <f>'Calc tab'!T61</f>
        <v/>
      </c>
      <c r="U65" s="823">
        <f>'Calc tab'!U61</f>
        <v/>
      </c>
      <c r="V65" s="823">
        <f>'Calc tab'!V61</f>
        <v/>
      </c>
      <c r="W65" s="823">
        <f>'Calc tab'!W61</f>
        <v/>
      </c>
      <c r="X65" s="823">
        <f>'Calc tab'!X61</f>
        <v/>
      </c>
      <c r="Y65" s="823">
        <f>'Calc tab'!Y61</f>
        <v/>
      </c>
      <c r="Z65" s="823">
        <f>'Calc tab'!Z61</f>
        <v/>
      </c>
      <c r="AA65" s="823">
        <f>'Calc tab'!AA61</f>
        <v/>
      </c>
      <c r="AB65" s="823">
        <f>'Calc tab'!AB61</f>
        <v/>
      </c>
      <c r="AC65" s="823">
        <f>'Calc tab'!AC61</f>
        <v/>
      </c>
      <c r="AD65" s="823">
        <f>'Calc tab'!AD61</f>
        <v/>
      </c>
      <c r="AE65" s="823">
        <f>'Calc tab'!AE61</f>
        <v/>
      </c>
      <c r="AF65" s="415">
        <f>'Calc tab'!AF61</f>
        <v/>
      </c>
      <c r="AG65" s="415">
        <f>'Calc tab'!AG61</f>
        <v/>
      </c>
      <c r="AH65" s="835">
        <f>'Calc tab'!AH61</f>
        <v/>
      </c>
      <c r="AI65" s="388">
        <f>'Calc tab'!AI61</f>
        <v/>
      </c>
    </row>
    <row r="66" hidden="1" customFormat="1" s="194">
      <c r="A66" s="394">
        <f>'Calc tab'!A62</f>
        <v/>
      </c>
      <c r="B66" s="823">
        <f>'Calc tab'!B62</f>
        <v/>
      </c>
      <c r="C66" s="823">
        <f>'Calc tab'!C62</f>
        <v/>
      </c>
      <c r="D66" s="823">
        <f>'Calc tab'!D62</f>
        <v/>
      </c>
      <c r="E66" s="823">
        <f>'Calc tab'!E62</f>
        <v/>
      </c>
      <c r="F66" s="823">
        <f>'Calc tab'!F62</f>
        <v/>
      </c>
      <c r="G66" s="823">
        <f>'Calc tab'!G62</f>
        <v/>
      </c>
      <c r="H66" s="823">
        <f>'Calc tab'!H62</f>
        <v/>
      </c>
      <c r="I66" s="823">
        <f>'Calc tab'!I62</f>
        <v/>
      </c>
      <c r="J66" s="823">
        <f>'Calc tab'!J62</f>
        <v/>
      </c>
      <c r="K66" s="823">
        <f>'Calc tab'!K62</f>
        <v/>
      </c>
      <c r="L66" s="823">
        <f>'Calc tab'!L62</f>
        <v/>
      </c>
      <c r="M66" s="823">
        <f>'Calc tab'!M62</f>
        <v/>
      </c>
      <c r="N66" s="823">
        <f>'Calc tab'!N62</f>
        <v/>
      </c>
      <c r="O66" s="823">
        <f>'Calc tab'!O62</f>
        <v/>
      </c>
      <c r="P66" s="823">
        <f>'Calc tab'!P62</f>
        <v/>
      </c>
      <c r="Q66" s="823">
        <f>'Calc tab'!Q62</f>
        <v/>
      </c>
      <c r="R66" s="823">
        <f>'Calc tab'!R62</f>
        <v/>
      </c>
      <c r="S66" s="823">
        <f>'Calc tab'!S62</f>
        <v/>
      </c>
      <c r="T66" s="823">
        <f>'Calc tab'!T62</f>
        <v/>
      </c>
      <c r="U66" s="823">
        <f>'Calc tab'!U62</f>
        <v/>
      </c>
      <c r="V66" s="823">
        <f>'Calc tab'!V62</f>
        <v/>
      </c>
      <c r="W66" s="823">
        <f>'Calc tab'!W62</f>
        <v/>
      </c>
      <c r="X66" s="823">
        <f>'Calc tab'!X62</f>
        <v/>
      </c>
      <c r="Y66" s="823">
        <f>'Calc tab'!Y62</f>
        <v/>
      </c>
      <c r="Z66" s="823">
        <f>'Calc tab'!Z62</f>
        <v/>
      </c>
      <c r="AA66" s="823">
        <f>'Calc tab'!AA62</f>
        <v/>
      </c>
      <c r="AB66" s="823">
        <f>'Calc tab'!AB62</f>
        <v/>
      </c>
      <c r="AC66" s="823">
        <f>'Calc tab'!AC62</f>
        <v/>
      </c>
      <c r="AD66" s="823">
        <f>'Calc tab'!AD62</f>
        <v/>
      </c>
      <c r="AE66" s="823">
        <f>'Calc tab'!AE62</f>
        <v/>
      </c>
      <c r="AF66" s="415">
        <f>'Calc tab'!AF62</f>
        <v/>
      </c>
      <c r="AG66" s="415">
        <f>'Calc tab'!AG62</f>
        <v/>
      </c>
      <c r="AH66" s="835">
        <f>'Calc tab'!AH62</f>
        <v/>
      </c>
      <c r="AI66" s="388">
        <f>'Calc tab'!AI62</f>
        <v/>
      </c>
    </row>
    <row r="67" hidden="1" customFormat="1" s="194">
      <c r="A67" s="394">
        <f>'Calc tab'!A63</f>
        <v/>
      </c>
      <c r="B67" s="823">
        <f>'Calc tab'!B63</f>
        <v/>
      </c>
      <c r="C67" s="823">
        <f>'Calc tab'!C63</f>
        <v/>
      </c>
      <c r="D67" s="823">
        <f>'Calc tab'!D63</f>
        <v/>
      </c>
      <c r="E67" s="823">
        <f>'Calc tab'!E63</f>
        <v/>
      </c>
      <c r="F67" s="823">
        <f>'Calc tab'!F63</f>
        <v/>
      </c>
      <c r="G67" s="823">
        <f>'Calc tab'!G63</f>
        <v/>
      </c>
      <c r="H67" s="823">
        <f>'Calc tab'!H63</f>
        <v/>
      </c>
      <c r="I67" s="823">
        <f>'Calc tab'!I63</f>
        <v/>
      </c>
      <c r="J67" s="823">
        <f>'Calc tab'!J63</f>
        <v/>
      </c>
      <c r="K67" s="823">
        <f>'Calc tab'!K63</f>
        <v/>
      </c>
      <c r="L67" s="823">
        <f>'Calc tab'!L63</f>
        <v/>
      </c>
      <c r="M67" s="823">
        <f>'Calc tab'!M63</f>
        <v/>
      </c>
      <c r="N67" s="823">
        <f>'Calc tab'!N63</f>
        <v/>
      </c>
      <c r="O67" s="823">
        <f>'Calc tab'!O63</f>
        <v/>
      </c>
      <c r="P67" s="823">
        <f>'Calc tab'!P63</f>
        <v/>
      </c>
      <c r="Q67" s="823">
        <f>'Calc tab'!Q63</f>
        <v/>
      </c>
      <c r="R67" s="823">
        <f>'Calc tab'!R63</f>
        <v/>
      </c>
      <c r="S67" s="823">
        <f>'Calc tab'!S63</f>
        <v/>
      </c>
      <c r="T67" s="823">
        <f>'Calc tab'!T63</f>
        <v/>
      </c>
      <c r="U67" s="823">
        <f>'Calc tab'!U63</f>
        <v/>
      </c>
      <c r="V67" s="823">
        <f>'Calc tab'!V63</f>
        <v/>
      </c>
      <c r="W67" s="823">
        <f>'Calc tab'!W63</f>
        <v/>
      </c>
      <c r="X67" s="823">
        <f>'Calc tab'!X63</f>
        <v/>
      </c>
      <c r="Y67" s="823">
        <f>'Calc tab'!Y63</f>
        <v/>
      </c>
      <c r="Z67" s="823">
        <f>'Calc tab'!Z63</f>
        <v/>
      </c>
      <c r="AA67" s="823">
        <f>'Calc tab'!AA63</f>
        <v/>
      </c>
      <c r="AB67" s="823">
        <f>'Calc tab'!AB63</f>
        <v/>
      </c>
      <c r="AC67" s="823">
        <f>'Calc tab'!AC63</f>
        <v/>
      </c>
      <c r="AD67" s="823">
        <f>'Calc tab'!AD63</f>
        <v/>
      </c>
      <c r="AE67" s="823">
        <f>'Calc tab'!AE63</f>
        <v/>
      </c>
      <c r="AF67" s="415">
        <f>'Calc tab'!AF63</f>
        <v/>
      </c>
      <c r="AG67" s="415">
        <f>'Calc tab'!AG63</f>
        <v/>
      </c>
      <c r="AH67" s="835">
        <f>'Calc tab'!AH63</f>
        <v/>
      </c>
      <c r="AI67" s="388">
        <f>'Calc tab'!AI63</f>
        <v/>
      </c>
    </row>
    <row r="68" hidden="1" customFormat="1" s="194">
      <c r="A68" s="394">
        <f>'Calc tab'!A64</f>
        <v/>
      </c>
      <c r="B68" s="823">
        <f>'Calc tab'!B64</f>
        <v/>
      </c>
      <c r="C68" s="823">
        <f>'Calc tab'!C64</f>
        <v/>
      </c>
      <c r="D68" s="823">
        <f>'Calc tab'!D64</f>
        <v/>
      </c>
      <c r="E68" s="823">
        <f>'Calc tab'!E64</f>
        <v/>
      </c>
      <c r="F68" s="823">
        <f>'Calc tab'!F64</f>
        <v/>
      </c>
      <c r="G68" s="823">
        <f>'Calc tab'!G64</f>
        <v/>
      </c>
      <c r="H68" s="823">
        <f>'Calc tab'!H64</f>
        <v/>
      </c>
      <c r="I68" s="823">
        <f>'Calc tab'!I64</f>
        <v/>
      </c>
      <c r="J68" s="823">
        <f>'Calc tab'!J64</f>
        <v/>
      </c>
      <c r="K68" s="823">
        <f>'Calc tab'!K64</f>
        <v/>
      </c>
      <c r="L68" s="823">
        <f>'Calc tab'!L64</f>
        <v/>
      </c>
      <c r="M68" s="823">
        <f>'Calc tab'!M64</f>
        <v/>
      </c>
      <c r="N68" s="823">
        <f>'Calc tab'!N64</f>
        <v/>
      </c>
      <c r="O68" s="823">
        <f>'Calc tab'!O64</f>
        <v/>
      </c>
      <c r="P68" s="823">
        <f>'Calc tab'!P64</f>
        <v/>
      </c>
      <c r="Q68" s="823">
        <f>'Calc tab'!Q64</f>
        <v/>
      </c>
      <c r="R68" s="823">
        <f>'Calc tab'!R64</f>
        <v/>
      </c>
      <c r="S68" s="823">
        <f>'Calc tab'!S64</f>
        <v/>
      </c>
      <c r="T68" s="823">
        <f>'Calc tab'!T64</f>
        <v/>
      </c>
      <c r="U68" s="823">
        <f>'Calc tab'!U64</f>
        <v/>
      </c>
      <c r="V68" s="823">
        <f>'Calc tab'!V64</f>
        <v/>
      </c>
      <c r="W68" s="823">
        <f>'Calc tab'!W64</f>
        <v/>
      </c>
      <c r="X68" s="823">
        <f>'Calc tab'!X64</f>
        <v/>
      </c>
      <c r="Y68" s="823">
        <f>'Calc tab'!Y64</f>
        <v/>
      </c>
      <c r="Z68" s="823">
        <f>'Calc tab'!Z64</f>
        <v/>
      </c>
      <c r="AA68" s="823">
        <f>'Calc tab'!AA64</f>
        <v/>
      </c>
      <c r="AB68" s="823">
        <f>'Calc tab'!AB64</f>
        <v/>
      </c>
      <c r="AC68" s="823">
        <f>'Calc tab'!AC64</f>
        <v/>
      </c>
      <c r="AD68" s="823">
        <f>'Calc tab'!AD64</f>
        <v/>
      </c>
      <c r="AE68" s="823">
        <f>'Calc tab'!AE64</f>
        <v/>
      </c>
      <c r="AF68" s="415">
        <f>'Calc tab'!AF64</f>
        <v/>
      </c>
      <c r="AG68" s="415">
        <f>'Calc tab'!AG64</f>
        <v/>
      </c>
      <c r="AH68" s="835">
        <f>'Calc tab'!AH64</f>
        <v/>
      </c>
      <c r="AI68" s="388">
        <f>'Calc tab'!AI64</f>
        <v/>
      </c>
    </row>
    <row r="69" hidden="1" ht="30" customFormat="1" customHeight="1" s="194">
      <c r="A69" s="394">
        <f>'Calc tab'!A65</f>
        <v/>
      </c>
      <c r="B69" s="823">
        <f>'Calc tab'!B65</f>
        <v/>
      </c>
      <c r="C69" s="823">
        <f>'Calc tab'!C65</f>
        <v/>
      </c>
      <c r="D69" s="823">
        <f>'Calc tab'!D65</f>
        <v/>
      </c>
      <c r="E69" s="823">
        <f>'Calc tab'!E65</f>
        <v/>
      </c>
      <c r="F69" s="823">
        <f>'Calc tab'!F65</f>
        <v/>
      </c>
      <c r="G69" s="823">
        <f>'Calc tab'!G65</f>
        <v/>
      </c>
      <c r="H69" s="823">
        <f>'Calc tab'!H65</f>
        <v/>
      </c>
      <c r="I69" s="823">
        <f>'Calc tab'!I65</f>
        <v/>
      </c>
      <c r="J69" s="823">
        <f>'Calc tab'!J65</f>
        <v/>
      </c>
      <c r="K69" s="823">
        <f>'Calc tab'!K65</f>
        <v/>
      </c>
      <c r="L69" s="823">
        <f>'Calc tab'!L65</f>
        <v/>
      </c>
      <c r="M69" s="823">
        <f>'Calc tab'!M65</f>
        <v/>
      </c>
      <c r="N69" s="823">
        <f>'Calc tab'!N65</f>
        <v/>
      </c>
      <c r="O69" s="823">
        <f>'Calc tab'!O65</f>
        <v/>
      </c>
      <c r="P69" s="823">
        <f>'Calc tab'!P65</f>
        <v/>
      </c>
      <c r="Q69" s="823">
        <f>'Calc tab'!Q65</f>
        <v/>
      </c>
      <c r="R69" s="823">
        <f>'Calc tab'!R65</f>
        <v/>
      </c>
      <c r="S69" s="823">
        <f>'Calc tab'!S65</f>
        <v/>
      </c>
      <c r="T69" s="823">
        <f>'Calc tab'!T65</f>
        <v/>
      </c>
      <c r="U69" s="823">
        <f>'Calc tab'!U65</f>
        <v/>
      </c>
      <c r="V69" s="823">
        <f>'Calc tab'!V65</f>
        <v/>
      </c>
      <c r="W69" s="823">
        <f>'Calc tab'!W65</f>
        <v/>
      </c>
      <c r="X69" s="823">
        <f>'Calc tab'!X65</f>
        <v/>
      </c>
      <c r="Y69" s="823">
        <f>'Calc tab'!Y65</f>
        <v/>
      </c>
      <c r="Z69" s="823">
        <f>'Calc tab'!Z65</f>
        <v/>
      </c>
      <c r="AA69" s="823">
        <f>'Calc tab'!AA65</f>
        <v/>
      </c>
      <c r="AB69" s="823">
        <f>'Calc tab'!AB65</f>
        <v/>
      </c>
      <c r="AC69" s="823">
        <f>'Calc tab'!AC65</f>
        <v/>
      </c>
      <c r="AD69" s="823">
        <f>'Calc tab'!AD65</f>
        <v/>
      </c>
      <c r="AE69" s="823">
        <f>'Calc tab'!AE65</f>
        <v/>
      </c>
      <c r="AF69" s="415">
        <f>'Calc tab'!AF65</f>
        <v/>
      </c>
      <c r="AG69" s="415">
        <f>'Calc tab'!AG65</f>
        <v/>
      </c>
      <c r="AH69" s="835">
        <f>'Calc tab'!AH65</f>
        <v/>
      </c>
      <c r="AI69" s="388">
        <f>'Calc tab'!AI65</f>
        <v/>
      </c>
    </row>
    <row r="70" hidden="1" ht="30" customFormat="1" customHeight="1" s="194">
      <c r="A70" s="394">
        <f>'Calc tab'!A66</f>
        <v/>
      </c>
      <c r="B70" s="823">
        <f>'Calc tab'!B66</f>
        <v/>
      </c>
      <c r="C70" s="823">
        <f>'Calc tab'!C66</f>
        <v/>
      </c>
      <c r="D70" s="823">
        <f>'Calc tab'!D66</f>
        <v/>
      </c>
      <c r="E70" s="823">
        <f>'Calc tab'!E66</f>
        <v/>
      </c>
      <c r="F70" s="823">
        <f>'Calc tab'!F66</f>
        <v/>
      </c>
      <c r="G70" s="823">
        <f>'Calc tab'!G66</f>
        <v/>
      </c>
      <c r="H70" s="823">
        <f>'Calc tab'!H66</f>
        <v/>
      </c>
      <c r="I70" s="823">
        <f>'Calc tab'!I66</f>
        <v/>
      </c>
      <c r="J70" s="823">
        <f>'Calc tab'!J66</f>
        <v/>
      </c>
      <c r="K70" s="823">
        <f>'Calc tab'!K66</f>
        <v/>
      </c>
      <c r="L70" s="823">
        <f>'Calc tab'!L66</f>
        <v/>
      </c>
      <c r="M70" s="823">
        <f>'Calc tab'!M66</f>
        <v/>
      </c>
      <c r="N70" s="823">
        <f>'Calc tab'!N66</f>
        <v/>
      </c>
      <c r="O70" s="823">
        <f>'Calc tab'!O66</f>
        <v/>
      </c>
      <c r="P70" s="823">
        <f>'Calc tab'!P66</f>
        <v/>
      </c>
      <c r="Q70" s="823">
        <f>'Calc tab'!Q66</f>
        <v/>
      </c>
      <c r="R70" s="823">
        <f>'Calc tab'!R66</f>
        <v/>
      </c>
      <c r="S70" s="823">
        <f>'Calc tab'!S66</f>
        <v/>
      </c>
      <c r="T70" s="823">
        <f>'Calc tab'!T66</f>
        <v/>
      </c>
      <c r="U70" s="823">
        <f>'Calc tab'!U66</f>
        <v/>
      </c>
      <c r="V70" s="823">
        <f>'Calc tab'!V66</f>
        <v/>
      </c>
      <c r="W70" s="823">
        <f>'Calc tab'!W66</f>
        <v/>
      </c>
      <c r="X70" s="823">
        <f>'Calc tab'!X66</f>
        <v/>
      </c>
      <c r="Y70" s="823">
        <f>'Calc tab'!Y66</f>
        <v/>
      </c>
      <c r="Z70" s="823">
        <f>'Calc tab'!Z66</f>
        <v/>
      </c>
      <c r="AA70" s="823">
        <f>'Calc tab'!AA66</f>
        <v/>
      </c>
      <c r="AB70" s="823">
        <f>'Calc tab'!AB66</f>
        <v/>
      </c>
      <c r="AC70" s="823">
        <f>'Calc tab'!AC66</f>
        <v/>
      </c>
      <c r="AD70" s="823">
        <f>'Calc tab'!AD66</f>
        <v/>
      </c>
      <c r="AE70" s="823">
        <f>'Calc tab'!AE66</f>
        <v/>
      </c>
      <c r="AF70" s="415">
        <f>'Calc tab'!AF66</f>
        <v/>
      </c>
      <c r="AG70" s="415">
        <f>'Calc tab'!AG66</f>
        <v/>
      </c>
      <c r="AH70" s="835">
        <f>'Calc tab'!AH66</f>
        <v/>
      </c>
      <c r="AI70" s="388">
        <f>'Calc tab'!AI66</f>
        <v/>
      </c>
    </row>
    <row r="71" hidden="1" ht="30" customFormat="1" customHeight="1" s="194">
      <c r="A71" s="394">
        <f>'Calc tab'!A67</f>
        <v/>
      </c>
      <c r="B71" s="823">
        <f>'Calc tab'!B67</f>
        <v/>
      </c>
      <c r="C71" s="823">
        <f>'Calc tab'!C67</f>
        <v/>
      </c>
      <c r="D71" s="823">
        <f>'Calc tab'!D67</f>
        <v/>
      </c>
      <c r="E71" s="823">
        <f>'Calc tab'!E67</f>
        <v/>
      </c>
      <c r="F71" s="823">
        <f>'Calc tab'!F67</f>
        <v/>
      </c>
      <c r="G71" s="823">
        <f>'Calc tab'!G67</f>
        <v/>
      </c>
      <c r="H71" s="823">
        <f>'Calc tab'!H67</f>
        <v/>
      </c>
      <c r="I71" s="823">
        <f>'Calc tab'!I67</f>
        <v/>
      </c>
      <c r="J71" s="823">
        <f>'Calc tab'!J67</f>
        <v/>
      </c>
      <c r="K71" s="823">
        <f>'Calc tab'!K67</f>
        <v/>
      </c>
      <c r="L71" s="823">
        <f>'Calc tab'!L67</f>
        <v/>
      </c>
      <c r="M71" s="823">
        <f>'Calc tab'!M67</f>
        <v/>
      </c>
      <c r="N71" s="823">
        <f>'Calc tab'!N67</f>
        <v/>
      </c>
      <c r="O71" s="823">
        <f>'Calc tab'!O67</f>
        <v/>
      </c>
      <c r="P71" s="823">
        <f>'Calc tab'!P67</f>
        <v/>
      </c>
      <c r="Q71" s="823">
        <f>'Calc tab'!Q67</f>
        <v/>
      </c>
      <c r="R71" s="823">
        <f>'Calc tab'!R67</f>
        <v/>
      </c>
      <c r="S71" s="823">
        <f>'Calc tab'!S67</f>
        <v/>
      </c>
      <c r="T71" s="823">
        <f>'Calc tab'!T67</f>
        <v/>
      </c>
      <c r="U71" s="823">
        <f>'Calc tab'!U67</f>
        <v/>
      </c>
      <c r="V71" s="823">
        <f>'Calc tab'!V67</f>
        <v/>
      </c>
      <c r="W71" s="823">
        <f>'Calc tab'!W67</f>
        <v/>
      </c>
      <c r="X71" s="823">
        <f>'Calc tab'!X67</f>
        <v/>
      </c>
      <c r="Y71" s="823">
        <f>'Calc tab'!Y67</f>
        <v/>
      </c>
      <c r="Z71" s="823">
        <f>'Calc tab'!Z67</f>
        <v/>
      </c>
      <c r="AA71" s="823">
        <f>'Calc tab'!AA67</f>
        <v/>
      </c>
      <c r="AB71" s="823">
        <f>'Calc tab'!AB67</f>
        <v/>
      </c>
      <c r="AC71" s="823">
        <f>'Calc tab'!AC67</f>
        <v/>
      </c>
      <c r="AD71" s="823">
        <f>'Calc tab'!AD67</f>
        <v/>
      </c>
      <c r="AE71" s="823">
        <f>'Calc tab'!AE67</f>
        <v/>
      </c>
      <c r="AF71" s="415">
        <f>'Calc tab'!AF67</f>
        <v/>
      </c>
      <c r="AG71" s="415">
        <f>'Calc tab'!AG67</f>
        <v/>
      </c>
      <c r="AH71" s="835">
        <f>'Calc tab'!AH67</f>
        <v/>
      </c>
      <c r="AI71" s="388">
        <f>'Calc tab'!AI67</f>
        <v/>
      </c>
    </row>
    <row r="72" hidden="1" ht="30" customFormat="1" customHeight="1" s="194">
      <c r="A72" s="394">
        <f>'Calc tab'!A68</f>
        <v/>
      </c>
      <c r="B72" s="823">
        <f>'Calc tab'!B68</f>
        <v/>
      </c>
      <c r="C72" s="823">
        <f>'Calc tab'!C68</f>
        <v/>
      </c>
      <c r="D72" s="823">
        <f>'Calc tab'!D68</f>
        <v/>
      </c>
      <c r="E72" s="823">
        <f>'Calc tab'!E68</f>
        <v/>
      </c>
      <c r="F72" s="823">
        <f>'Calc tab'!F68</f>
        <v/>
      </c>
      <c r="G72" s="823">
        <f>'Calc tab'!G68</f>
        <v/>
      </c>
      <c r="H72" s="823">
        <f>'Calc tab'!H68</f>
        <v/>
      </c>
      <c r="I72" s="823">
        <f>'Calc tab'!I68</f>
        <v/>
      </c>
      <c r="J72" s="823">
        <f>'Calc tab'!J68</f>
        <v/>
      </c>
      <c r="K72" s="823">
        <f>'Calc tab'!K68</f>
        <v/>
      </c>
      <c r="L72" s="823">
        <f>'Calc tab'!L68</f>
        <v/>
      </c>
      <c r="M72" s="823">
        <f>'Calc tab'!M68</f>
        <v/>
      </c>
      <c r="N72" s="823">
        <f>'Calc tab'!N68</f>
        <v/>
      </c>
      <c r="O72" s="823">
        <f>'Calc tab'!O68</f>
        <v/>
      </c>
      <c r="P72" s="823">
        <f>'Calc tab'!P68</f>
        <v/>
      </c>
      <c r="Q72" s="823">
        <f>'Calc tab'!Q68</f>
        <v/>
      </c>
      <c r="R72" s="823">
        <f>'Calc tab'!R68</f>
        <v/>
      </c>
      <c r="S72" s="823">
        <f>'Calc tab'!S68</f>
        <v/>
      </c>
      <c r="T72" s="823">
        <f>'Calc tab'!T68</f>
        <v/>
      </c>
      <c r="U72" s="823">
        <f>'Calc tab'!U68</f>
        <v/>
      </c>
      <c r="V72" s="823">
        <f>'Calc tab'!V68</f>
        <v/>
      </c>
      <c r="W72" s="823">
        <f>'Calc tab'!W68</f>
        <v/>
      </c>
      <c r="X72" s="823">
        <f>'Calc tab'!X68</f>
        <v/>
      </c>
      <c r="Y72" s="823">
        <f>'Calc tab'!Y68</f>
        <v/>
      </c>
      <c r="Z72" s="823">
        <f>'Calc tab'!Z68</f>
        <v/>
      </c>
      <c r="AA72" s="823">
        <f>'Calc tab'!AA68</f>
        <v/>
      </c>
      <c r="AB72" s="823">
        <f>'Calc tab'!AB68</f>
        <v/>
      </c>
      <c r="AC72" s="823">
        <f>'Calc tab'!AC68</f>
        <v/>
      </c>
      <c r="AD72" s="823">
        <f>'Calc tab'!AD68</f>
        <v/>
      </c>
      <c r="AE72" s="823">
        <f>'Calc tab'!AE68</f>
        <v/>
      </c>
      <c r="AF72" s="415">
        <f>'Calc tab'!AF68</f>
        <v/>
      </c>
      <c r="AG72" s="415">
        <f>'Calc tab'!AG68</f>
        <v/>
      </c>
      <c r="AH72" s="835">
        <f>'Calc tab'!AH68</f>
        <v/>
      </c>
      <c r="AI72" s="388">
        <f>'Calc tab'!AI68</f>
        <v/>
      </c>
    </row>
    <row r="73" hidden="1" ht="30" customFormat="1" customHeight="1" s="194">
      <c r="A73" s="394">
        <f>'Calc tab'!A69</f>
        <v/>
      </c>
      <c r="B73" s="823">
        <f>'Calc tab'!B69</f>
        <v/>
      </c>
      <c r="C73" s="823">
        <f>'Calc tab'!C69</f>
        <v/>
      </c>
      <c r="D73" s="823">
        <f>'Calc tab'!D69</f>
        <v/>
      </c>
      <c r="E73" s="823">
        <f>'Calc tab'!E69</f>
        <v/>
      </c>
      <c r="F73" s="823">
        <f>'Calc tab'!F69</f>
        <v/>
      </c>
      <c r="G73" s="823">
        <f>'Calc tab'!G69</f>
        <v/>
      </c>
      <c r="H73" s="823">
        <f>'Calc tab'!H69</f>
        <v/>
      </c>
      <c r="I73" s="823">
        <f>'Calc tab'!I69</f>
        <v/>
      </c>
      <c r="J73" s="823">
        <f>'Calc tab'!J69</f>
        <v/>
      </c>
      <c r="K73" s="823">
        <f>'Calc tab'!K69</f>
        <v/>
      </c>
      <c r="L73" s="823">
        <f>'Calc tab'!L69</f>
        <v/>
      </c>
      <c r="M73" s="823">
        <f>'Calc tab'!M69</f>
        <v/>
      </c>
      <c r="N73" s="823">
        <f>'Calc tab'!N69</f>
        <v/>
      </c>
      <c r="O73" s="823">
        <f>'Calc tab'!O69</f>
        <v/>
      </c>
      <c r="P73" s="823">
        <f>'Calc tab'!P69</f>
        <v/>
      </c>
      <c r="Q73" s="823">
        <f>'Calc tab'!Q69</f>
        <v/>
      </c>
      <c r="R73" s="823">
        <f>'Calc tab'!R69</f>
        <v/>
      </c>
      <c r="S73" s="823">
        <f>'Calc tab'!S69</f>
        <v/>
      </c>
      <c r="T73" s="823">
        <f>'Calc tab'!T69</f>
        <v/>
      </c>
      <c r="U73" s="823">
        <f>'Calc tab'!U69</f>
        <v/>
      </c>
      <c r="V73" s="823">
        <f>'Calc tab'!V69</f>
        <v/>
      </c>
      <c r="W73" s="823">
        <f>'Calc tab'!W69</f>
        <v/>
      </c>
      <c r="X73" s="823">
        <f>'Calc tab'!X69</f>
        <v/>
      </c>
      <c r="Y73" s="823">
        <f>'Calc tab'!Y69</f>
        <v/>
      </c>
      <c r="Z73" s="823">
        <f>'Calc tab'!Z69</f>
        <v/>
      </c>
      <c r="AA73" s="823">
        <f>'Calc tab'!AA69</f>
        <v/>
      </c>
      <c r="AB73" s="823">
        <f>'Calc tab'!AB69</f>
        <v/>
      </c>
      <c r="AC73" s="823">
        <f>'Calc tab'!AC69</f>
        <v/>
      </c>
      <c r="AD73" s="823">
        <f>'Calc tab'!AD69</f>
        <v/>
      </c>
      <c r="AE73" s="823">
        <f>'Calc tab'!AE69</f>
        <v/>
      </c>
      <c r="AF73" s="415">
        <f>'Calc tab'!AF69</f>
        <v/>
      </c>
      <c r="AG73" s="415">
        <f>'Calc tab'!AG69</f>
        <v/>
      </c>
      <c r="AH73" s="835">
        <f>'Calc tab'!AH69</f>
        <v/>
      </c>
      <c r="AI73" s="388">
        <f>'Calc tab'!AI69</f>
        <v/>
      </c>
    </row>
    <row r="74" hidden="1" ht="30" customFormat="1" customHeight="1" s="194">
      <c r="A74" s="394">
        <f>'Calc tab'!A70</f>
        <v/>
      </c>
      <c r="B74" s="823">
        <f>'Calc tab'!B70</f>
        <v/>
      </c>
      <c r="C74" s="823">
        <f>'Calc tab'!C70</f>
        <v/>
      </c>
      <c r="D74" s="823">
        <f>'Calc tab'!D70</f>
        <v/>
      </c>
      <c r="E74" s="823">
        <f>'Calc tab'!E70</f>
        <v/>
      </c>
      <c r="F74" s="823">
        <f>'Calc tab'!F70</f>
        <v/>
      </c>
      <c r="G74" s="823">
        <f>'Calc tab'!G70</f>
        <v/>
      </c>
      <c r="H74" s="823">
        <f>'Calc tab'!H70</f>
        <v/>
      </c>
      <c r="I74" s="823">
        <f>'Calc tab'!I70</f>
        <v/>
      </c>
      <c r="J74" s="823">
        <f>'Calc tab'!J70</f>
        <v/>
      </c>
      <c r="K74" s="823">
        <f>'Calc tab'!K70</f>
        <v/>
      </c>
      <c r="L74" s="823">
        <f>'Calc tab'!L70</f>
        <v/>
      </c>
      <c r="M74" s="823">
        <f>'Calc tab'!M70</f>
        <v/>
      </c>
      <c r="N74" s="823">
        <f>'Calc tab'!N70</f>
        <v/>
      </c>
      <c r="O74" s="823">
        <f>'Calc tab'!O70</f>
        <v/>
      </c>
      <c r="P74" s="823">
        <f>'Calc tab'!P70</f>
        <v/>
      </c>
      <c r="Q74" s="823">
        <f>'Calc tab'!Q70</f>
        <v/>
      </c>
      <c r="R74" s="823">
        <f>'Calc tab'!R70</f>
        <v/>
      </c>
      <c r="S74" s="823">
        <f>'Calc tab'!S70</f>
        <v/>
      </c>
      <c r="T74" s="823">
        <f>'Calc tab'!T70</f>
        <v/>
      </c>
      <c r="U74" s="823">
        <f>'Calc tab'!U70</f>
        <v/>
      </c>
      <c r="V74" s="823">
        <f>'Calc tab'!V70</f>
        <v/>
      </c>
      <c r="W74" s="823">
        <f>'Calc tab'!W70</f>
        <v/>
      </c>
      <c r="X74" s="823">
        <f>'Calc tab'!X70</f>
        <v/>
      </c>
      <c r="Y74" s="823">
        <f>'Calc tab'!Y70</f>
        <v/>
      </c>
      <c r="Z74" s="823">
        <f>'Calc tab'!Z70</f>
        <v/>
      </c>
      <c r="AA74" s="823">
        <f>'Calc tab'!AA70</f>
        <v/>
      </c>
      <c r="AB74" s="823">
        <f>'Calc tab'!AB70</f>
        <v/>
      </c>
      <c r="AC74" s="823">
        <f>'Calc tab'!AC70</f>
        <v/>
      </c>
      <c r="AD74" s="823">
        <f>'Calc tab'!AD70</f>
        <v/>
      </c>
      <c r="AE74" s="823">
        <f>'Calc tab'!AE70</f>
        <v/>
      </c>
      <c r="AF74" s="416">
        <f>'Calc tab'!AF70</f>
        <v/>
      </c>
      <c r="AG74" s="416">
        <f>'Calc tab'!AG70</f>
        <v/>
      </c>
      <c r="AH74" s="836">
        <f>'Calc tab'!AH70</f>
        <v/>
      </c>
      <c r="AI74" s="389">
        <f>'Calc tab'!AI70</f>
        <v/>
      </c>
    </row>
    <row r="75" hidden="1" customFormat="1" s="194">
      <c r="A75" s="397" t="inlineStr">
        <is>
          <t>Total Loans</t>
        </is>
      </c>
      <c r="B75" s="828" t="n"/>
      <c r="C75" s="828">
        <f>SUM(C62:C74)</f>
        <v/>
      </c>
      <c r="D75" s="828">
        <f>SUM(D62:D74)</f>
        <v/>
      </c>
      <c r="E75" s="828">
        <f>SUM(E62:E74)</f>
        <v/>
      </c>
      <c r="F75" s="828">
        <f>SUM(F62:F74)</f>
        <v/>
      </c>
      <c r="G75" s="828">
        <f>SUM(G62:G74)</f>
        <v/>
      </c>
      <c r="H75" s="828">
        <f>SUM(H62:H74)</f>
        <v/>
      </c>
      <c r="I75" s="828">
        <f>SUM(I62:I74)</f>
        <v/>
      </c>
      <c r="J75" s="828">
        <f>SUM(J62:J74)</f>
        <v/>
      </c>
      <c r="K75" s="828">
        <f>SUM(K62:K74)</f>
        <v/>
      </c>
      <c r="L75" s="828">
        <f>SUM(L62:L74)</f>
        <v/>
      </c>
      <c r="M75" s="828">
        <f>SUM(M62:M74)</f>
        <v/>
      </c>
      <c r="N75" s="828">
        <f>SUM(N62:N74)</f>
        <v/>
      </c>
      <c r="O75" s="828">
        <f>SUM(O62:O74)</f>
        <v/>
      </c>
      <c r="P75" s="828">
        <f>SUM(P62:P74)</f>
        <v/>
      </c>
      <c r="Q75" s="828">
        <f>SUM(Q62:Q74)</f>
        <v/>
      </c>
      <c r="R75" s="828">
        <f>SUM(R62:R74)</f>
        <v/>
      </c>
      <c r="S75" s="828">
        <f>SUM(S62:S74)</f>
        <v/>
      </c>
      <c r="T75" s="828">
        <f>SUM(T62:T74)</f>
        <v/>
      </c>
      <c r="U75" s="828">
        <f>SUM(U62:U74)</f>
        <v/>
      </c>
      <c r="V75" s="828">
        <f>SUM(V62:V74)</f>
        <v/>
      </c>
      <c r="W75" s="828">
        <f>SUM(W62:W74)</f>
        <v/>
      </c>
      <c r="X75" s="828">
        <f>SUM(X62:X74)</f>
        <v/>
      </c>
      <c r="Y75" s="828">
        <f>SUM(Y62:Y74)</f>
        <v/>
      </c>
      <c r="Z75" s="828">
        <f>SUM(Z62:Z74)</f>
        <v/>
      </c>
      <c r="AA75" s="828">
        <f>SUM(AA62:AA74)</f>
        <v/>
      </c>
      <c r="AB75" s="828">
        <f>SUM(AB62:AB74)</f>
        <v/>
      </c>
      <c r="AC75" s="828">
        <f>SUM(AC62:AC74)</f>
        <v/>
      </c>
      <c r="AD75" s="828">
        <f>SUM(AD62:AD74)</f>
        <v/>
      </c>
      <c r="AE75" s="828">
        <f>SUM(AE62:AE74)</f>
        <v/>
      </c>
      <c r="AF75" s="414" t="n"/>
      <c r="AG75" s="415" t="n"/>
      <c r="AH75" s="834" t="n"/>
      <c r="AI75" s="387" t="n"/>
    </row>
    <row r="76" hidden="1" s="685"/>
    <row r="77" hidden="1" s="685"/>
    <row r="78" hidden="1" customFormat="1" s="194">
      <c r="A78" s="393">
        <f>'Calc tab'!A74</f>
        <v/>
      </c>
      <c r="B78" s="193">
        <f>'Calc tab'!B74</f>
        <v/>
      </c>
      <c r="C78" s="193">
        <f>'Calc tab'!C74</f>
        <v/>
      </c>
      <c r="D78" s="193">
        <f>'Calc tab'!D74</f>
        <v/>
      </c>
      <c r="E78" s="193">
        <f>'Calc tab'!E74</f>
        <v/>
      </c>
      <c r="F78" s="193">
        <f>'Calc tab'!F74</f>
        <v/>
      </c>
      <c r="G78" s="193">
        <f>'Calc tab'!G74</f>
        <v/>
      </c>
      <c r="H78" s="193">
        <f>'Calc tab'!H74</f>
        <v/>
      </c>
      <c r="I78" s="193">
        <f>'Calc tab'!I74</f>
        <v/>
      </c>
      <c r="J78" s="193">
        <f>'Calc tab'!J74</f>
        <v/>
      </c>
      <c r="K78" s="193">
        <f>'Calc tab'!K74</f>
        <v/>
      </c>
      <c r="L78" s="193">
        <f>'Calc tab'!L74</f>
        <v/>
      </c>
      <c r="M78" s="193">
        <f>'Calc tab'!M74</f>
        <v/>
      </c>
      <c r="N78" s="193">
        <f>'Calc tab'!N74</f>
        <v/>
      </c>
      <c r="O78" s="193">
        <f>'Calc tab'!O74</f>
        <v/>
      </c>
      <c r="P78" s="193">
        <f>'Calc tab'!P74</f>
        <v/>
      </c>
      <c r="Q78" s="193">
        <f>'Calc tab'!Q74</f>
        <v/>
      </c>
      <c r="R78" s="193">
        <f>'Calc tab'!R74</f>
        <v/>
      </c>
      <c r="S78" s="193">
        <f>'Calc tab'!S74</f>
        <v/>
      </c>
      <c r="T78" s="193">
        <f>'Calc tab'!T74</f>
        <v/>
      </c>
      <c r="U78" s="193">
        <f>'Calc tab'!U74</f>
        <v/>
      </c>
      <c r="V78" s="193">
        <f>'Calc tab'!V74</f>
        <v/>
      </c>
      <c r="W78" s="193">
        <f>'Calc tab'!W74</f>
        <v/>
      </c>
      <c r="X78" s="193">
        <f>'Calc tab'!X74</f>
        <v/>
      </c>
      <c r="Y78" s="193">
        <f>'Calc tab'!Y74</f>
        <v/>
      </c>
      <c r="Z78" s="193">
        <f>'Calc tab'!Z74</f>
        <v/>
      </c>
      <c r="AA78" s="193">
        <f>'Calc tab'!AA74</f>
        <v/>
      </c>
      <c r="AB78" s="193">
        <f>'Calc tab'!AB74</f>
        <v/>
      </c>
      <c r="AC78" s="193">
        <f>'Calc tab'!AC74</f>
        <v/>
      </c>
      <c r="AD78" s="193">
        <f>'Calc tab'!AD74</f>
        <v/>
      </c>
      <c r="AE78" s="193">
        <f>'Calc tab'!AE74</f>
        <v/>
      </c>
      <c r="AF78" s="394" t="n"/>
      <c r="AG78" s="394" t="n"/>
      <c r="AH78" s="830" t="n"/>
    </row>
    <row r="79" hidden="1" customFormat="1" s="194">
      <c r="A79" s="394">
        <f>'Calc tab'!A75</f>
        <v/>
      </c>
      <c r="B79" s="823">
        <f>'Calc tab'!B75</f>
        <v/>
      </c>
      <c r="C79" s="823">
        <f>'Calc tab'!C75</f>
        <v/>
      </c>
      <c r="D79" s="823">
        <f>'Calc tab'!D75</f>
        <v/>
      </c>
      <c r="E79" s="823">
        <f>'Calc tab'!E75</f>
        <v/>
      </c>
      <c r="F79" s="823">
        <f>'Calc tab'!F75</f>
        <v/>
      </c>
      <c r="G79" s="823">
        <f>'Calc tab'!G75</f>
        <v/>
      </c>
      <c r="H79" s="823">
        <f>'Calc tab'!H75</f>
        <v/>
      </c>
      <c r="I79" s="823">
        <f>'Calc tab'!I75</f>
        <v/>
      </c>
      <c r="J79" s="823">
        <f>'Calc tab'!J75</f>
        <v/>
      </c>
      <c r="K79" s="823">
        <f>'Calc tab'!K75</f>
        <v/>
      </c>
      <c r="L79" s="823">
        <f>'Calc tab'!L75</f>
        <v/>
      </c>
      <c r="M79" s="823">
        <f>'Calc tab'!M75</f>
        <v/>
      </c>
      <c r="N79" s="823">
        <f>'Calc tab'!N75</f>
        <v/>
      </c>
      <c r="O79" s="823">
        <f>'Calc tab'!O75</f>
        <v/>
      </c>
      <c r="P79" s="823">
        <f>'Calc tab'!P75</f>
        <v/>
      </c>
      <c r="Q79" s="823">
        <f>'Calc tab'!Q75</f>
        <v/>
      </c>
      <c r="R79" s="823">
        <f>'Calc tab'!R75</f>
        <v/>
      </c>
      <c r="S79" s="823">
        <f>'Calc tab'!S75</f>
        <v/>
      </c>
      <c r="T79" s="823">
        <f>'Calc tab'!T75</f>
        <v/>
      </c>
      <c r="U79" s="823">
        <f>'Calc tab'!U75</f>
        <v/>
      </c>
      <c r="V79" s="823">
        <f>'Calc tab'!V75</f>
        <v/>
      </c>
      <c r="W79" s="823">
        <f>'Calc tab'!W75</f>
        <v/>
      </c>
      <c r="X79" s="823">
        <f>'Calc tab'!X75</f>
        <v/>
      </c>
      <c r="Y79" s="823">
        <f>'Calc tab'!Y75</f>
        <v/>
      </c>
      <c r="Z79" s="823">
        <f>'Calc tab'!Z75</f>
        <v/>
      </c>
      <c r="AA79" s="823">
        <f>'Calc tab'!AA75</f>
        <v/>
      </c>
      <c r="AB79" s="823">
        <f>'Calc tab'!AB75</f>
        <v/>
      </c>
      <c r="AC79" s="823">
        <f>'Calc tab'!AC75</f>
        <v/>
      </c>
      <c r="AD79" s="823">
        <f>'Calc tab'!AD75</f>
        <v/>
      </c>
      <c r="AE79" s="823">
        <f>'Calc tab'!AE75</f>
        <v/>
      </c>
      <c r="AF79" s="394" t="n"/>
      <c r="AG79" s="394" t="n"/>
      <c r="AH79" s="830" t="n"/>
    </row>
    <row r="80" hidden="1" customFormat="1" s="194">
      <c r="A80" s="394">
        <f>'Calc tab'!A76</f>
        <v/>
      </c>
      <c r="B80" s="823">
        <f>'Calc tab'!B76</f>
        <v/>
      </c>
      <c r="C80" s="823">
        <f>'Calc tab'!C76</f>
        <v/>
      </c>
      <c r="D80" s="823">
        <f>'Calc tab'!D76</f>
        <v/>
      </c>
      <c r="E80" s="823">
        <f>'Calc tab'!E76</f>
        <v/>
      </c>
      <c r="F80" s="823">
        <f>'Calc tab'!F76</f>
        <v/>
      </c>
      <c r="G80" s="823">
        <f>'Calc tab'!G76</f>
        <v/>
      </c>
      <c r="H80" s="823">
        <f>'Calc tab'!H76</f>
        <v/>
      </c>
      <c r="I80" s="823">
        <f>'Calc tab'!I76</f>
        <v/>
      </c>
      <c r="J80" s="823">
        <f>'Calc tab'!J76</f>
        <v/>
      </c>
      <c r="K80" s="823">
        <f>'Calc tab'!K76</f>
        <v/>
      </c>
      <c r="L80" s="823">
        <f>'Calc tab'!L76</f>
        <v/>
      </c>
      <c r="M80" s="823">
        <f>'Calc tab'!M76</f>
        <v/>
      </c>
      <c r="N80" s="823">
        <f>'Calc tab'!N76</f>
        <v/>
      </c>
      <c r="O80" s="823">
        <f>'Calc tab'!O76</f>
        <v/>
      </c>
      <c r="P80" s="823">
        <f>'Calc tab'!P76</f>
        <v/>
      </c>
      <c r="Q80" s="823">
        <f>'Calc tab'!Q76</f>
        <v/>
      </c>
      <c r="R80" s="823">
        <f>'Calc tab'!R76</f>
        <v/>
      </c>
      <c r="S80" s="823">
        <f>'Calc tab'!S76</f>
        <v/>
      </c>
      <c r="T80" s="823">
        <f>'Calc tab'!T76</f>
        <v/>
      </c>
      <c r="U80" s="823">
        <f>'Calc tab'!U76</f>
        <v/>
      </c>
      <c r="V80" s="823">
        <f>'Calc tab'!V76</f>
        <v/>
      </c>
      <c r="W80" s="823">
        <f>'Calc tab'!W76</f>
        <v/>
      </c>
      <c r="X80" s="823">
        <f>'Calc tab'!X76</f>
        <v/>
      </c>
      <c r="Y80" s="823">
        <f>'Calc tab'!Y76</f>
        <v/>
      </c>
      <c r="Z80" s="823">
        <f>'Calc tab'!Z76</f>
        <v/>
      </c>
      <c r="AA80" s="823">
        <f>'Calc tab'!AA76</f>
        <v/>
      </c>
      <c r="AB80" s="823">
        <f>'Calc tab'!AB76</f>
        <v/>
      </c>
      <c r="AC80" s="823">
        <f>'Calc tab'!AC76</f>
        <v/>
      </c>
      <c r="AD80" s="823">
        <f>'Calc tab'!AD76</f>
        <v/>
      </c>
      <c r="AE80" s="823">
        <f>'Calc tab'!AE76</f>
        <v/>
      </c>
      <c r="AF80" s="394" t="n"/>
      <c r="AG80" s="394" t="n"/>
      <c r="AH80" s="830" t="n"/>
    </row>
    <row r="81" hidden="1" customFormat="1" s="194">
      <c r="A81" s="394">
        <f>'Calc tab'!A77</f>
        <v/>
      </c>
      <c r="B81" s="823">
        <f>'Calc tab'!B77</f>
        <v/>
      </c>
      <c r="C81" s="823">
        <f>'Calc tab'!C77</f>
        <v/>
      </c>
      <c r="D81" s="823">
        <f>'Calc tab'!D77</f>
        <v/>
      </c>
      <c r="E81" s="823">
        <f>'Calc tab'!E77</f>
        <v/>
      </c>
      <c r="F81" s="823">
        <f>'Calc tab'!F77</f>
        <v/>
      </c>
      <c r="G81" s="823">
        <f>'Calc tab'!G77</f>
        <v/>
      </c>
      <c r="H81" s="823">
        <f>'Calc tab'!H77</f>
        <v/>
      </c>
      <c r="I81" s="823">
        <f>'Calc tab'!I77</f>
        <v/>
      </c>
      <c r="J81" s="823">
        <f>'Calc tab'!J77</f>
        <v/>
      </c>
      <c r="K81" s="823">
        <f>'Calc tab'!K77</f>
        <v/>
      </c>
      <c r="L81" s="823">
        <f>'Calc tab'!L77</f>
        <v/>
      </c>
      <c r="M81" s="823">
        <f>'Calc tab'!M77</f>
        <v/>
      </c>
      <c r="N81" s="823">
        <f>'Calc tab'!N77</f>
        <v/>
      </c>
      <c r="O81" s="823">
        <f>'Calc tab'!O77</f>
        <v/>
      </c>
      <c r="P81" s="823">
        <f>'Calc tab'!P77</f>
        <v/>
      </c>
      <c r="Q81" s="823">
        <f>'Calc tab'!Q77</f>
        <v/>
      </c>
      <c r="R81" s="823">
        <f>'Calc tab'!R77</f>
        <v/>
      </c>
      <c r="S81" s="823">
        <f>'Calc tab'!S77</f>
        <v/>
      </c>
      <c r="T81" s="823">
        <f>'Calc tab'!T77</f>
        <v/>
      </c>
      <c r="U81" s="823">
        <f>'Calc tab'!U77</f>
        <v/>
      </c>
      <c r="V81" s="823">
        <f>'Calc tab'!V77</f>
        <v/>
      </c>
      <c r="W81" s="823">
        <f>'Calc tab'!W77</f>
        <v/>
      </c>
      <c r="X81" s="823">
        <f>'Calc tab'!X77</f>
        <v/>
      </c>
      <c r="Y81" s="823">
        <f>'Calc tab'!Y77</f>
        <v/>
      </c>
      <c r="Z81" s="823">
        <f>'Calc tab'!Z77</f>
        <v/>
      </c>
      <c r="AA81" s="823">
        <f>'Calc tab'!AA77</f>
        <v/>
      </c>
      <c r="AB81" s="823">
        <f>'Calc tab'!AB77</f>
        <v/>
      </c>
      <c r="AC81" s="823">
        <f>'Calc tab'!AC77</f>
        <v/>
      </c>
      <c r="AD81" s="823">
        <f>'Calc tab'!AD77</f>
        <v/>
      </c>
      <c r="AE81" s="823">
        <f>'Calc tab'!AE77</f>
        <v/>
      </c>
      <c r="AF81" s="394" t="n"/>
      <c r="AG81" s="394" t="n"/>
      <c r="AH81" s="830" t="n"/>
    </row>
    <row r="82" hidden="1" customFormat="1" s="194">
      <c r="A82" s="394">
        <f>'Calc tab'!A78</f>
        <v/>
      </c>
      <c r="B82" s="823">
        <f>'Calc tab'!B78</f>
        <v/>
      </c>
      <c r="C82" s="823">
        <f>'Calc tab'!C78</f>
        <v/>
      </c>
      <c r="D82" s="823">
        <f>'Calc tab'!D78</f>
        <v/>
      </c>
      <c r="E82" s="823">
        <f>'Calc tab'!E78</f>
        <v/>
      </c>
      <c r="F82" s="823">
        <f>'Calc tab'!F78</f>
        <v/>
      </c>
      <c r="G82" s="823">
        <f>'Calc tab'!G78</f>
        <v/>
      </c>
      <c r="H82" s="823">
        <f>'Calc tab'!H78</f>
        <v/>
      </c>
      <c r="I82" s="823">
        <f>'Calc tab'!I78</f>
        <v/>
      </c>
      <c r="J82" s="823">
        <f>'Calc tab'!J78</f>
        <v/>
      </c>
      <c r="K82" s="823">
        <f>'Calc tab'!K78</f>
        <v/>
      </c>
      <c r="L82" s="823">
        <f>'Calc tab'!L78</f>
        <v/>
      </c>
      <c r="M82" s="823">
        <f>'Calc tab'!M78</f>
        <v/>
      </c>
      <c r="N82" s="823">
        <f>'Calc tab'!N78</f>
        <v/>
      </c>
      <c r="O82" s="823">
        <f>'Calc tab'!O78</f>
        <v/>
      </c>
      <c r="P82" s="823">
        <f>'Calc tab'!P78</f>
        <v/>
      </c>
      <c r="Q82" s="823">
        <f>'Calc tab'!Q78</f>
        <v/>
      </c>
      <c r="R82" s="823">
        <f>'Calc tab'!R78</f>
        <v/>
      </c>
      <c r="S82" s="823">
        <f>'Calc tab'!S78</f>
        <v/>
      </c>
      <c r="T82" s="823">
        <f>'Calc tab'!T78</f>
        <v/>
      </c>
      <c r="U82" s="823">
        <f>'Calc tab'!U78</f>
        <v/>
      </c>
      <c r="V82" s="823">
        <f>'Calc tab'!V78</f>
        <v/>
      </c>
      <c r="W82" s="823">
        <f>'Calc tab'!W78</f>
        <v/>
      </c>
      <c r="X82" s="823">
        <f>'Calc tab'!X78</f>
        <v/>
      </c>
      <c r="Y82" s="823">
        <f>'Calc tab'!Y78</f>
        <v/>
      </c>
      <c r="Z82" s="823">
        <f>'Calc tab'!Z78</f>
        <v/>
      </c>
      <c r="AA82" s="823">
        <f>'Calc tab'!AA78</f>
        <v/>
      </c>
      <c r="AB82" s="823">
        <f>'Calc tab'!AB78</f>
        <v/>
      </c>
      <c r="AC82" s="823">
        <f>'Calc tab'!AC78</f>
        <v/>
      </c>
      <c r="AD82" s="823">
        <f>'Calc tab'!AD78</f>
        <v/>
      </c>
      <c r="AE82" s="823">
        <f>'Calc tab'!AE78</f>
        <v/>
      </c>
      <c r="AF82" s="394" t="n"/>
      <c r="AG82" s="394" t="n"/>
      <c r="AH82" s="830" t="n"/>
    </row>
    <row r="83" hidden="1" customFormat="1" s="194">
      <c r="A83" s="394">
        <f>'Calc tab'!A79</f>
        <v/>
      </c>
      <c r="B83" s="823">
        <f>'Calc tab'!B79</f>
        <v/>
      </c>
      <c r="C83" s="823">
        <f>'Calc tab'!C79</f>
        <v/>
      </c>
      <c r="D83" s="823">
        <f>'Calc tab'!D79</f>
        <v/>
      </c>
      <c r="E83" s="823">
        <f>'Calc tab'!E79</f>
        <v/>
      </c>
      <c r="F83" s="823">
        <f>'Calc tab'!F79</f>
        <v/>
      </c>
      <c r="G83" s="823">
        <f>'Calc tab'!G79</f>
        <v/>
      </c>
      <c r="H83" s="823">
        <f>'Calc tab'!H79</f>
        <v/>
      </c>
      <c r="I83" s="823">
        <f>'Calc tab'!I79</f>
        <v/>
      </c>
      <c r="J83" s="823">
        <f>'Calc tab'!J79</f>
        <v/>
      </c>
      <c r="K83" s="823">
        <f>'Calc tab'!K79</f>
        <v/>
      </c>
      <c r="L83" s="823">
        <f>'Calc tab'!L79</f>
        <v/>
      </c>
      <c r="M83" s="823">
        <f>'Calc tab'!M79</f>
        <v/>
      </c>
      <c r="N83" s="823">
        <f>'Calc tab'!N79</f>
        <v/>
      </c>
      <c r="O83" s="823">
        <f>'Calc tab'!O79</f>
        <v/>
      </c>
      <c r="P83" s="823">
        <f>'Calc tab'!P79</f>
        <v/>
      </c>
      <c r="Q83" s="823">
        <f>'Calc tab'!Q79</f>
        <v/>
      </c>
      <c r="R83" s="823">
        <f>'Calc tab'!R79</f>
        <v/>
      </c>
      <c r="S83" s="823">
        <f>'Calc tab'!S79</f>
        <v/>
      </c>
      <c r="T83" s="823">
        <f>'Calc tab'!T79</f>
        <v/>
      </c>
      <c r="U83" s="823">
        <f>'Calc tab'!U79</f>
        <v/>
      </c>
      <c r="V83" s="823">
        <f>'Calc tab'!V79</f>
        <v/>
      </c>
      <c r="W83" s="823">
        <f>'Calc tab'!W79</f>
        <v/>
      </c>
      <c r="X83" s="823">
        <f>'Calc tab'!X79</f>
        <v/>
      </c>
      <c r="Y83" s="823">
        <f>'Calc tab'!Y79</f>
        <v/>
      </c>
      <c r="Z83" s="823">
        <f>'Calc tab'!Z79</f>
        <v/>
      </c>
      <c r="AA83" s="823">
        <f>'Calc tab'!AA79</f>
        <v/>
      </c>
      <c r="AB83" s="823">
        <f>'Calc tab'!AB79</f>
        <v/>
      </c>
      <c r="AC83" s="823">
        <f>'Calc tab'!AC79</f>
        <v/>
      </c>
      <c r="AD83" s="823">
        <f>'Calc tab'!AD79</f>
        <v/>
      </c>
      <c r="AE83" s="823">
        <f>'Calc tab'!AE79</f>
        <v/>
      </c>
      <c r="AF83" s="394" t="n"/>
      <c r="AG83" s="394" t="n"/>
      <c r="AH83" s="830" t="n"/>
    </row>
    <row r="84" hidden="1" customFormat="1" s="194">
      <c r="A84" s="394">
        <f>'Calc tab'!A80</f>
        <v/>
      </c>
      <c r="B84" s="823">
        <f>'Calc tab'!B80</f>
        <v/>
      </c>
      <c r="C84" s="823">
        <f>'Calc tab'!C80</f>
        <v/>
      </c>
      <c r="D84" s="823">
        <f>'Calc tab'!D80</f>
        <v/>
      </c>
      <c r="E84" s="823">
        <f>'Calc tab'!E80</f>
        <v/>
      </c>
      <c r="F84" s="823">
        <f>'Calc tab'!F80</f>
        <v/>
      </c>
      <c r="G84" s="823">
        <f>'Calc tab'!G80</f>
        <v/>
      </c>
      <c r="H84" s="823">
        <f>'Calc tab'!H80</f>
        <v/>
      </c>
      <c r="I84" s="823">
        <f>'Calc tab'!I80</f>
        <v/>
      </c>
      <c r="J84" s="823">
        <f>'Calc tab'!J80</f>
        <v/>
      </c>
      <c r="K84" s="823">
        <f>'Calc tab'!K80</f>
        <v/>
      </c>
      <c r="L84" s="823">
        <f>'Calc tab'!L80</f>
        <v/>
      </c>
      <c r="M84" s="823">
        <f>'Calc tab'!M80</f>
        <v/>
      </c>
      <c r="N84" s="823">
        <f>'Calc tab'!N80</f>
        <v/>
      </c>
      <c r="O84" s="823">
        <f>'Calc tab'!O80</f>
        <v/>
      </c>
      <c r="P84" s="823">
        <f>'Calc tab'!P80</f>
        <v/>
      </c>
      <c r="Q84" s="823">
        <f>'Calc tab'!Q80</f>
        <v/>
      </c>
      <c r="R84" s="823">
        <f>'Calc tab'!R80</f>
        <v/>
      </c>
      <c r="S84" s="823">
        <f>'Calc tab'!S80</f>
        <v/>
      </c>
      <c r="T84" s="823">
        <f>'Calc tab'!T80</f>
        <v/>
      </c>
      <c r="U84" s="823">
        <f>'Calc tab'!U80</f>
        <v/>
      </c>
      <c r="V84" s="823">
        <f>'Calc tab'!V80</f>
        <v/>
      </c>
      <c r="W84" s="823">
        <f>'Calc tab'!W80</f>
        <v/>
      </c>
      <c r="X84" s="823">
        <f>'Calc tab'!X80</f>
        <v/>
      </c>
      <c r="Y84" s="823">
        <f>'Calc tab'!Y80</f>
        <v/>
      </c>
      <c r="Z84" s="823">
        <f>'Calc tab'!Z80</f>
        <v/>
      </c>
      <c r="AA84" s="823">
        <f>'Calc tab'!AA80</f>
        <v/>
      </c>
      <c r="AB84" s="823">
        <f>'Calc tab'!AB80</f>
        <v/>
      </c>
      <c r="AC84" s="823">
        <f>'Calc tab'!AC80</f>
        <v/>
      </c>
      <c r="AD84" s="823">
        <f>'Calc tab'!AD80</f>
        <v/>
      </c>
      <c r="AE84" s="823">
        <f>'Calc tab'!AE80</f>
        <v/>
      </c>
      <c r="AF84" s="394" t="n"/>
      <c r="AG84" s="394" t="n"/>
      <c r="AH84" s="830" t="n"/>
    </row>
    <row r="85" hidden="1" customFormat="1" s="194">
      <c r="A85" s="394">
        <f>'Calc tab'!A81</f>
        <v/>
      </c>
      <c r="B85" s="823">
        <f>'Calc tab'!B81</f>
        <v/>
      </c>
      <c r="C85" s="823">
        <f>'Calc tab'!C81</f>
        <v/>
      </c>
      <c r="D85" s="823">
        <f>'Calc tab'!D81</f>
        <v/>
      </c>
      <c r="E85" s="823">
        <f>'Calc tab'!E81</f>
        <v/>
      </c>
      <c r="F85" s="823">
        <f>'Calc tab'!F81</f>
        <v/>
      </c>
      <c r="G85" s="823">
        <f>'Calc tab'!G81</f>
        <v/>
      </c>
      <c r="H85" s="823">
        <f>'Calc tab'!H81</f>
        <v/>
      </c>
      <c r="I85" s="823">
        <f>'Calc tab'!I81</f>
        <v/>
      </c>
      <c r="J85" s="823">
        <f>'Calc tab'!J81</f>
        <v/>
      </c>
      <c r="K85" s="823">
        <f>'Calc tab'!K81</f>
        <v/>
      </c>
      <c r="L85" s="823">
        <f>'Calc tab'!L81</f>
        <v/>
      </c>
      <c r="M85" s="823">
        <f>'Calc tab'!M81</f>
        <v/>
      </c>
      <c r="N85" s="823">
        <f>'Calc tab'!N81</f>
        <v/>
      </c>
      <c r="O85" s="823">
        <f>'Calc tab'!O81</f>
        <v/>
      </c>
      <c r="P85" s="823">
        <f>'Calc tab'!P81</f>
        <v/>
      </c>
      <c r="Q85" s="823">
        <f>'Calc tab'!Q81</f>
        <v/>
      </c>
      <c r="R85" s="823">
        <f>'Calc tab'!R81</f>
        <v/>
      </c>
      <c r="S85" s="823">
        <f>'Calc tab'!S81</f>
        <v/>
      </c>
      <c r="T85" s="823">
        <f>'Calc tab'!T81</f>
        <v/>
      </c>
      <c r="U85" s="823">
        <f>'Calc tab'!U81</f>
        <v/>
      </c>
      <c r="V85" s="823">
        <f>'Calc tab'!V81</f>
        <v/>
      </c>
      <c r="W85" s="823">
        <f>'Calc tab'!W81</f>
        <v/>
      </c>
      <c r="X85" s="823">
        <f>'Calc tab'!X81</f>
        <v/>
      </c>
      <c r="Y85" s="823">
        <f>'Calc tab'!Y81</f>
        <v/>
      </c>
      <c r="Z85" s="823">
        <f>'Calc tab'!Z81</f>
        <v/>
      </c>
      <c r="AA85" s="823">
        <f>'Calc tab'!AA81</f>
        <v/>
      </c>
      <c r="AB85" s="823">
        <f>'Calc tab'!AB81</f>
        <v/>
      </c>
      <c r="AC85" s="823">
        <f>'Calc tab'!AC81</f>
        <v/>
      </c>
      <c r="AD85" s="823">
        <f>'Calc tab'!AD81</f>
        <v/>
      </c>
      <c r="AE85" s="823">
        <f>'Calc tab'!AE81</f>
        <v/>
      </c>
      <c r="AF85" s="394" t="n"/>
      <c r="AG85" s="394" t="n"/>
      <c r="AH85" s="830" t="n"/>
    </row>
    <row r="86" hidden="1" ht="30" customFormat="1" customHeight="1" s="194">
      <c r="A86" s="394">
        <f>'Calc tab'!A82</f>
        <v/>
      </c>
      <c r="B86" s="823">
        <f>'Calc tab'!B82</f>
        <v/>
      </c>
      <c r="C86" s="823">
        <f>'Calc tab'!C82</f>
        <v/>
      </c>
      <c r="D86" s="823">
        <f>'Calc tab'!D82</f>
        <v/>
      </c>
      <c r="E86" s="823">
        <f>'Calc tab'!E82</f>
        <v/>
      </c>
      <c r="F86" s="823">
        <f>'Calc tab'!F82</f>
        <v/>
      </c>
      <c r="G86" s="823">
        <f>'Calc tab'!G82</f>
        <v/>
      </c>
      <c r="H86" s="823">
        <f>'Calc tab'!H82</f>
        <v/>
      </c>
      <c r="I86" s="823">
        <f>'Calc tab'!I82</f>
        <v/>
      </c>
      <c r="J86" s="823">
        <f>'Calc tab'!J82</f>
        <v/>
      </c>
      <c r="K86" s="823">
        <f>'Calc tab'!K82</f>
        <v/>
      </c>
      <c r="L86" s="823">
        <f>'Calc tab'!L82</f>
        <v/>
      </c>
      <c r="M86" s="823">
        <f>'Calc tab'!M82</f>
        <v/>
      </c>
      <c r="N86" s="823">
        <f>'Calc tab'!N82</f>
        <v/>
      </c>
      <c r="O86" s="823">
        <f>'Calc tab'!O82</f>
        <v/>
      </c>
      <c r="P86" s="823">
        <f>'Calc tab'!P82</f>
        <v/>
      </c>
      <c r="Q86" s="823">
        <f>'Calc tab'!Q82</f>
        <v/>
      </c>
      <c r="R86" s="823">
        <f>'Calc tab'!R82</f>
        <v/>
      </c>
      <c r="S86" s="823">
        <f>'Calc tab'!S82</f>
        <v/>
      </c>
      <c r="T86" s="823">
        <f>'Calc tab'!T82</f>
        <v/>
      </c>
      <c r="U86" s="823">
        <f>'Calc tab'!U82</f>
        <v/>
      </c>
      <c r="V86" s="823">
        <f>'Calc tab'!V82</f>
        <v/>
      </c>
      <c r="W86" s="823">
        <f>'Calc tab'!W82</f>
        <v/>
      </c>
      <c r="X86" s="823">
        <f>'Calc tab'!X82</f>
        <v/>
      </c>
      <c r="Y86" s="823">
        <f>'Calc tab'!Y82</f>
        <v/>
      </c>
      <c r="Z86" s="823">
        <f>'Calc tab'!Z82</f>
        <v/>
      </c>
      <c r="AA86" s="823">
        <f>'Calc tab'!AA82</f>
        <v/>
      </c>
      <c r="AB86" s="823">
        <f>'Calc tab'!AB82</f>
        <v/>
      </c>
      <c r="AC86" s="823">
        <f>'Calc tab'!AC82</f>
        <v/>
      </c>
      <c r="AD86" s="823">
        <f>'Calc tab'!AD82</f>
        <v/>
      </c>
      <c r="AE86" s="823">
        <f>'Calc tab'!AE82</f>
        <v/>
      </c>
      <c r="AF86" s="394" t="n"/>
      <c r="AG86" s="394" t="n"/>
      <c r="AH86" s="830" t="n"/>
    </row>
    <row r="87" hidden="1" ht="30" customFormat="1" customHeight="1" s="194">
      <c r="A87" s="394">
        <f>'Calc tab'!A83</f>
        <v/>
      </c>
      <c r="B87" s="823">
        <f>'Calc tab'!B83</f>
        <v/>
      </c>
      <c r="C87" s="823">
        <f>'Calc tab'!C83</f>
        <v/>
      </c>
      <c r="D87" s="823">
        <f>'Calc tab'!D83</f>
        <v/>
      </c>
      <c r="E87" s="823">
        <f>'Calc tab'!E83</f>
        <v/>
      </c>
      <c r="F87" s="823">
        <f>'Calc tab'!F83</f>
        <v/>
      </c>
      <c r="G87" s="823">
        <f>'Calc tab'!G83</f>
        <v/>
      </c>
      <c r="H87" s="823">
        <f>'Calc tab'!H83</f>
        <v/>
      </c>
      <c r="I87" s="823">
        <f>'Calc tab'!I83</f>
        <v/>
      </c>
      <c r="J87" s="823">
        <f>'Calc tab'!J83</f>
        <v/>
      </c>
      <c r="K87" s="823">
        <f>'Calc tab'!K83</f>
        <v/>
      </c>
      <c r="L87" s="823">
        <f>'Calc tab'!L83</f>
        <v/>
      </c>
      <c r="M87" s="823">
        <f>'Calc tab'!M83</f>
        <v/>
      </c>
      <c r="N87" s="823">
        <f>'Calc tab'!N83</f>
        <v/>
      </c>
      <c r="O87" s="823">
        <f>'Calc tab'!O83</f>
        <v/>
      </c>
      <c r="P87" s="823">
        <f>'Calc tab'!P83</f>
        <v/>
      </c>
      <c r="Q87" s="823">
        <f>'Calc tab'!Q83</f>
        <v/>
      </c>
      <c r="R87" s="823">
        <f>'Calc tab'!R83</f>
        <v/>
      </c>
      <c r="S87" s="823">
        <f>'Calc tab'!S83</f>
        <v/>
      </c>
      <c r="T87" s="823">
        <f>'Calc tab'!T83</f>
        <v/>
      </c>
      <c r="U87" s="823">
        <f>'Calc tab'!U83</f>
        <v/>
      </c>
      <c r="V87" s="823">
        <f>'Calc tab'!V83</f>
        <v/>
      </c>
      <c r="W87" s="823">
        <f>'Calc tab'!W83</f>
        <v/>
      </c>
      <c r="X87" s="823">
        <f>'Calc tab'!X83</f>
        <v/>
      </c>
      <c r="Y87" s="823">
        <f>'Calc tab'!Y83</f>
        <v/>
      </c>
      <c r="Z87" s="823">
        <f>'Calc tab'!Z83</f>
        <v/>
      </c>
      <c r="AA87" s="823">
        <f>'Calc tab'!AA83</f>
        <v/>
      </c>
      <c r="AB87" s="823">
        <f>'Calc tab'!AB83</f>
        <v/>
      </c>
      <c r="AC87" s="823">
        <f>'Calc tab'!AC83</f>
        <v/>
      </c>
      <c r="AD87" s="823">
        <f>'Calc tab'!AD83</f>
        <v/>
      </c>
      <c r="AE87" s="823">
        <f>'Calc tab'!AE83</f>
        <v/>
      </c>
      <c r="AF87" s="394" t="n"/>
      <c r="AG87" s="394" t="n"/>
      <c r="AH87" s="830" t="n"/>
    </row>
    <row r="88" hidden="1" ht="30" customFormat="1" customHeight="1" s="194">
      <c r="A88" s="394">
        <f>'Calc tab'!A84</f>
        <v/>
      </c>
      <c r="B88" s="823">
        <f>'Calc tab'!B84</f>
        <v/>
      </c>
      <c r="C88" s="823">
        <f>'Calc tab'!C84</f>
        <v/>
      </c>
      <c r="D88" s="823">
        <f>'Calc tab'!D84</f>
        <v/>
      </c>
      <c r="E88" s="823">
        <f>'Calc tab'!E84</f>
        <v/>
      </c>
      <c r="F88" s="823">
        <f>'Calc tab'!F84</f>
        <v/>
      </c>
      <c r="G88" s="823">
        <f>'Calc tab'!G84</f>
        <v/>
      </c>
      <c r="H88" s="823">
        <f>'Calc tab'!H84</f>
        <v/>
      </c>
      <c r="I88" s="823">
        <f>'Calc tab'!I84</f>
        <v/>
      </c>
      <c r="J88" s="823">
        <f>'Calc tab'!J84</f>
        <v/>
      </c>
      <c r="K88" s="823">
        <f>'Calc tab'!K84</f>
        <v/>
      </c>
      <c r="L88" s="823">
        <f>'Calc tab'!L84</f>
        <v/>
      </c>
      <c r="M88" s="823">
        <f>'Calc tab'!M84</f>
        <v/>
      </c>
      <c r="N88" s="823">
        <f>'Calc tab'!N84</f>
        <v/>
      </c>
      <c r="O88" s="823">
        <f>'Calc tab'!O84</f>
        <v/>
      </c>
      <c r="P88" s="823">
        <f>'Calc tab'!P84</f>
        <v/>
      </c>
      <c r="Q88" s="823">
        <f>'Calc tab'!Q84</f>
        <v/>
      </c>
      <c r="R88" s="823">
        <f>'Calc tab'!R84</f>
        <v/>
      </c>
      <c r="S88" s="823">
        <f>'Calc tab'!S84</f>
        <v/>
      </c>
      <c r="T88" s="823">
        <f>'Calc tab'!T84</f>
        <v/>
      </c>
      <c r="U88" s="823">
        <f>'Calc tab'!U84</f>
        <v/>
      </c>
      <c r="V88" s="823">
        <f>'Calc tab'!V84</f>
        <v/>
      </c>
      <c r="W88" s="823">
        <f>'Calc tab'!W84</f>
        <v/>
      </c>
      <c r="X88" s="823">
        <f>'Calc tab'!X84</f>
        <v/>
      </c>
      <c r="Y88" s="823">
        <f>'Calc tab'!Y84</f>
        <v/>
      </c>
      <c r="Z88" s="823">
        <f>'Calc tab'!Z84</f>
        <v/>
      </c>
      <c r="AA88" s="823">
        <f>'Calc tab'!AA84</f>
        <v/>
      </c>
      <c r="AB88" s="823">
        <f>'Calc tab'!AB84</f>
        <v/>
      </c>
      <c r="AC88" s="823">
        <f>'Calc tab'!AC84</f>
        <v/>
      </c>
      <c r="AD88" s="823">
        <f>'Calc tab'!AD84</f>
        <v/>
      </c>
      <c r="AE88" s="823">
        <f>'Calc tab'!AE84</f>
        <v/>
      </c>
      <c r="AF88" s="394" t="n"/>
      <c r="AG88" s="394" t="n"/>
      <c r="AH88" s="830" t="n"/>
    </row>
    <row r="89" hidden="1" ht="30" customFormat="1" customHeight="1" s="194">
      <c r="A89" s="394">
        <f>'Calc tab'!A85</f>
        <v/>
      </c>
      <c r="B89" s="823">
        <f>'Calc tab'!B85</f>
        <v/>
      </c>
      <c r="C89" s="823">
        <f>'Calc tab'!C85</f>
        <v/>
      </c>
      <c r="D89" s="823">
        <f>'Calc tab'!D85</f>
        <v/>
      </c>
      <c r="E89" s="823">
        <f>'Calc tab'!E85</f>
        <v/>
      </c>
      <c r="F89" s="823">
        <f>'Calc tab'!F85</f>
        <v/>
      </c>
      <c r="G89" s="823">
        <f>'Calc tab'!G85</f>
        <v/>
      </c>
      <c r="H89" s="823">
        <f>'Calc tab'!H85</f>
        <v/>
      </c>
      <c r="I89" s="823">
        <f>'Calc tab'!I85</f>
        <v/>
      </c>
      <c r="J89" s="823">
        <f>'Calc tab'!J85</f>
        <v/>
      </c>
      <c r="K89" s="823">
        <f>'Calc tab'!K85</f>
        <v/>
      </c>
      <c r="L89" s="823">
        <f>'Calc tab'!L85</f>
        <v/>
      </c>
      <c r="M89" s="823">
        <f>'Calc tab'!M85</f>
        <v/>
      </c>
      <c r="N89" s="823">
        <f>'Calc tab'!N85</f>
        <v/>
      </c>
      <c r="O89" s="823">
        <f>'Calc tab'!O85</f>
        <v/>
      </c>
      <c r="P89" s="823">
        <f>'Calc tab'!P85</f>
        <v/>
      </c>
      <c r="Q89" s="823">
        <f>'Calc tab'!Q85</f>
        <v/>
      </c>
      <c r="R89" s="823">
        <f>'Calc tab'!R85</f>
        <v/>
      </c>
      <c r="S89" s="823">
        <f>'Calc tab'!S85</f>
        <v/>
      </c>
      <c r="T89" s="823">
        <f>'Calc tab'!T85</f>
        <v/>
      </c>
      <c r="U89" s="823">
        <f>'Calc tab'!U85</f>
        <v/>
      </c>
      <c r="V89" s="823">
        <f>'Calc tab'!V85</f>
        <v/>
      </c>
      <c r="W89" s="823">
        <f>'Calc tab'!W85</f>
        <v/>
      </c>
      <c r="X89" s="823">
        <f>'Calc tab'!X85</f>
        <v/>
      </c>
      <c r="Y89" s="823">
        <f>'Calc tab'!Y85</f>
        <v/>
      </c>
      <c r="Z89" s="823">
        <f>'Calc tab'!Z85</f>
        <v/>
      </c>
      <c r="AA89" s="823">
        <f>'Calc tab'!AA85</f>
        <v/>
      </c>
      <c r="AB89" s="823">
        <f>'Calc tab'!AB85</f>
        <v/>
      </c>
      <c r="AC89" s="823">
        <f>'Calc tab'!AC85</f>
        <v/>
      </c>
      <c r="AD89" s="823">
        <f>'Calc tab'!AD85</f>
        <v/>
      </c>
      <c r="AE89" s="823">
        <f>'Calc tab'!AE85</f>
        <v/>
      </c>
      <c r="AF89" s="394" t="n"/>
      <c r="AG89" s="394" t="n"/>
      <c r="AH89" s="830" t="n"/>
    </row>
    <row r="90" hidden="1" ht="30" customFormat="1" customHeight="1" s="194">
      <c r="A90" s="394">
        <f>'Calc tab'!A86</f>
        <v/>
      </c>
      <c r="B90" s="823">
        <f>'Calc tab'!B86</f>
        <v/>
      </c>
      <c r="C90" s="823">
        <f>'Calc tab'!C86</f>
        <v/>
      </c>
      <c r="D90" s="823">
        <f>'Calc tab'!D86</f>
        <v/>
      </c>
      <c r="E90" s="823">
        <f>'Calc tab'!E86</f>
        <v/>
      </c>
      <c r="F90" s="823">
        <f>'Calc tab'!F86</f>
        <v/>
      </c>
      <c r="G90" s="823">
        <f>'Calc tab'!G86</f>
        <v/>
      </c>
      <c r="H90" s="823">
        <f>'Calc tab'!H86</f>
        <v/>
      </c>
      <c r="I90" s="823">
        <f>'Calc tab'!I86</f>
        <v/>
      </c>
      <c r="J90" s="823">
        <f>'Calc tab'!J86</f>
        <v/>
      </c>
      <c r="K90" s="823">
        <f>'Calc tab'!K86</f>
        <v/>
      </c>
      <c r="L90" s="823">
        <f>'Calc tab'!L86</f>
        <v/>
      </c>
      <c r="M90" s="823">
        <f>'Calc tab'!M86</f>
        <v/>
      </c>
      <c r="N90" s="823">
        <f>'Calc tab'!N86</f>
        <v/>
      </c>
      <c r="O90" s="823">
        <f>'Calc tab'!O86</f>
        <v/>
      </c>
      <c r="P90" s="823">
        <f>'Calc tab'!P86</f>
        <v/>
      </c>
      <c r="Q90" s="823">
        <f>'Calc tab'!Q86</f>
        <v/>
      </c>
      <c r="R90" s="823">
        <f>'Calc tab'!R86</f>
        <v/>
      </c>
      <c r="S90" s="823">
        <f>'Calc tab'!S86</f>
        <v/>
      </c>
      <c r="T90" s="823">
        <f>'Calc tab'!T86</f>
        <v/>
      </c>
      <c r="U90" s="823">
        <f>'Calc tab'!U86</f>
        <v/>
      </c>
      <c r="V90" s="823">
        <f>'Calc tab'!V86</f>
        <v/>
      </c>
      <c r="W90" s="823">
        <f>'Calc tab'!W86</f>
        <v/>
      </c>
      <c r="X90" s="823">
        <f>'Calc tab'!X86</f>
        <v/>
      </c>
      <c r="Y90" s="823">
        <f>'Calc tab'!Y86</f>
        <v/>
      </c>
      <c r="Z90" s="823">
        <f>'Calc tab'!Z86</f>
        <v/>
      </c>
      <c r="AA90" s="823">
        <f>'Calc tab'!AA86</f>
        <v/>
      </c>
      <c r="AB90" s="823">
        <f>'Calc tab'!AB86</f>
        <v/>
      </c>
      <c r="AC90" s="823">
        <f>'Calc tab'!AC86</f>
        <v/>
      </c>
      <c r="AD90" s="823">
        <f>'Calc tab'!AD86</f>
        <v/>
      </c>
      <c r="AE90" s="823">
        <f>'Calc tab'!AE86</f>
        <v/>
      </c>
      <c r="AF90" s="394" t="n"/>
      <c r="AG90" s="394" t="n"/>
      <c r="AH90" s="830" t="n"/>
    </row>
    <row r="91" hidden="1" ht="30" customFormat="1" customHeight="1" s="194">
      <c r="A91" s="398">
        <f>'Calc tab'!A87</f>
        <v/>
      </c>
      <c r="B91" s="837">
        <f>'Calc tab'!B87</f>
        <v/>
      </c>
      <c r="C91" s="837">
        <f>'Calc tab'!C87</f>
        <v/>
      </c>
      <c r="D91" s="837">
        <f>'Calc tab'!D87</f>
        <v/>
      </c>
      <c r="E91" s="837">
        <f>'Calc tab'!E87</f>
        <v/>
      </c>
      <c r="F91" s="837">
        <f>'Calc tab'!F87</f>
        <v/>
      </c>
      <c r="G91" s="837">
        <f>'Calc tab'!G87</f>
        <v/>
      </c>
      <c r="H91" s="837">
        <f>'Calc tab'!H87</f>
        <v/>
      </c>
      <c r="I91" s="837">
        <f>'Calc tab'!I87</f>
        <v/>
      </c>
      <c r="J91" s="837">
        <f>'Calc tab'!J87</f>
        <v/>
      </c>
      <c r="K91" s="837">
        <f>'Calc tab'!K87</f>
        <v/>
      </c>
      <c r="L91" s="837">
        <f>'Calc tab'!L87</f>
        <v/>
      </c>
      <c r="M91" s="837">
        <f>'Calc tab'!M87</f>
        <v/>
      </c>
      <c r="N91" s="837">
        <f>'Calc tab'!N87</f>
        <v/>
      </c>
      <c r="O91" s="837">
        <f>'Calc tab'!O87</f>
        <v/>
      </c>
      <c r="P91" s="837">
        <f>'Calc tab'!P87</f>
        <v/>
      </c>
      <c r="Q91" s="837">
        <f>'Calc tab'!Q87</f>
        <v/>
      </c>
      <c r="R91" s="837">
        <f>'Calc tab'!R87</f>
        <v/>
      </c>
      <c r="S91" s="837">
        <f>'Calc tab'!S87</f>
        <v/>
      </c>
      <c r="T91" s="837">
        <f>'Calc tab'!T87</f>
        <v/>
      </c>
      <c r="U91" s="837">
        <f>'Calc tab'!U87</f>
        <v/>
      </c>
      <c r="V91" s="837">
        <f>'Calc tab'!V87</f>
        <v/>
      </c>
      <c r="W91" s="837">
        <f>'Calc tab'!W87</f>
        <v/>
      </c>
      <c r="X91" s="837">
        <f>'Calc tab'!X87</f>
        <v/>
      </c>
      <c r="Y91" s="837">
        <f>'Calc tab'!Y87</f>
        <v/>
      </c>
      <c r="Z91" s="837">
        <f>'Calc tab'!Z87</f>
        <v/>
      </c>
      <c r="AA91" s="837">
        <f>'Calc tab'!AA87</f>
        <v/>
      </c>
      <c r="AB91" s="837">
        <f>'Calc tab'!AB87</f>
        <v/>
      </c>
      <c r="AC91" s="837">
        <f>'Calc tab'!AC87</f>
        <v/>
      </c>
      <c r="AD91" s="837">
        <f>'Calc tab'!AD87</f>
        <v/>
      </c>
      <c r="AE91" s="837">
        <f>'Calc tab'!AE87</f>
        <v/>
      </c>
      <c r="AF91" s="394" t="n"/>
      <c r="AG91" s="394" t="n"/>
      <c r="AH91" s="830" t="n"/>
    </row>
    <row r="92" hidden="1" customFormat="1" s="197">
      <c r="A92" s="200">
        <f>'Calc tab'!A88</f>
        <v/>
      </c>
      <c r="B92" s="838">
        <f>'Calc tab'!B88</f>
        <v/>
      </c>
      <c r="C92" s="838">
        <f>'Calc tab'!C88</f>
        <v/>
      </c>
      <c r="D92" s="838">
        <f>'Calc tab'!D88</f>
        <v/>
      </c>
      <c r="E92" s="838">
        <f>'Calc tab'!E88</f>
        <v/>
      </c>
      <c r="F92" s="838">
        <f>'Calc tab'!F88</f>
        <v/>
      </c>
      <c r="G92" s="838">
        <f>'Calc tab'!G88</f>
        <v/>
      </c>
      <c r="H92" s="838">
        <f>'Calc tab'!H88</f>
        <v/>
      </c>
      <c r="I92" s="838">
        <f>'Calc tab'!I88</f>
        <v/>
      </c>
      <c r="J92" s="838">
        <f>'Calc tab'!J88</f>
        <v/>
      </c>
      <c r="K92" s="838">
        <f>'Calc tab'!K88</f>
        <v/>
      </c>
      <c r="L92" s="838">
        <f>'Calc tab'!L88</f>
        <v/>
      </c>
      <c r="M92" s="838">
        <f>'Calc tab'!M88</f>
        <v/>
      </c>
      <c r="N92" s="838">
        <f>'Calc tab'!N88</f>
        <v/>
      </c>
      <c r="O92" s="838">
        <f>'Calc tab'!O88</f>
        <v/>
      </c>
      <c r="P92" s="838">
        <f>'Calc tab'!P88</f>
        <v/>
      </c>
      <c r="Q92" s="838">
        <f>'Calc tab'!Q88</f>
        <v/>
      </c>
      <c r="R92" s="838">
        <f>'Calc tab'!R88</f>
        <v/>
      </c>
      <c r="S92" s="838">
        <f>'Calc tab'!S88</f>
        <v/>
      </c>
      <c r="T92" s="838">
        <f>'Calc tab'!T88</f>
        <v/>
      </c>
      <c r="U92" s="838">
        <f>'Calc tab'!U88</f>
        <v/>
      </c>
      <c r="V92" s="838">
        <f>'Calc tab'!V88</f>
        <v/>
      </c>
      <c r="W92" s="838">
        <f>'Calc tab'!W88</f>
        <v/>
      </c>
      <c r="X92" s="838">
        <f>'Calc tab'!X88</f>
        <v/>
      </c>
      <c r="Y92" s="838">
        <f>'Calc tab'!Y88</f>
        <v/>
      </c>
      <c r="Z92" s="838">
        <f>'Calc tab'!Z88</f>
        <v/>
      </c>
      <c r="AA92" s="838">
        <f>'Calc tab'!AA88</f>
        <v/>
      </c>
      <c r="AB92" s="838">
        <f>'Calc tab'!AB88</f>
        <v/>
      </c>
      <c r="AC92" s="838">
        <f>'Calc tab'!AC88</f>
        <v/>
      </c>
      <c r="AD92" s="838">
        <f>'Calc tab'!AD88</f>
        <v/>
      </c>
      <c r="AE92" s="838">
        <f>'Calc tab'!AE88</f>
        <v/>
      </c>
      <c r="AF92" s="200" t="n"/>
      <c r="AG92" s="200" t="n"/>
      <c r="AH92" s="832" t="n"/>
    </row>
    <row r="93" hidden="1" s="685"/>
    <row r="95" ht="30" customFormat="1" customHeight="1" s="1">
      <c r="A95" s="479">
        <f>'Calc tab'!A91</f>
        <v/>
      </c>
      <c r="B95" s="479">
        <f>'Calc tab'!B91</f>
        <v/>
      </c>
      <c r="C95" s="479">
        <f>'Calc tab'!C91</f>
        <v/>
      </c>
      <c r="D95" s="479">
        <f>'Calc tab'!D91</f>
        <v/>
      </c>
      <c r="E95" s="479">
        <f>'Calc tab'!E91</f>
        <v/>
      </c>
      <c r="F95" s="479">
        <f>'Calc tab'!F91</f>
        <v/>
      </c>
      <c r="G95" s="479">
        <f>'Calc tab'!G91</f>
        <v/>
      </c>
      <c r="H95" s="479">
        <f>'Calc tab'!H91</f>
        <v/>
      </c>
      <c r="I95" s="479">
        <f>'Calc tab'!I91</f>
        <v/>
      </c>
      <c r="J95" s="479">
        <f>'Calc tab'!J91</f>
        <v/>
      </c>
      <c r="K95" s="479">
        <f>'Calc tab'!K91</f>
        <v/>
      </c>
      <c r="L95" s="479">
        <f>'Calc tab'!L91</f>
        <v/>
      </c>
      <c r="M95" s="479">
        <f>'Calc tab'!M91</f>
        <v/>
      </c>
      <c r="N95" s="479">
        <f>'Calc tab'!N91</f>
        <v/>
      </c>
      <c r="O95" s="479">
        <f>'Calc tab'!O91</f>
        <v/>
      </c>
      <c r="P95" s="479">
        <f>'Calc tab'!P91</f>
        <v/>
      </c>
      <c r="Q95" s="479">
        <f>'Calc tab'!Q91</f>
        <v/>
      </c>
      <c r="R95" s="479">
        <f>'Calc tab'!R91</f>
        <v/>
      </c>
      <c r="S95" s="479">
        <f>'Calc tab'!S91</f>
        <v/>
      </c>
      <c r="T95" s="479">
        <f>'Calc tab'!T91</f>
        <v/>
      </c>
      <c r="U95" s="479">
        <f>'Calc tab'!U91</f>
        <v/>
      </c>
      <c r="V95" s="479">
        <f>'Calc tab'!V91</f>
        <v/>
      </c>
      <c r="W95" s="479">
        <f>'Calc tab'!W91</f>
        <v/>
      </c>
      <c r="X95" s="479">
        <f>'Calc tab'!X91</f>
        <v/>
      </c>
      <c r="Y95" s="479">
        <f>'Calc tab'!Y91</f>
        <v/>
      </c>
      <c r="Z95" s="479">
        <f>'Calc tab'!Z91</f>
        <v/>
      </c>
      <c r="AA95" s="479">
        <f>'Calc tab'!AA91</f>
        <v/>
      </c>
      <c r="AB95" s="479">
        <f>'Calc tab'!AB91</f>
        <v/>
      </c>
      <c r="AC95" s="479">
        <f>'Calc tab'!AC91</f>
        <v/>
      </c>
      <c r="AD95" s="479">
        <f>'Calc tab'!AD91</f>
        <v/>
      </c>
      <c r="AE95" s="479">
        <f>'Calc tab'!AE91</f>
        <v/>
      </c>
      <c r="AF95" s="635">
        <f>'Calc tab'!AF91</f>
        <v/>
      </c>
      <c r="AG95" s="635">
        <f>'Calc tab'!AG91</f>
        <v/>
      </c>
      <c r="AH95" s="860">
        <f>'Calc tab'!AH91</f>
        <v/>
      </c>
      <c r="AI95" s="486">
        <f>'Calc tab'!AI91</f>
        <v/>
      </c>
    </row>
    <row r="96">
      <c r="A96" s="4">
        <f>'Calc tab'!A92</f>
        <v/>
      </c>
      <c r="B96" s="244">
        <f>'Calc tab'!B92</f>
        <v/>
      </c>
      <c r="C96" s="244">
        <f>'Calc tab'!C92</f>
        <v/>
      </c>
      <c r="D96" s="216">
        <f>'Calc tab'!D92</f>
        <v/>
      </c>
      <c r="E96" s="216">
        <f>'Calc tab'!E92</f>
        <v/>
      </c>
      <c r="F96" s="216">
        <f>'Calc tab'!F92</f>
        <v/>
      </c>
      <c r="G96" s="216">
        <f>'Calc tab'!G92</f>
        <v/>
      </c>
      <c r="H96" s="216">
        <f>'Calc tab'!H92</f>
        <v/>
      </c>
      <c r="I96" s="216">
        <f>'Calc tab'!I92</f>
        <v/>
      </c>
      <c r="J96" s="216">
        <f>'Calc tab'!J92</f>
        <v/>
      </c>
      <c r="K96" s="216">
        <f>'Calc tab'!K92</f>
        <v/>
      </c>
      <c r="L96" s="216">
        <f>'Calc tab'!L92</f>
        <v/>
      </c>
      <c r="M96" s="216">
        <f>'Calc tab'!M92</f>
        <v/>
      </c>
      <c r="N96" s="216">
        <f>'Calc tab'!N92</f>
        <v/>
      </c>
      <c r="O96" s="216">
        <f>'Calc tab'!O92</f>
        <v/>
      </c>
      <c r="P96" s="216">
        <f>'Calc tab'!P92</f>
        <v/>
      </c>
      <c r="Q96" s="216">
        <f>'Calc tab'!Q92</f>
        <v/>
      </c>
      <c r="R96" s="216">
        <f>'Calc tab'!R92</f>
        <v/>
      </c>
      <c r="S96" s="216">
        <f>'Calc tab'!S92</f>
        <v/>
      </c>
      <c r="T96" s="216">
        <f>'Calc tab'!T92</f>
        <v/>
      </c>
      <c r="U96" s="216">
        <f>'Calc tab'!U92</f>
        <v/>
      </c>
      <c r="V96" s="216">
        <f>'Calc tab'!V92</f>
        <v/>
      </c>
      <c r="W96" s="216">
        <f>'Calc tab'!W92</f>
        <v/>
      </c>
      <c r="X96" s="216">
        <f>'Calc tab'!X92</f>
        <v/>
      </c>
      <c r="Y96" s="216">
        <f>'Calc tab'!Y92</f>
        <v/>
      </c>
      <c r="Z96" s="216">
        <f>'Calc tab'!Z92</f>
        <v/>
      </c>
      <c r="AA96" s="216">
        <f>'Calc tab'!AA92</f>
        <v/>
      </c>
      <c r="AB96" s="216">
        <f>'Calc tab'!AB92</f>
        <v/>
      </c>
      <c r="AC96" s="216">
        <f>'Calc tab'!AC92</f>
        <v/>
      </c>
      <c r="AD96" s="216">
        <f>'Calc tab'!AD92</f>
        <v/>
      </c>
      <c r="AE96" s="216">
        <f>'Calc tab'!AE92</f>
        <v/>
      </c>
      <c r="AF96" s="640">
        <f>'Calc tab'!AF92</f>
        <v/>
      </c>
      <c r="AG96" s="640">
        <f>'Calc tab'!AG92</f>
        <v/>
      </c>
      <c r="AH96" s="652">
        <f>'Calc tab'!AH92</f>
        <v/>
      </c>
      <c r="AI96" s="653">
        <f>'Calc tab'!AI92</f>
        <v/>
      </c>
    </row>
    <row r="97">
      <c r="A97" s="4">
        <f>'Calc tab'!A93</f>
        <v/>
      </c>
      <c r="B97" s="244">
        <f>'Calc tab'!B93</f>
        <v/>
      </c>
      <c r="C97" s="244">
        <f>'Calc tab'!C93</f>
        <v/>
      </c>
      <c r="D97" s="216">
        <f>'Calc tab'!D93</f>
        <v/>
      </c>
      <c r="E97" s="216">
        <f>'Calc tab'!E93</f>
        <v/>
      </c>
      <c r="F97" s="216">
        <f>'Calc tab'!F93</f>
        <v/>
      </c>
      <c r="G97" s="216">
        <f>'Calc tab'!G93</f>
        <v/>
      </c>
      <c r="H97" s="216">
        <f>'Calc tab'!H93</f>
        <v/>
      </c>
      <c r="I97" s="216">
        <f>'Calc tab'!I93</f>
        <v/>
      </c>
      <c r="J97" s="216">
        <f>'Calc tab'!J93</f>
        <v/>
      </c>
      <c r="K97" s="216">
        <f>'Calc tab'!K93</f>
        <v/>
      </c>
      <c r="L97" s="216">
        <f>'Calc tab'!L93</f>
        <v/>
      </c>
      <c r="M97" s="216">
        <f>'Calc tab'!M93</f>
        <v/>
      </c>
      <c r="N97" s="216">
        <f>'Calc tab'!N93</f>
        <v/>
      </c>
      <c r="O97" s="216">
        <f>'Calc tab'!O93</f>
        <v/>
      </c>
      <c r="P97" s="216">
        <f>'Calc tab'!P93</f>
        <v/>
      </c>
      <c r="Q97" s="216">
        <f>'Calc tab'!Q93</f>
        <v/>
      </c>
      <c r="R97" s="216">
        <f>'Calc tab'!R93</f>
        <v/>
      </c>
      <c r="S97" s="216">
        <f>'Calc tab'!S93</f>
        <v/>
      </c>
      <c r="T97" s="216">
        <f>'Calc tab'!T93</f>
        <v/>
      </c>
      <c r="U97" s="216">
        <f>'Calc tab'!U93</f>
        <v/>
      </c>
      <c r="V97" s="216">
        <f>'Calc tab'!V93</f>
        <v/>
      </c>
      <c r="W97" s="216">
        <f>'Calc tab'!W93</f>
        <v/>
      </c>
      <c r="X97" s="216">
        <f>'Calc tab'!X93</f>
        <v/>
      </c>
      <c r="Y97" s="216">
        <f>'Calc tab'!Y93</f>
        <v/>
      </c>
      <c r="Z97" s="216">
        <f>'Calc tab'!Z93</f>
        <v/>
      </c>
      <c r="AA97" s="216">
        <f>'Calc tab'!AA93</f>
        <v/>
      </c>
      <c r="AB97" s="216">
        <f>'Calc tab'!AB93</f>
        <v/>
      </c>
      <c r="AC97" s="216">
        <f>'Calc tab'!AC93</f>
        <v/>
      </c>
      <c r="AD97" s="216">
        <f>'Calc tab'!AD93</f>
        <v/>
      </c>
      <c r="AE97" s="216">
        <f>'Calc tab'!AE93</f>
        <v/>
      </c>
      <c r="AF97" s="640">
        <f>'Calc tab'!AF93</f>
        <v/>
      </c>
      <c r="AG97" s="640">
        <f>'Calc tab'!AG93</f>
        <v/>
      </c>
      <c r="AH97" s="652">
        <f>'Calc tab'!AH93</f>
        <v/>
      </c>
      <c r="AI97" s="653">
        <f>'Calc tab'!AI93</f>
        <v/>
      </c>
    </row>
    <row r="98">
      <c r="A98" s="4">
        <f>'Calc tab'!A94</f>
        <v/>
      </c>
      <c r="B98" s="244">
        <f>'Calc tab'!B94</f>
        <v/>
      </c>
      <c r="C98" s="244">
        <f>'Calc tab'!C94</f>
        <v/>
      </c>
      <c r="D98" s="216">
        <f>'Calc tab'!D94</f>
        <v/>
      </c>
      <c r="E98" s="216">
        <f>'Calc tab'!E94</f>
        <v/>
      </c>
      <c r="F98" s="216">
        <f>'Calc tab'!F94</f>
        <v/>
      </c>
      <c r="G98" s="216">
        <f>'Calc tab'!G94</f>
        <v/>
      </c>
      <c r="H98" s="216">
        <f>'Calc tab'!H94</f>
        <v/>
      </c>
      <c r="I98" s="216">
        <f>'Calc tab'!I94</f>
        <v/>
      </c>
      <c r="J98" s="216">
        <f>'Calc tab'!J94</f>
        <v/>
      </c>
      <c r="K98" s="216">
        <f>'Calc tab'!K94</f>
        <v/>
      </c>
      <c r="L98" s="216">
        <f>'Calc tab'!L94</f>
        <v/>
      </c>
      <c r="M98" s="216">
        <f>'Calc tab'!M94</f>
        <v/>
      </c>
      <c r="N98" s="216">
        <f>'Calc tab'!N94</f>
        <v/>
      </c>
      <c r="O98" s="216">
        <f>'Calc tab'!O94</f>
        <v/>
      </c>
      <c r="P98" s="216">
        <f>'Calc tab'!P94</f>
        <v/>
      </c>
      <c r="Q98" s="216">
        <f>'Calc tab'!Q94</f>
        <v/>
      </c>
      <c r="R98" s="216">
        <f>'Calc tab'!R94</f>
        <v/>
      </c>
      <c r="S98" s="216">
        <f>'Calc tab'!S94</f>
        <v/>
      </c>
      <c r="T98" s="216">
        <f>'Calc tab'!T94</f>
        <v/>
      </c>
      <c r="U98" s="216">
        <f>'Calc tab'!U94</f>
        <v/>
      </c>
      <c r="V98" s="216">
        <f>'Calc tab'!V94</f>
        <v/>
      </c>
      <c r="W98" s="216">
        <f>'Calc tab'!W94</f>
        <v/>
      </c>
      <c r="X98" s="216">
        <f>'Calc tab'!X94</f>
        <v/>
      </c>
      <c r="Y98" s="216">
        <f>'Calc tab'!Y94</f>
        <v/>
      </c>
      <c r="Z98" s="216">
        <f>'Calc tab'!Z94</f>
        <v/>
      </c>
      <c r="AA98" s="216">
        <f>'Calc tab'!AA94</f>
        <v/>
      </c>
      <c r="AB98" s="216">
        <f>'Calc tab'!AB94</f>
        <v/>
      </c>
      <c r="AC98" s="216">
        <f>'Calc tab'!AC94</f>
        <v/>
      </c>
      <c r="AD98" s="216">
        <f>'Calc tab'!AD94</f>
        <v/>
      </c>
      <c r="AE98" s="216">
        <f>'Calc tab'!AE94</f>
        <v/>
      </c>
      <c r="AF98" s="640">
        <f>'Calc tab'!AF94</f>
        <v/>
      </c>
      <c r="AG98" s="640">
        <f>'Calc tab'!AG94</f>
        <v/>
      </c>
      <c r="AH98" s="652">
        <f>'Calc tab'!AH94</f>
        <v/>
      </c>
      <c r="AI98" s="653">
        <f>'Calc tab'!AI94</f>
        <v/>
      </c>
    </row>
    <row r="99">
      <c r="A99" s="4">
        <f>'Calc tab'!A95</f>
        <v/>
      </c>
      <c r="B99" s="244">
        <f>'Calc tab'!B95</f>
        <v/>
      </c>
      <c r="C99" s="244">
        <f>'Calc tab'!C95</f>
        <v/>
      </c>
      <c r="D99" s="216">
        <f>'Calc tab'!D95</f>
        <v/>
      </c>
      <c r="E99" s="216">
        <f>'Calc tab'!E95</f>
        <v/>
      </c>
      <c r="F99" s="216">
        <f>'Calc tab'!F95</f>
        <v/>
      </c>
      <c r="G99" s="216">
        <f>'Calc tab'!G95</f>
        <v/>
      </c>
      <c r="H99" s="216">
        <f>'Calc tab'!H95</f>
        <v/>
      </c>
      <c r="I99" s="216">
        <f>'Calc tab'!I95</f>
        <v/>
      </c>
      <c r="J99" s="216">
        <f>'Calc tab'!J95</f>
        <v/>
      </c>
      <c r="K99" s="216">
        <f>'Calc tab'!K95</f>
        <v/>
      </c>
      <c r="L99" s="216">
        <f>'Calc tab'!L95</f>
        <v/>
      </c>
      <c r="M99" s="216">
        <f>'Calc tab'!M95</f>
        <v/>
      </c>
      <c r="N99" s="216">
        <f>'Calc tab'!N95</f>
        <v/>
      </c>
      <c r="O99" s="216">
        <f>'Calc tab'!O95</f>
        <v/>
      </c>
      <c r="P99" s="216">
        <f>'Calc tab'!P95</f>
        <v/>
      </c>
      <c r="Q99" s="216">
        <f>'Calc tab'!Q95</f>
        <v/>
      </c>
      <c r="R99" s="216">
        <f>'Calc tab'!R95</f>
        <v/>
      </c>
      <c r="S99" s="216">
        <f>'Calc tab'!S95</f>
        <v/>
      </c>
      <c r="T99" s="216">
        <f>'Calc tab'!T95</f>
        <v/>
      </c>
      <c r="U99" s="216">
        <f>'Calc tab'!U95</f>
        <v/>
      </c>
      <c r="V99" s="216">
        <f>'Calc tab'!V95</f>
        <v/>
      </c>
      <c r="W99" s="216">
        <f>'Calc tab'!W95</f>
        <v/>
      </c>
      <c r="X99" s="216">
        <f>'Calc tab'!X95</f>
        <v/>
      </c>
      <c r="Y99" s="216">
        <f>'Calc tab'!Y95</f>
        <v/>
      </c>
      <c r="Z99" s="216">
        <f>'Calc tab'!Z95</f>
        <v/>
      </c>
      <c r="AA99" s="216">
        <f>'Calc tab'!AA95</f>
        <v/>
      </c>
      <c r="AB99" s="216">
        <f>'Calc tab'!AB95</f>
        <v/>
      </c>
      <c r="AC99" s="216">
        <f>'Calc tab'!AC95</f>
        <v/>
      </c>
      <c r="AD99" s="216">
        <f>'Calc tab'!AD95</f>
        <v/>
      </c>
      <c r="AE99" s="216">
        <f>'Calc tab'!AE95</f>
        <v/>
      </c>
      <c r="AF99" s="640">
        <f>'Calc tab'!AF95</f>
        <v/>
      </c>
      <c r="AG99" s="640">
        <f>'Calc tab'!AG95</f>
        <v/>
      </c>
      <c r="AH99" s="652">
        <f>'Calc tab'!AH95</f>
        <v/>
      </c>
      <c r="AI99" s="653">
        <f>'Calc tab'!AI95</f>
        <v/>
      </c>
    </row>
    <row r="100">
      <c r="A100" s="4">
        <f>'Calc tab'!A96</f>
        <v/>
      </c>
      <c r="B100" s="244">
        <f>'Calc tab'!B96</f>
        <v/>
      </c>
      <c r="C100" s="244">
        <f>'Calc tab'!C96</f>
        <v/>
      </c>
      <c r="D100" s="216">
        <f>'Calc tab'!D96</f>
        <v/>
      </c>
      <c r="E100" s="216">
        <f>'Calc tab'!E96</f>
        <v/>
      </c>
      <c r="F100" s="216">
        <f>'Calc tab'!F96</f>
        <v/>
      </c>
      <c r="G100" s="216">
        <f>'Calc tab'!G96</f>
        <v/>
      </c>
      <c r="H100" s="216">
        <f>'Calc tab'!H96</f>
        <v/>
      </c>
      <c r="I100" s="216">
        <f>'Calc tab'!I96</f>
        <v/>
      </c>
      <c r="J100" s="216">
        <f>'Calc tab'!J96</f>
        <v/>
      </c>
      <c r="K100" s="216">
        <f>'Calc tab'!K96</f>
        <v/>
      </c>
      <c r="L100" s="216">
        <f>'Calc tab'!L96</f>
        <v/>
      </c>
      <c r="M100" s="216">
        <f>'Calc tab'!M96</f>
        <v/>
      </c>
      <c r="N100" s="216">
        <f>'Calc tab'!N96</f>
        <v/>
      </c>
      <c r="O100" s="216">
        <f>'Calc tab'!O96</f>
        <v/>
      </c>
      <c r="P100" s="216">
        <f>'Calc tab'!P96</f>
        <v/>
      </c>
      <c r="Q100" s="216">
        <f>'Calc tab'!Q96</f>
        <v/>
      </c>
      <c r="R100" s="216">
        <f>'Calc tab'!R96</f>
        <v/>
      </c>
      <c r="S100" s="216">
        <f>'Calc tab'!S96</f>
        <v/>
      </c>
      <c r="T100" s="216">
        <f>'Calc tab'!T96</f>
        <v/>
      </c>
      <c r="U100" s="216">
        <f>'Calc tab'!U96</f>
        <v/>
      </c>
      <c r="V100" s="216">
        <f>'Calc tab'!V96</f>
        <v/>
      </c>
      <c r="W100" s="216">
        <f>'Calc tab'!W96</f>
        <v/>
      </c>
      <c r="X100" s="216">
        <f>'Calc tab'!X96</f>
        <v/>
      </c>
      <c r="Y100" s="216">
        <f>'Calc tab'!Y96</f>
        <v/>
      </c>
      <c r="Z100" s="216">
        <f>'Calc tab'!Z96</f>
        <v/>
      </c>
      <c r="AA100" s="216">
        <f>'Calc tab'!AA96</f>
        <v/>
      </c>
      <c r="AB100" s="216">
        <f>'Calc tab'!AB96</f>
        <v/>
      </c>
      <c r="AC100" s="216">
        <f>'Calc tab'!AC96</f>
        <v/>
      </c>
      <c r="AD100" s="216">
        <f>'Calc tab'!AD96</f>
        <v/>
      </c>
      <c r="AE100" s="216">
        <f>'Calc tab'!AE96</f>
        <v/>
      </c>
      <c r="AF100" s="640">
        <f>'Calc tab'!AF96</f>
        <v/>
      </c>
      <c r="AG100" s="640">
        <f>'Calc tab'!AG96</f>
        <v/>
      </c>
      <c r="AH100" s="652">
        <f>'Calc tab'!AH96</f>
        <v/>
      </c>
      <c r="AI100" s="653">
        <f>'Calc tab'!AI96</f>
        <v/>
      </c>
    </row>
    <row r="101">
      <c r="A101" s="4">
        <f>'Calc tab'!A97</f>
        <v/>
      </c>
      <c r="B101" s="244">
        <f>'Calc tab'!B97</f>
        <v/>
      </c>
      <c r="C101" s="244">
        <f>'Calc tab'!C97</f>
        <v/>
      </c>
      <c r="D101" s="216">
        <f>'Calc tab'!D97</f>
        <v/>
      </c>
      <c r="E101" s="216">
        <f>'Calc tab'!E97</f>
        <v/>
      </c>
      <c r="F101" s="216">
        <f>'Calc tab'!F97</f>
        <v/>
      </c>
      <c r="G101" s="216">
        <f>'Calc tab'!G97</f>
        <v/>
      </c>
      <c r="H101" s="216">
        <f>'Calc tab'!H97</f>
        <v/>
      </c>
      <c r="I101" s="216">
        <f>'Calc tab'!I97</f>
        <v/>
      </c>
      <c r="J101" s="216">
        <f>'Calc tab'!J97</f>
        <v/>
      </c>
      <c r="K101" s="216">
        <f>'Calc tab'!K97</f>
        <v/>
      </c>
      <c r="L101" s="216">
        <f>'Calc tab'!L97</f>
        <v/>
      </c>
      <c r="M101" s="216">
        <f>'Calc tab'!M97</f>
        <v/>
      </c>
      <c r="N101" s="216">
        <f>'Calc tab'!N97</f>
        <v/>
      </c>
      <c r="O101" s="216">
        <f>'Calc tab'!O97</f>
        <v/>
      </c>
      <c r="P101" s="216">
        <f>'Calc tab'!P97</f>
        <v/>
      </c>
      <c r="Q101" s="216">
        <f>'Calc tab'!Q97</f>
        <v/>
      </c>
      <c r="R101" s="216">
        <f>'Calc tab'!R97</f>
        <v/>
      </c>
      <c r="S101" s="216">
        <f>'Calc tab'!S97</f>
        <v/>
      </c>
      <c r="T101" s="216">
        <f>'Calc tab'!T97</f>
        <v/>
      </c>
      <c r="U101" s="216">
        <f>'Calc tab'!U97</f>
        <v/>
      </c>
      <c r="V101" s="216">
        <f>'Calc tab'!V97</f>
        <v/>
      </c>
      <c r="W101" s="216">
        <f>'Calc tab'!W97</f>
        <v/>
      </c>
      <c r="X101" s="216">
        <f>'Calc tab'!X97</f>
        <v/>
      </c>
      <c r="Y101" s="216">
        <f>'Calc tab'!Y97</f>
        <v/>
      </c>
      <c r="Z101" s="216">
        <f>'Calc tab'!Z97</f>
        <v/>
      </c>
      <c r="AA101" s="216">
        <f>'Calc tab'!AA97</f>
        <v/>
      </c>
      <c r="AB101" s="216">
        <f>'Calc tab'!AB97</f>
        <v/>
      </c>
      <c r="AC101" s="216">
        <f>'Calc tab'!AC97</f>
        <v/>
      </c>
      <c r="AD101" s="216">
        <f>'Calc tab'!AD97</f>
        <v/>
      </c>
      <c r="AE101" s="216">
        <f>'Calc tab'!AE97</f>
        <v/>
      </c>
      <c r="AF101" s="640">
        <f>'Calc tab'!AF97</f>
        <v/>
      </c>
      <c r="AG101" s="640">
        <f>'Calc tab'!AG97</f>
        <v/>
      </c>
      <c r="AH101" s="652">
        <f>'Calc tab'!AH97</f>
        <v/>
      </c>
      <c r="AI101" s="653">
        <f>'Calc tab'!AI97</f>
        <v/>
      </c>
    </row>
    <row r="102">
      <c r="A102" s="4">
        <f>'Calc tab'!A98</f>
        <v/>
      </c>
      <c r="B102" s="244">
        <f>'Calc tab'!B98</f>
        <v/>
      </c>
      <c r="C102" s="244">
        <f>'Calc tab'!C98</f>
        <v/>
      </c>
      <c r="D102" s="216">
        <f>'Calc tab'!D98</f>
        <v/>
      </c>
      <c r="E102" s="216">
        <f>'Calc tab'!E98</f>
        <v/>
      </c>
      <c r="F102" s="216">
        <f>'Calc tab'!F98</f>
        <v/>
      </c>
      <c r="G102" s="216">
        <f>'Calc tab'!G98</f>
        <v/>
      </c>
      <c r="H102" s="216">
        <f>'Calc tab'!H98</f>
        <v/>
      </c>
      <c r="I102" s="216">
        <f>'Calc tab'!I98</f>
        <v/>
      </c>
      <c r="J102" s="216">
        <f>'Calc tab'!J98</f>
        <v/>
      </c>
      <c r="K102" s="216">
        <f>'Calc tab'!K98</f>
        <v/>
      </c>
      <c r="L102" s="216">
        <f>'Calc tab'!L98</f>
        <v/>
      </c>
      <c r="M102" s="216">
        <f>'Calc tab'!M98</f>
        <v/>
      </c>
      <c r="N102" s="216">
        <f>'Calc tab'!N98</f>
        <v/>
      </c>
      <c r="O102" s="216">
        <f>'Calc tab'!O98</f>
        <v/>
      </c>
      <c r="P102" s="216">
        <f>'Calc tab'!P98</f>
        <v/>
      </c>
      <c r="Q102" s="216">
        <f>'Calc tab'!Q98</f>
        <v/>
      </c>
      <c r="R102" s="216">
        <f>'Calc tab'!R98</f>
        <v/>
      </c>
      <c r="S102" s="216">
        <f>'Calc tab'!S98</f>
        <v/>
      </c>
      <c r="T102" s="216">
        <f>'Calc tab'!T98</f>
        <v/>
      </c>
      <c r="U102" s="216">
        <f>'Calc tab'!U98</f>
        <v/>
      </c>
      <c r="V102" s="216">
        <f>'Calc tab'!V98</f>
        <v/>
      </c>
      <c r="W102" s="216">
        <f>'Calc tab'!W98</f>
        <v/>
      </c>
      <c r="X102" s="216">
        <f>'Calc tab'!X98</f>
        <v/>
      </c>
      <c r="Y102" s="216">
        <f>'Calc tab'!Y98</f>
        <v/>
      </c>
      <c r="Z102" s="216">
        <f>'Calc tab'!Z98</f>
        <v/>
      </c>
      <c r="AA102" s="216">
        <f>'Calc tab'!AA98</f>
        <v/>
      </c>
      <c r="AB102" s="216">
        <f>'Calc tab'!AB98</f>
        <v/>
      </c>
      <c r="AC102" s="216">
        <f>'Calc tab'!AC98</f>
        <v/>
      </c>
      <c r="AD102" s="216">
        <f>'Calc tab'!AD98</f>
        <v/>
      </c>
      <c r="AE102" s="216">
        <f>'Calc tab'!AE98</f>
        <v/>
      </c>
      <c r="AF102" s="640">
        <f>'Calc tab'!AF98</f>
        <v/>
      </c>
      <c r="AG102" s="640">
        <f>'Calc tab'!AG98</f>
        <v/>
      </c>
      <c r="AH102" s="652">
        <f>'Calc tab'!AH98</f>
        <v/>
      </c>
      <c r="AI102" s="653">
        <f>'Calc tab'!AI98</f>
        <v/>
      </c>
    </row>
    <row r="103" ht="30" customHeight="1" s="685">
      <c r="A103" s="4">
        <f>'Calc tab'!A99</f>
        <v/>
      </c>
      <c r="B103" s="244">
        <f>'Calc tab'!B99</f>
        <v/>
      </c>
      <c r="C103" s="244">
        <f>'Calc tab'!C99</f>
        <v/>
      </c>
      <c r="D103" s="216">
        <f>'Calc tab'!D99</f>
        <v/>
      </c>
      <c r="E103" s="216">
        <f>'Calc tab'!E99</f>
        <v/>
      </c>
      <c r="F103" s="216">
        <f>'Calc tab'!F99</f>
        <v/>
      </c>
      <c r="G103" s="216">
        <f>'Calc tab'!G99</f>
        <v/>
      </c>
      <c r="H103" s="216">
        <f>'Calc tab'!H99</f>
        <v/>
      </c>
      <c r="I103" s="216">
        <f>'Calc tab'!I99</f>
        <v/>
      </c>
      <c r="J103" s="216">
        <f>'Calc tab'!J99</f>
        <v/>
      </c>
      <c r="K103" s="216">
        <f>'Calc tab'!K99</f>
        <v/>
      </c>
      <c r="L103" s="216">
        <f>'Calc tab'!L99</f>
        <v/>
      </c>
      <c r="M103" s="216">
        <f>'Calc tab'!M99</f>
        <v/>
      </c>
      <c r="N103" s="216">
        <f>'Calc tab'!N99</f>
        <v/>
      </c>
      <c r="O103" s="216">
        <f>'Calc tab'!O99</f>
        <v/>
      </c>
      <c r="P103" s="216">
        <f>'Calc tab'!P99</f>
        <v/>
      </c>
      <c r="Q103" s="216">
        <f>'Calc tab'!Q99</f>
        <v/>
      </c>
      <c r="R103" s="216">
        <f>'Calc tab'!R99</f>
        <v/>
      </c>
      <c r="S103" s="216">
        <f>'Calc tab'!S99</f>
        <v/>
      </c>
      <c r="T103" s="216">
        <f>'Calc tab'!T99</f>
        <v/>
      </c>
      <c r="U103" s="216">
        <f>'Calc tab'!U99</f>
        <v/>
      </c>
      <c r="V103" s="216">
        <f>'Calc tab'!V99</f>
        <v/>
      </c>
      <c r="W103" s="216">
        <f>'Calc tab'!W99</f>
        <v/>
      </c>
      <c r="X103" s="216">
        <f>'Calc tab'!X99</f>
        <v/>
      </c>
      <c r="Y103" s="216">
        <f>'Calc tab'!Y99</f>
        <v/>
      </c>
      <c r="Z103" s="216">
        <f>'Calc tab'!Z99</f>
        <v/>
      </c>
      <c r="AA103" s="216">
        <f>'Calc tab'!AA99</f>
        <v/>
      </c>
      <c r="AB103" s="216">
        <f>'Calc tab'!AB99</f>
        <v/>
      </c>
      <c r="AC103" s="216">
        <f>'Calc tab'!AC99</f>
        <v/>
      </c>
      <c r="AD103" s="216">
        <f>'Calc tab'!AD99</f>
        <v/>
      </c>
      <c r="AE103" s="216">
        <f>'Calc tab'!AE99</f>
        <v/>
      </c>
      <c r="AF103" s="640">
        <f>'Calc tab'!AF99</f>
        <v/>
      </c>
      <c r="AG103" s="640">
        <f>'Calc tab'!AG99</f>
        <v/>
      </c>
      <c r="AH103" s="652">
        <f>'Calc tab'!AH99</f>
        <v/>
      </c>
      <c r="AI103" s="653">
        <f>'Calc tab'!AI99</f>
        <v/>
      </c>
    </row>
    <row r="104" ht="30" customHeight="1" s="685">
      <c r="A104" s="4">
        <f>'Calc tab'!A100</f>
        <v/>
      </c>
      <c r="B104" s="244">
        <f>'Calc tab'!B100</f>
        <v/>
      </c>
      <c r="C104" s="244">
        <f>'Calc tab'!C100</f>
        <v/>
      </c>
      <c r="D104" s="216">
        <f>'Calc tab'!D100</f>
        <v/>
      </c>
      <c r="E104" s="216">
        <f>'Calc tab'!E100</f>
        <v/>
      </c>
      <c r="F104" s="216">
        <f>'Calc tab'!F100</f>
        <v/>
      </c>
      <c r="G104" s="216">
        <f>'Calc tab'!G100</f>
        <v/>
      </c>
      <c r="H104" s="216">
        <f>'Calc tab'!H100</f>
        <v/>
      </c>
      <c r="I104" s="216">
        <f>'Calc tab'!I100</f>
        <v/>
      </c>
      <c r="J104" s="216">
        <f>'Calc tab'!J100</f>
        <v/>
      </c>
      <c r="K104" s="216">
        <f>'Calc tab'!K100</f>
        <v/>
      </c>
      <c r="L104" s="216">
        <f>'Calc tab'!L100</f>
        <v/>
      </c>
      <c r="M104" s="216">
        <f>'Calc tab'!M100</f>
        <v/>
      </c>
      <c r="N104" s="216">
        <f>'Calc tab'!N100</f>
        <v/>
      </c>
      <c r="O104" s="216">
        <f>'Calc tab'!O100</f>
        <v/>
      </c>
      <c r="P104" s="216">
        <f>'Calc tab'!P100</f>
        <v/>
      </c>
      <c r="Q104" s="216">
        <f>'Calc tab'!Q100</f>
        <v/>
      </c>
      <c r="R104" s="216">
        <f>'Calc tab'!R100</f>
        <v/>
      </c>
      <c r="S104" s="216">
        <f>'Calc tab'!S100</f>
        <v/>
      </c>
      <c r="T104" s="216">
        <f>'Calc tab'!T100</f>
        <v/>
      </c>
      <c r="U104" s="216">
        <f>'Calc tab'!U100</f>
        <v/>
      </c>
      <c r="V104" s="216">
        <f>'Calc tab'!V100</f>
        <v/>
      </c>
      <c r="W104" s="216">
        <f>'Calc tab'!W100</f>
        <v/>
      </c>
      <c r="X104" s="216">
        <f>'Calc tab'!X100</f>
        <v/>
      </c>
      <c r="Y104" s="216">
        <f>'Calc tab'!Y100</f>
        <v/>
      </c>
      <c r="Z104" s="216">
        <f>'Calc tab'!Z100</f>
        <v/>
      </c>
      <c r="AA104" s="216">
        <f>'Calc tab'!AA100</f>
        <v/>
      </c>
      <c r="AB104" s="216">
        <f>'Calc tab'!AB100</f>
        <v/>
      </c>
      <c r="AC104" s="216">
        <f>'Calc tab'!AC100</f>
        <v/>
      </c>
      <c r="AD104" s="216">
        <f>'Calc tab'!AD100</f>
        <v/>
      </c>
      <c r="AE104" s="216">
        <f>'Calc tab'!AE100</f>
        <v/>
      </c>
      <c r="AF104" s="640">
        <f>'Calc tab'!AF100</f>
        <v/>
      </c>
      <c r="AG104" s="640">
        <f>'Calc tab'!AG100</f>
        <v/>
      </c>
      <c r="AH104" s="652">
        <f>'Calc tab'!AH100</f>
        <v/>
      </c>
      <c r="AI104" s="653">
        <f>'Calc tab'!AI100</f>
        <v/>
      </c>
    </row>
    <row r="105" ht="30" customHeight="1" s="685">
      <c r="A105" s="4">
        <f>'Calc tab'!A101</f>
        <v/>
      </c>
      <c r="B105" s="244">
        <f>'Calc tab'!B101</f>
        <v/>
      </c>
      <c r="C105" s="244">
        <f>'Calc tab'!C101</f>
        <v/>
      </c>
      <c r="D105" s="216">
        <f>'Calc tab'!D101</f>
        <v/>
      </c>
      <c r="E105" s="216">
        <f>'Calc tab'!E101</f>
        <v/>
      </c>
      <c r="F105" s="216">
        <f>'Calc tab'!F101</f>
        <v/>
      </c>
      <c r="G105" s="216">
        <f>'Calc tab'!G101</f>
        <v/>
      </c>
      <c r="H105" s="216">
        <f>'Calc tab'!H101</f>
        <v/>
      </c>
      <c r="I105" s="216">
        <f>'Calc tab'!I101</f>
        <v/>
      </c>
      <c r="J105" s="216">
        <f>'Calc tab'!J101</f>
        <v/>
      </c>
      <c r="K105" s="216">
        <f>'Calc tab'!K101</f>
        <v/>
      </c>
      <c r="L105" s="216">
        <f>'Calc tab'!L101</f>
        <v/>
      </c>
      <c r="M105" s="216">
        <f>'Calc tab'!M101</f>
        <v/>
      </c>
      <c r="N105" s="216">
        <f>'Calc tab'!N101</f>
        <v/>
      </c>
      <c r="O105" s="216">
        <f>'Calc tab'!O101</f>
        <v/>
      </c>
      <c r="P105" s="216">
        <f>'Calc tab'!P101</f>
        <v/>
      </c>
      <c r="Q105" s="216">
        <f>'Calc tab'!Q101</f>
        <v/>
      </c>
      <c r="R105" s="216">
        <f>'Calc tab'!R101</f>
        <v/>
      </c>
      <c r="S105" s="216">
        <f>'Calc tab'!S101</f>
        <v/>
      </c>
      <c r="T105" s="216">
        <f>'Calc tab'!T101</f>
        <v/>
      </c>
      <c r="U105" s="216">
        <f>'Calc tab'!U101</f>
        <v/>
      </c>
      <c r="V105" s="216">
        <f>'Calc tab'!V101</f>
        <v/>
      </c>
      <c r="W105" s="216">
        <f>'Calc tab'!W101</f>
        <v/>
      </c>
      <c r="X105" s="216">
        <f>'Calc tab'!X101</f>
        <v/>
      </c>
      <c r="Y105" s="216">
        <f>'Calc tab'!Y101</f>
        <v/>
      </c>
      <c r="Z105" s="216">
        <f>'Calc tab'!Z101</f>
        <v/>
      </c>
      <c r="AA105" s="216">
        <f>'Calc tab'!AA101</f>
        <v/>
      </c>
      <c r="AB105" s="216">
        <f>'Calc tab'!AB101</f>
        <v/>
      </c>
      <c r="AC105" s="216">
        <f>'Calc tab'!AC101</f>
        <v/>
      </c>
      <c r="AD105" s="216">
        <f>'Calc tab'!AD101</f>
        <v/>
      </c>
      <c r="AE105" s="216">
        <f>'Calc tab'!AE101</f>
        <v/>
      </c>
      <c r="AF105" s="640">
        <f>'Calc tab'!AF101</f>
        <v/>
      </c>
      <c r="AG105" s="640">
        <f>'Calc tab'!AG101</f>
        <v/>
      </c>
      <c r="AH105" s="652">
        <f>'Calc tab'!AH101</f>
        <v/>
      </c>
      <c r="AI105" s="653">
        <f>'Calc tab'!AI101</f>
        <v/>
      </c>
    </row>
    <row r="106" ht="30" customHeight="1" s="685">
      <c r="A106" s="4">
        <f>'Calc tab'!A102</f>
        <v/>
      </c>
      <c r="B106" s="244">
        <f>'Calc tab'!B102</f>
        <v/>
      </c>
      <c r="C106" s="244">
        <f>'Calc tab'!C102</f>
        <v/>
      </c>
      <c r="D106" s="216">
        <f>'Calc tab'!D102</f>
        <v/>
      </c>
      <c r="E106" s="216">
        <f>'Calc tab'!E102</f>
        <v/>
      </c>
      <c r="F106" s="216">
        <f>'Calc tab'!F102</f>
        <v/>
      </c>
      <c r="G106" s="216">
        <f>'Calc tab'!G102</f>
        <v/>
      </c>
      <c r="H106" s="216">
        <f>'Calc tab'!H102</f>
        <v/>
      </c>
      <c r="I106" s="216">
        <f>'Calc tab'!I102</f>
        <v/>
      </c>
      <c r="J106" s="216">
        <f>'Calc tab'!J102</f>
        <v/>
      </c>
      <c r="K106" s="216">
        <f>'Calc tab'!K102</f>
        <v/>
      </c>
      <c r="L106" s="216">
        <f>'Calc tab'!L102</f>
        <v/>
      </c>
      <c r="M106" s="216">
        <f>'Calc tab'!M102</f>
        <v/>
      </c>
      <c r="N106" s="216">
        <f>'Calc tab'!N102</f>
        <v/>
      </c>
      <c r="O106" s="216">
        <f>'Calc tab'!O102</f>
        <v/>
      </c>
      <c r="P106" s="216">
        <f>'Calc tab'!P102</f>
        <v/>
      </c>
      <c r="Q106" s="216">
        <f>'Calc tab'!Q102</f>
        <v/>
      </c>
      <c r="R106" s="216">
        <f>'Calc tab'!R102</f>
        <v/>
      </c>
      <c r="S106" s="216">
        <f>'Calc tab'!S102</f>
        <v/>
      </c>
      <c r="T106" s="216">
        <f>'Calc tab'!T102</f>
        <v/>
      </c>
      <c r="U106" s="216">
        <f>'Calc tab'!U102</f>
        <v/>
      </c>
      <c r="V106" s="216">
        <f>'Calc tab'!V102</f>
        <v/>
      </c>
      <c r="W106" s="216">
        <f>'Calc tab'!W102</f>
        <v/>
      </c>
      <c r="X106" s="216">
        <f>'Calc tab'!X102</f>
        <v/>
      </c>
      <c r="Y106" s="216">
        <f>'Calc tab'!Y102</f>
        <v/>
      </c>
      <c r="Z106" s="216">
        <f>'Calc tab'!Z102</f>
        <v/>
      </c>
      <c r="AA106" s="216">
        <f>'Calc tab'!AA102</f>
        <v/>
      </c>
      <c r="AB106" s="216">
        <f>'Calc tab'!AB102</f>
        <v/>
      </c>
      <c r="AC106" s="216">
        <f>'Calc tab'!AC102</f>
        <v/>
      </c>
      <c r="AD106" s="216">
        <f>'Calc tab'!AD102</f>
        <v/>
      </c>
      <c r="AE106" s="216">
        <f>'Calc tab'!AE102</f>
        <v/>
      </c>
      <c r="AF106" s="640">
        <f>'Calc tab'!AF102</f>
        <v/>
      </c>
      <c r="AG106" s="640">
        <f>'Calc tab'!AG102</f>
        <v/>
      </c>
      <c r="AH106" s="652">
        <f>'Calc tab'!AH102</f>
        <v/>
      </c>
      <c r="AI106" s="653">
        <f>'Calc tab'!AI102</f>
        <v/>
      </c>
    </row>
    <row r="107" ht="30" customHeight="1" s="685">
      <c r="A107" s="4">
        <f>'Calc tab'!A103</f>
        <v/>
      </c>
      <c r="B107" s="244">
        <f>'Calc tab'!B103</f>
        <v/>
      </c>
      <c r="C107" s="244">
        <f>'Calc tab'!C103</f>
        <v/>
      </c>
      <c r="D107" s="216">
        <f>'Calc tab'!D103</f>
        <v/>
      </c>
      <c r="E107" s="216">
        <f>'Calc tab'!E103</f>
        <v/>
      </c>
      <c r="F107" s="216">
        <f>'Calc tab'!F103</f>
        <v/>
      </c>
      <c r="G107" s="216">
        <f>'Calc tab'!G103</f>
        <v/>
      </c>
      <c r="H107" s="216">
        <f>'Calc tab'!H103</f>
        <v/>
      </c>
      <c r="I107" s="216">
        <f>'Calc tab'!I103</f>
        <v/>
      </c>
      <c r="J107" s="216">
        <f>'Calc tab'!J103</f>
        <v/>
      </c>
      <c r="K107" s="216">
        <f>'Calc tab'!K103</f>
        <v/>
      </c>
      <c r="L107" s="216">
        <f>'Calc tab'!L103</f>
        <v/>
      </c>
      <c r="M107" s="216">
        <f>'Calc tab'!M103</f>
        <v/>
      </c>
      <c r="N107" s="216">
        <f>'Calc tab'!N103</f>
        <v/>
      </c>
      <c r="O107" s="216">
        <f>'Calc tab'!O103</f>
        <v/>
      </c>
      <c r="P107" s="216">
        <f>'Calc tab'!P103</f>
        <v/>
      </c>
      <c r="Q107" s="216">
        <f>'Calc tab'!Q103</f>
        <v/>
      </c>
      <c r="R107" s="216">
        <f>'Calc tab'!R103</f>
        <v/>
      </c>
      <c r="S107" s="216">
        <f>'Calc tab'!S103</f>
        <v/>
      </c>
      <c r="T107" s="216">
        <f>'Calc tab'!T103</f>
        <v/>
      </c>
      <c r="U107" s="216">
        <f>'Calc tab'!U103</f>
        <v/>
      </c>
      <c r="V107" s="216">
        <f>'Calc tab'!V103</f>
        <v/>
      </c>
      <c r="W107" s="216">
        <f>'Calc tab'!W103</f>
        <v/>
      </c>
      <c r="X107" s="216">
        <f>'Calc tab'!X103</f>
        <v/>
      </c>
      <c r="Y107" s="216">
        <f>'Calc tab'!Y103</f>
        <v/>
      </c>
      <c r="Z107" s="216">
        <f>'Calc tab'!Z103</f>
        <v/>
      </c>
      <c r="AA107" s="216">
        <f>'Calc tab'!AA103</f>
        <v/>
      </c>
      <c r="AB107" s="216">
        <f>'Calc tab'!AB103</f>
        <v/>
      </c>
      <c r="AC107" s="216">
        <f>'Calc tab'!AC103</f>
        <v/>
      </c>
      <c r="AD107" s="216">
        <f>'Calc tab'!AD103</f>
        <v/>
      </c>
      <c r="AE107" s="216">
        <f>'Calc tab'!AE103</f>
        <v/>
      </c>
      <c r="AF107" s="640">
        <f>'Calc tab'!AF103</f>
        <v/>
      </c>
      <c r="AG107" s="640">
        <f>'Calc tab'!AG103</f>
        <v/>
      </c>
      <c r="AH107" s="652">
        <f>'Calc tab'!AH103</f>
        <v/>
      </c>
      <c r="AI107" s="653">
        <f>'Calc tab'!AI103</f>
        <v/>
      </c>
    </row>
    <row r="108" ht="30" customHeight="1" s="685">
      <c r="A108" s="399">
        <f>'Calc tab'!A104</f>
        <v/>
      </c>
      <c r="B108" s="245">
        <f>'Calc tab'!B104</f>
        <v/>
      </c>
      <c r="C108" s="245">
        <f>'Calc tab'!C104</f>
        <v/>
      </c>
      <c r="D108" s="322">
        <f>'Calc tab'!D104</f>
        <v/>
      </c>
      <c r="E108" s="322">
        <f>'Calc tab'!E104</f>
        <v/>
      </c>
      <c r="F108" s="322">
        <f>'Calc tab'!F104</f>
        <v/>
      </c>
      <c r="G108" s="322">
        <f>'Calc tab'!G104</f>
        <v/>
      </c>
      <c r="H108" s="322">
        <f>'Calc tab'!H104</f>
        <v/>
      </c>
      <c r="I108" s="322">
        <f>'Calc tab'!I104</f>
        <v/>
      </c>
      <c r="J108" s="322">
        <f>'Calc tab'!J104</f>
        <v/>
      </c>
      <c r="K108" s="322">
        <f>'Calc tab'!K104</f>
        <v/>
      </c>
      <c r="L108" s="322">
        <f>'Calc tab'!L104</f>
        <v/>
      </c>
      <c r="M108" s="322">
        <f>'Calc tab'!M104</f>
        <v/>
      </c>
      <c r="N108" s="322">
        <f>'Calc tab'!N104</f>
        <v/>
      </c>
      <c r="O108" s="322">
        <f>'Calc tab'!O104</f>
        <v/>
      </c>
      <c r="P108" s="322">
        <f>'Calc tab'!P104</f>
        <v/>
      </c>
      <c r="Q108" s="322">
        <f>'Calc tab'!Q104</f>
        <v/>
      </c>
      <c r="R108" s="322">
        <f>'Calc tab'!R104</f>
        <v/>
      </c>
      <c r="S108" s="322">
        <f>'Calc tab'!S104</f>
        <v/>
      </c>
      <c r="T108" s="322">
        <f>'Calc tab'!T104</f>
        <v/>
      </c>
      <c r="U108" s="322">
        <f>'Calc tab'!U104</f>
        <v/>
      </c>
      <c r="V108" s="322">
        <f>'Calc tab'!V104</f>
        <v/>
      </c>
      <c r="W108" s="322">
        <f>'Calc tab'!W104</f>
        <v/>
      </c>
      <c r="X108" s="322">
        <f>'Calc tab'!X104</f>
        <v/>
      </c>
      <c r="Y108" s="322">
        <f>'Calc tab'!Y104</f>
        <v/>
      </c>
      <c r="Z108" s="322">
        <f>'Calc tab'!Z104</f>
        <v/>
      </c>
      <c r="AA108" s="322">
        <f>'Calc tab'!AA104</f>
        <v/>
      </c>
      <c r="AB108" s="322">
        <f>'Calc tab'!AB104</f>
        <v/>
      </c>
      <c r="AC108" s="322">
        <f>'Calc tab'!AC104</f>
        <v/>
      </c>
      <c r="AD108" s="322">
        <f>'Calc tab'!AD104</f>
        <v/>
      </c>
      <c r="AE108" s="322">
        <f>'Calc tab'!AE104</f>
        <v/>
      </c>
      <c r="AF108" s="643">
        <f>'Calc tab'!AF104</f>
        <v/>
      </c>
      <c r="AG108" s="643">
        <f>'Calc tab'!AG104</f>
        <v/>
      </c>
      <c r="AH108" s="654">
        <f>'Calc tab'!AH104</f>
        <v/>
      </c>
      <c r="AI108" s="655">
        <f>'Calc tab'!AI104</f>
        <v/>
      </c>
    </row>
    <row r="112" customFormat="1" s="194">
      <c r="A112" s="393">
        <f>'Calc tab'!A108</f>
        <v/>
      </c>
      <c r="B112" s="193">
        <f>'Calc tab'!B108</f>
        <v/>
      </c>
      <c r="C112" s="193">
        <f>'Calc tab'!C108</f>
        <v/>
      </c>
      <c r="D112" s="193">
        <f>'Calc tab'!D108</f>
        <v/>
      </c>
      <c r="E112" s="193">
        <f>'Calc tab'!E108</f>
        <v/>
      </c>
      <c r="F112" s="193">
        <f>'Calc tab'!F108</f>
        <v/>
      </c>
      <c r="G112" s="193">
        <f>'Calc tab'!G108</f>
        <v/>
      </c>
      <c r="H112" s="193">
        <f>'Calc tab'!H108</f>
        <v/>
      </c>
      <c r="I112" s="193">
        <f>'Calc tab'!I108</f>
        <v/>
      </c>
      <c r="J112" s="193">
        <f>'Calc tab'!J108</f>
        <v/>
      </c>
      <c r="K112" s="193">
        <f>'Calc tab'!K108</f>
        <v/>
      </c>
      <c r="L112" s="193">
        <f>'Calc tab'!L108</f>
        <v/>
      </c>
      <c r="M112" s="193">
        <f>'Calc tab'!M108</f>
        <v/>
      </c>
      <c r="N112" s="193">
        <f>'Calc tab'!N108</f>
        <v/>
      </c>
      <c r="O112" s="193">
        <f>'Calc tab'!O108</f>
        <v/>
      </c>
      <c r="P112" s="193">
        <f>'Calc tab'!P108</f>
        <v/>
      </c>
      <c r="Q112" s="193">
        <f>'Calc tab'!Q108</f>
        <v/>
      </c>
      <c r="R112" s="193">
        <f>'Calc tab'!R108</f>
        <v/>
      </c>
      <c r="S112" s="193">
        <f>'Calc tab'!S108</f>
        <v/>
      </c>
      <c r="T112" s="193">
        <f>'Calc tab'!T108</f>
        <v/>
      </c>
      <c r="U112" s="193">
        <f>'Calc tab'!U108</f>
        <v/>
      </c>
      <c r="V112" s="193">
        <f>'Calc tab'!V108</f>
        <v/>
      </c>
      <c r="W112" s="193">
        <f>'Calc tab'!W108</f>
        <v/>
      </c>
      <c r="X112" s="193">
        <f>'Calc tab'!X108</f>
        <v/>
      </c>
      <c r="Y112" s="193">
        <f>'Calc tab'!Y108</f>
        <v/>
      </c>
      <c r="Z112" s="193">
        <f>'Calc tab'!Z108</f>
        <v/>
      </c>
      <c r="AA112" s="193">
        <f>'Calc tab'!AA108</f>
        <v/>
      </c>
      <c r="AB112" s="193">
        <f>'Calc tab'!AB108</f>
        <v/>
      </c>
      <c r="AC112" s="193">
        <f>'Calc tab'!AC108</f>
        <v/>
      </c>
      <c r="AD112" s="193">
        <f>'Calc tab'!AD108</f>
        <v/>
      </c>
      <c r="AE112" s="193">
        <f>'Calc tab'!AE108</f>
        <v/>
      </c>
      <c r="AF112" s="394" t="n"/>
      <c r="AG112" s="394" t="n"/>
      <c r="AH112" s="830" t="n"/>
    </row>
    <row r="113" customFormat="1" s="194">
      <c r="A113" s="394">
        <f>'Calc tab'!A109</f>
        <v/>
      </c>
      <c r="B113" s="241">
        <f>'Calc tab'!B109</f>
        <v/>
      </c>
      <c r="C113" s="241">
        <f>'Calc tab'!C109</f>
        <v/>
      </c>
      <c r="D113" s="241">
        <f>'Calc tab'!D109</f>
        <v/>
      </c>
      <c r="E113" s="241">
        <f>'Calc tab'!E109</f>
        <v/>
      </c>
      <c r="F113" s="241">
        <f>'Calc tab'!F109</f>
        <v/>
      </c>
      <c r="G113" s="241">
        <f>'Calc tab'!G109</f>
        <v/>
      </c>
      <c r="H113" s="241">
        <f>'Calc tab'!H109</f>
        <v/>
      </c>
      <c r="I113" s="241">
        <f>'Calc tab'!I109</f>
        <v/>
      </c>
      <c r="J113" s="241">
        <f>'Calc tab'!J109</f>
        <v/>
      </c>
      <c r="K113" s="241">
        <f>'Calc tab'!K109</f>
        <v/>
      </c>
      <c r="L113" s="241">
        <f>'Calc tab'!L109</f>
        <v/>
      </c>
      <c r="M113" s="241">
        <f>'Calc tab'!M109</f>
        <v/>
      </c>
      <c r="N113" s="241">
        <f>'Calc tab'!N109</f>
        <v/>
      </c>
      <c r="O113" s="241">
        <f>'Calc tab'!O109</f>
        <v/>
      </c>
      <c r="P113" s="241">
        <f>'Calc tab'!P109</f>
        <v/>
      </c>
      <c r="Q113" s="241">
        <f>'Calc tab'!Q109</f>
        <v/>
      </c>
      <c r="R113" s="241">
        <f>'Calc tab'!R109</f>
        <v/>
      </c>
      <c r="S113" s="241">
        <f>'Calc tab'!S109</f>
        <v/>
      </c>
      <c r="T113" s="241">
        <f>'Calc tab'!T109</f>
        <v/>
      </c>
      <c r="U113" s="241">
        <f>'Calc tab'!U109</f>
        <v/>
      </c>
      <c r="V113" s="241">
        <f>'Calc tab'!V109</f>
        <v/>
      </c>
      <c r="W113" s="241">
        <f>'Calc tab'!W109</f>
        <v/>
      </c>
      <c r="X113" s="241">
        <f>'Calc tab'!X109</f>
        <v/>
      </c>
      <c r="Y113" s="241">
        <f>'Calc tab'!Y109</f>
        <v/>
      </c>
      <c r="Z113" s="241">
        <f>'Calc tab'!Z109</f>
        <v/>
      </c>
      <c r="AA113" s="241">
        <f>'Calc tab'!AA109</f>
        <v/>
      </c>
      <c r="AB113" s="241">
        <f>'Calc tab'!AB109</f>
        <v/>
      </c>
      <c r="AC113" s="241">
        <f>'Calc tab'!AC109</f>
        <v/>
      </c>
      <c r="AD113" s="241">
        <f>'Calc tab'!AD109</f>
        <v/>
      </c>
      <c r="AE113" s="244">
        <f>'Calc tab'!AE109</f>
        <v/>
      </c>
      <c r="AF113" s="394" t="n"/>
      <c r="AG113" s="394" t="n"/>
      <c r="AH113" s="830" t="n"/>
    </row>
    <row r="114" customFormat="1" s="194">
      <c r="A114" s="394">
        <f>'Calc tab'!A110</f>
        <v/>
      </c>
      <c r="B114" s="241">
        <f>'Calc tab'!B110</f>
        <v/>
      </c>
      <c r="C114" s="241">
        <f>'Calc tab'!C110</f>
        <v/>
      </c>
      <c r="D114" s="241">
        <f>'Calc tab'!D110</f>
        <v/>
      </c>
      <c r="E114" s="241">
        <f>'Calc tab'!E110</f>
        <v/>
      </c>
      <c r="F114" s="241">
        <f>'Calc tab'!F110</f>
        <v/>
      </c>
      <c r="G114" s="241">
        <f>'Calc tab'!G110</f>
        <v/>
      </c>
      <c r="H114" s="241">
        <f>'Calc tab'!H110</f>
        <v/>
      </c>
      <c r="I114" s="241">
        <f>'Calc tab'!I110</f>
        <v/>
      </c>
      <c r="J114" s="241">
        <f>'Calc tab'!J110</f>
        <v/>
      </c>
      <c r="K114" s="241">
        <f>'Calc tab'!K110</f>
        <v/>
      </c>
      <c r="L114" s="241">
        <f>'Calc tab'!L110</f>
        <v/>
      </c>
      <c r="M114" s="241">
        <f>'Calc tab'!M110</f>
        <v/>
      </c>
      <c r="N114" s="241">
        <f>'Calc tab'!N110</f>
        <v/>
      </c>
      <c r="O114" s="241">
        <f>'Calc tab'!O110</f>
        <v/>
      </c>
      <c r="P114" s="241">
        <f>'Calc tab'!P110</f>
        <v/>
      </c>
      <c r="Q114" s="241">
        <f>'Calc tab'!Q110</f>
        <v/>
      </c>
      <c r="R114" s="241">
        <f>'Calc tab'!R110</f>
        <v/>
      </c>
      <c r="S114" s="241">
        <f>'Calc tab'!S110</f>
        <v/>
      </c>
      <c r="T114" s="241">
        <f>'Calc tab'!T110</f>
        <v/>
      </c>
      <c r="U114" s="241">
        <f>'Calc tab'!U110</f>
        <v/>
      </c>
      <c r="V114" s="241">
        <f>'Calc tab'!V110</f>
        <v/>
      </c>
      <c r="W114" s="241">
        <f>'Calc tab'!W110</f>
        <v/>
      </c>
      <c r="X114" s="241">
        <f>'Calc tab'!X110</f>
        <v/>
      </c>
      <c r="Y114" s="241">
        <f>'Calc tab'!Y110</f>
        <v/>
      </c>
      <c r="Z114" s="241">
        <f>'Calc tab'!Z110</f>
        <v/>
      </c>
      <c r="AA114" s="241">
        <f>'Calc tab'!AA110</f>
        <v/>
      </c>
      <c r="AB114" s="241">
        <f>'Calc tab'!AB110</f>
        <v/>
      </c>
      <c r="AC114" s="241">
        <f>'Calc tab'!AC110</f>
        <v/>
      </c>
      <c r="AD114" s="241">
        <f>'Calc tab'!AD110</f>
        <v/>
      </c>
      <c r="AE114" s="244">
        <f>'Calc tab'!AE110</f>
        <v/>
      </c>
      <c r="AF114" s="394" t="n"/>
      <c r="AG114" s="394" t="n"/>
      <c r="AH114" s="830" t="n"/>
    </row>
    <row r="115" customFormat="1" s="194">
      <c r="A115" s="394">
        <f>'Calc tab'!A111</f>
        <v/>
      </c>
      <c r="B115" s="241">
        <f>'Calc tab'!B111</f>
        <v/>
      </c>
      <c r="C115" s="241">
        <f>'Calc tab'!C111</f>
        <v/>
      </c>
      <c r="D115" s="241">
        <f>'Calc tab'!D111</f>
        <v/>
      </c>
      <c r="E115" s="241">
        <f>'Calc tab'!E111</f>
        <v/>
      </c>
      <c r="F115" s="241">
        <f>'Calc tab'!F111</f>
        <v/>
      </c>
      <c r="G115" s="241">
        <f>'Calc tab'!G111</f>
        <v/>
      </c>
      <c r="H115" s="241">
        <f>'Calc tab'!H111</f>
        <v/>
      </c>
      <c r="I115" s="241">
        <f>'Calc tab'!I111</f>
        <v/>
      </c>
      <c r="J115" s="241">
        <f>'Calc tab'!J111</f>
        <v/>
      </c>
      <c r="K115" s="241">
        <f>'Calc tab'!K111</f>
        <v/>
      </c>
      <c r="L115" s="241">
        <f>'Calc tab'!L111</f>
        <v/>
      </c>
      <c r="M115" s="241">
        <f>'Calc tab'!M111</f>
        <v/>
      </c>
      <c r="N115" s="241">
        <f>'Calc tab'!N111</f>
        <v/>
      </c>
      <c r="O115" s="241">
        <f>'Calc tab'!O111</f>
        <v/>
      </c>
      <c r="P115" s="241">
        <f>'Calc tab'!P111</f>
        <v/>
      </c>
      <c r="Q115" s="241">
        <f>'Calc tab'!Q111</f>
        <v/>
      </c>
      <c r="R115" s="241">
        <f>'Calc tab'!R111</f>
        <v/>
      </c>
      <c r="S115" s="241">
        <f>'Calc tab'!S111</f>
        <v/>
      </c>
      <c r="T115" s="241">
        <f>'Calc tab'!T111</f>
        <v/>
      </c>
      <c r="U115" s="241">
        <f>'Calc tab'!U111</f>
        <v/>
      </c>
      <c r="V115" s="241">
        <f>'Calc tab'!V111</f>
        <v/>
      </c>
      <c r="W115" s="241">
        <f>'Calc tab'!W111</f>
        <v/>
      </c>
      <c r="X115" s="241">
        <f>'Calc tab'!X111</f>
        <v/>
      </c>
      <c r="Y115" s="241">
        <f>'Calc tab'!Y111</f>
        <v/>
      </c>
      <c r="Z115" s="241">
        <f>'Calc tab'!Z111</f>
        <v/>
      </c>
      <c r="AA115" s="241">
        <f>'Calc tab'!AA111</f>
        <v/>
      </c>
      <c r="AB115" s="241">
        <f>'Calc tab'!AB111</f>
        <v/>
      </c>
      <c r="AC115" s="241">
        <f>'Calc tab'!AC111</f>
        <v/>
      </c>
      <c r="AD115" s="241">
        <f>'Calc tab'!AD111</f>
        <v/>
      </c>
      <c r="AE115" s="244">
        <f>'Calc tab'!AE111</f>
        <v/>
      </c>
      <c r="AF115" s="394" t="n"/>
      <c r="AG115" s="394" t="n"/>
      <c r="AH115" s="830" t="n"/>
    </row>
    <row r="116" customFormat="1" s="194">
      <c r="A116" s="394">
        <f>'Calc tab'!A112</f>
        <v/>
      </c>
      <c r="B116" s="241">
        <f>'Calc tab'!B112</f>
        <v/>
      </c>
      <c r="C116" s="241">
        <f>'Calc tab'!C112</f>
        <v/>
      </c>
      <c r="D116" s="241">
        <f>'Calc tab'!D112</f>
        <v/>
      </c>
      <c r="E116" s="241">
        <f>'Calc tab'!E112</f>
        <v/>
      </c>
      <c r="F116" s="241">
        <f>'Calc tab'!F112</f>
        <v/>
      </c>
      <c r="G116" s="241">
        <f>'Calc tab'!G112</f>
        <v/>
      </c>
      <c r="H116" s="241">
        <f>'Calc tab'!H112</f>
        <v/>
      </c>
      <c r="I116" s="241">
        <f>'Calc tab'!I112</f>
        <v/>
      </c>
      <c r="J116" s="241">
        <f>'Calc tab'!J112</f>
        <v/>
      </c>
      <c r="K116" s="241">
        <f>'Calc tab'!K112</f>
        <v/>
      </c>
      <c r="L116" s="241">
        <f>'Calc tab'!L112</f>
        <v/>
      </c>
      <c r="M116" s="241">
        <f>'Calc tab'!M112</f>
        <v/>
      </c>
      <c r="N116" s="241">
        <f>'Calc tab'!N112</f>
        <v/>
      </c>
      <c r="O116" s="241">
        <f>'Calc tab'!O112</f>
        <v/>
      </c>
      <c r="P116" s="241">
        <f>'Calc tab'!P112</f>
        <v/>
      </c>
      <c r="Q116" s="241">
        <f>'Calc tab'!Q112</f>
        <v/>
      </c>
      <c r="R116" s="241">
        <f>'Calc tab'!R112</f>
        <v/>
      </c>
      <c r="S116" s="241">
        <f>'Calc tab'!S112</f>
        <v/>
      </c>
      <c r="T116" s="241">
        <f>'Calc tab'!T112</f>
        <v/>
      </c>
      <c r="U116" s="241">
        <f>'Calc tab'!U112</f>
        <v/>
      </c>
      <c r="V116" s="241">
        <f>'Calc tab'!V112</f>
        <v/>
      </c>
      <c r="W116" s="241">
        <f>'Calc tab'!W112</f>
        <v/>
      </c>
      <c r="X116" s="241">
        <f>'Calc tab'!X112</f>
        <v/>
      </c>
      <c r="Y116" s="241">
        <f>'Calc tab'!Y112</f>
        <v/>
      </c>
      <c r="Z116" s="241">
        <f>'Calc tab'!Z112</f>
        <v/>
      </c>
      <c r="AA116" s="241">
        <f>'Calc tab'!AA112</f>
        <v/>
      </c>
      <c r="AB116" s="241">
        <f>'Calc tab'!AB112</f>
        <v/>
      </c>
      <c r="AC116" s="241">
        <f>'Calc tab'!AC112</f>
        <v/>
      </c>
      <c r="AD116" s="241">
        <f>'Calc tab'!AD112</f>
        <v/>
      </c>
      <c r="AE116" s="244">
        <f>'Calc tab'!AE112</f>
        <v/>
      </c>
      <c r="AF116" s="394" t="n"/>
      <c r="AG116" s="394" t="n"/>
      <c r="AH116" s="830" t="n"/>
    </row>
    <row r="117" customFormat="1" s="194">
      <c r="A117" s="394">
        <f>'Calc tab'!A113</f>
        <v/>
      </c>
      <c r="B117" s="241">
        <f>'Calc tab'!B113</f>
        <v/>
      </c>
      <c r="C117" s="241">
        <f>'Calc tab'!C113</f>
        <v/>
      </c>
      <c r="D117" s="241">
        <f>'Calc tab'!D113</f>
        <v/>
      </c>
      <c r="E117" s="241">
        <f>'Calc tab'!E113</f>
        <v/>
      </c>
      <c r="F117" s="241">
        <f>'Calc tab'!F113</f>
        <v/>
      </c>
      <c r="G117" s="241">
        <f>'Calc tab'!G113</f>
        <v/>
      </c>
      <c r="H117" s="241">
        <f>'Calc tab'!H113</f>
        <v/>
      </c>
      <c r="I117" s="241">
        <f>'Calc tab'!I113</f>
        <v/>
      </c>
      <c r="J117" s="241">
        <f>'Calc tab'!J113</f>
        <v/>
      </c>
      <c r="K117" s="241">
        <f>'Calc tab'!K113</f>
        <v/>
      </c>
      <c r="L117" s="241">
        <f>'Calc tab'!L113</f>
        <v/>
      </c>
      <c r="M117" s="241">
        <f>'Calc tab'!M113</f>
        <v/>
      </c>
      <c r="N117" s="241">
        <f>'Calc tab'!N113</f>
        <v/>
      </c>
      <c r="O117" s="241">
        <f>'Calc tab'!O113</f>
        <v/>
      </c>
      <c r="P117" s="241">
        <f>'Calc tab'!P113</f>
        <v/>
      </c>
      <c r="Q117" s="241">
        <f>'Calc tab'!Q113</f>
        <v/>
      </c>
      <c r="R117" s="241">
        <f>'Calc tab'!R113</f>
        <v/>
      </c>
      <c r="S117" s="241">
        <f>'Calc tab'!S113</f>
        <v/>
      </c>
      <c r="T117" s="241">
        <f>'Calc tab'!T113</f>
        <v/>
      </c>
      <c r="U117" s="241">
        <f>'Calc tab'!U113</f>
        <v/>
      </c>
      <c r="V117" s="241">
        <f>'Calc tab'!V113</f>
        <v/>
      </c>
      <c r="W117" s="241">
        <f>'Calc tab'!W113</f>
        <v/>
      </c>
      <c r="X117" s="241">
        <f>'Calc tab'!X113</f>
        <v/>
      </c>
      <c r="Y117" s="241">
        <f>'Calc tab'!Y113</f>
        <v/>
      </c>
      <c r="Z117" s="241">
        <f>'Calc tab'!Z113</f>
        <v/>
      </c>
      <c r="AA117" s="241">
        <f>'Calc tab'!AA113</f>
        <v/>
      </c>
      <c r="AB117" s="241">
        <f>'Calc tab'!AB113</f>
        <v/>
      </c>
      <c r="AC117" s="241">
        <f>'Calc tab'!AC113</f>
        <v/>
      </c>
      <c r="AD117" s="241">
        <f>'Calc tab'!AD113</f>
        <v/>
      </c>
      <c r="AE117" s="244">
        <f>'Calc tab'!AE113</f>
        <v/>
      </c>
      <c r="AF117" s="394" t="n"/>
      <c r="AG117" s="394" t="n"/>
      <c r="AH117" s="830" t="n"/>
    </row>
    <row r="118" customFormat="1" s="194">
      <c r="A118" s="394">
        <f>'Calc tab'!A114</f>
        <v/>
      </c>
      <c r="B118" s="241">
        <f>'Calc tab'!B114</f>
        <v/>
      </c>
      <c r="C118" s="241">
        <f>'Calc tab'!C114</f>
        <v/>
      </c>
      <c r="D118" s="241">
        <f>'Calc tab'!D114</f>
        <v/>
      </c>
      <c r="E118" s="241">
        <f>'Calc tab'!E114</f>
        <v/>
      </c>
      <c r="F118" s="241">
        <f>'Calc tab'!F114</f>
        <v/>
      </c>
      <c r="G118" s="241">
        <f>'Calc tab'!G114</f>
        <v/>
      </c>
      <c r="H118" s="241">
        <f>'Calc tab'!H114</f>
        <v/>
      </c>
      <c r="I118" s="241">
        <f>'Calc tab'!I114</f>
        <v/>
      </c>
      <c r="J118" s="241">
        <f>'Calc tab'!J114</f>
        <v/>
      </c>
      <c r="K118" s="241">
        <f>'Calc tab'!K114</f>
        <v/>
      </c>
      <c r="L118" s="241">
        <f>'Calc tab'!L114</f>
        <v/>
      </c>
      <c r="M118" s="241">
        <f>'Calc tab'!M114</f>
        <v/>
      </c>
      <c r="N118" s="241">
        <f>'Calc tab'!N114</f>
        <v/>
      </c>
      <c r="O118" s="241">
        <f>'Calc tab'!O114</f>
        <v/>
      </c>
      <c r="P118" s="241">
        <f>'Calc tab'!P114</f>
        <v/>
      </c>
      <c r="Q118" s="241">
        <f>'Calc tab'!Q114</f>
        <v/>
      </c>
      <c r="R118" s="241">
        <f>'Calc tab'!R114</f>
        <v/>
      </c>
      <c r="S118" s="241">
        <f>'Calc tab'!S114</f>
        <v/>
      </c>
      <c r="T118" s="241">
        <f>'Calc tab'!T114</f>
        <v/>
      </c>
      <c r="U118" s="241">
        <f>'Calc tab'!U114</f>
        <v/>
      </c>
      <c r="V118" s="241">
        <f>'Calc tab'!V114</f>
        <v/>
      </c>
      <c r="W118" s="241">
        <f>'Calc tab'!W114</f>
        <v/>
      </c>
      <c r="X118" s="241">
        <f>'Calc tab'!X114</f>
        <v/>
      </c>
      <c r="Y118" s="241">
        <f>'Calc tab'!Y114</f>
        <v/>
      </c>
      <c r="Z118" s="241">
        <f>'Calc tab'!Z114</f>
        <v/>
      </c>
      <c r="AA118" s="241">
        <f>'Calc tab'!AA114</f>
        <v/>
      </c>
      <c r="AB118" s="241">
        <f>'Calc tab'!AB114</f>
        <v/>
      </c>
      <c r="AC118" s="241">
        <f>'Calc tab'!AC114</f>
        <v/>
      </c>
      <c r="AD118" s="241">
        <f>'Calc tab'!AD114</f>
        <v/>
      </c>
      <c r="AE118" s="244">
        <f>'Calc tab'!AE114</f>
        <v/>
      </c>
      <c r="AF118" s="394" t="n"/>
      <c r="AG118" s="394" t="n"/>
      <c r="AH118" s="830" t="n"/>
    </row>
    <row r="119" customFormat="1" s="194">
      <c r="A119" s="394">
        <f>'Calc tab'!A115</f>
        <v/>
      </c>
      <c r="B119" s="241">
        <f>'Calc tab'!B115</f>
        <v/>
      </c>
      <c r="C119" s="241">
        <f>'Calc tab'!C115</f>
        <v/>
      </c>
      <c r="D119" s="241">
        <f>'Calc tab'!D115</f>
        <v/>
      </c>
      <c r="E119" s="241">
        <f>'Calc tab'!E115</f>
        <v/>
      </c>
      <c r="F119" s="241">
        <f>'Calc tab'!F115</f>
        <v/>
      </c>
      <c r="G119" s="241">
        <f>'Calc tab'!G115</f>
        <v/>
      </c>
      <c r="H119" s="241">
        <f>'Calc tab'!H115</f>
        <v/>
      </c>
      <c r="I119" s="241">
        <f>'Calc tab'!I115</f>
        <v/>
      </c>
      <c r="J119" s="241">
        <f>'Calc tab'!J115</f>
        <v/>
      </c>
      <c r="K119" s="241">
        <f>'Calc tab'!K115</f>
        <v/>
      </c>
      <c r="L119" s="241">
        <f>'Calc tab'!L115</f>
        <v/>
      </c>
      <c r="M119" s="241">
        <f>'Calc tab'!M115</f>
        <v/>
      </c>
      <c r="N119" s="241">
        <f>'Calc tab'!N115</f>
        <v/>
      </c>
      <c r="O119" s="241">
        <f>'Calc tab'!O115</f>
        <v/>
      </c>
      <c r="P119" s="241">
        <f>'Calc tab'!P115</f>
        <v/>
      </c>
      <c r="Q119" s="241">
        <f>'Calc tab'!Q115</f>
        <v/>
      </c>
      <c r="R119" s="241">
        <f>'Calc tab'!R115</f>
        <v/>
      </c>
      <c r="S119" s="241">
        <f>'Calc tab'!S115</f>
        <v/>
      </c>
      <c r="T119" s="241">
        <f>'Calc tab'!T115</f>
        <v/>
      </c>
      <c r="U119" s="241">
        <f>'Calc tab'!U115</f>
        <v/>
      </c>
      <c r="V119" s="241">
        <f>'Calc tab'!V115</f>
        <v/>
      </c>
      <c r="W119" s="241">
        <f>'Calc tab'!W115</f>
        <v/>
      </c>
      <c r="X119" s="241">
        <f>'Calc tab'!X115</f>
        <v/>
      </c>
      <c r="Y119" s="241">
        <f>'Calc tab'!Y115</f>
        <v/>
      </c>
      <c r="Z119" s="241">
        <f>'Calc tab'!Z115</f>
        <v/>
      </c>
      <c r="AA119" s="241">
        <f>'Calc tab'!AA115</f>
        <v/>
      </c>
      <c r="AB119" s="241">
        <f>'Calc tab'!AB115</f>
        <v/>
      </c>
      <c r="AC119" s="241">
        <f>'Calc tab'!AC115</f>
        <v/>
      </c>
      <c r="AD119" s="241">
        <f>'Calc tab'!AD115</f>
        <v/>
      </c>
      <c r="AE119" s="244">
        <f>'Calc tab'!AE115</f>
        <v/>
      </c>
      <c r="AF119" s="394" t="n"/>
      <c r="AG119" s="394" t="n"/>
      <c r="AH119" s="830" t="n"/>
    </row>
    <row r="120" ht="30" customFormat="1" customHeight="1" s="194">
      <c r="A120" s="394">
        <f>'Calc tab'!A116</f>
        <v/>
      </c>
      <c r="B120" s="241">
        <f>'Calc tab'!B116</f>
        <v/>
      </c>
      <c r="C120" s="241">
        <f>'Calc tab'!C116</f>
        <v/>
      </c>
      <c r="D120" s="241">
        <f>'Calc tab'!D116</f>
        <v/>
      </c>
      <c r="E120" s="241">
        <f>'Calc tab'!E116</f>
        <v/>
      </c>
      <c r="F120" s="241">
        <f>'Calc tab'!F116</f>
        <v/>
      </c>
      <c r="G120" s="241">
        <f>'Calc tab'!G116</f>
        <v/>
      </c>
      <c r="H120" s="241">
        <f>'Calc tab'!H116</f>
        <v/>
      </c>
      <c r="I120" s="241">
        <f>'Calc tab'!I116</f>
        <v/>
      </c>
      <c r="J120" s="241">
        <f>'Calc tab'!J116</f>
        <v/>
      </c>
      <c r="K120" s="241">
        <f>'Calc tab'!K116</f>
        <v/>
      </c>
      <c r="L120" s="241">
        <f>'Calc tab'!L116</f>
        <v/>
      </c>
      <c r="M120" s="241">
        <f>'Calc tab'!M116</f>
        <v/>
      </c>
      <c r="N120" s="241">
        <f>'Calc tab'!N116</f>
        <v/>
      </c>
      <c r="O120" s="241">
        <f>'Calc tab'!O116</f>
        <v/>
      </c>
      <c r="P120" s="241">
        <f>'Calc tab'!P116</f>
        <v/>
      </c>
      <c r="Q120" s="241">
        <f>'Calc tab'!Q116</f>
        <v/>
      </c>
      <c r="R120" s="241">
        <f>'Calc tab'!R116</f>
        <v/>
      </c>
      <c r="S120" s="241">
        <f>'Calc tab'!S116</f>
        <v/>
      </c>
      <c r="T120" s="241">
        <f>'Calc tab'!T116</f>
        <v/>
      </c>
      <c r="U120" s="241">
        <f>'Calc tab'!U116</f>
        <v/>
      </c>
      <c r="V120" s="241">
        <f>'Calc tab'!V116</f>
        <v/>
      </c>
      <c r="W120" s="241">
        <f>'Calc tab'!W116</f>
        <v/>
      </c>
      <c r="X120" s="241">
        <f>'Calc tab'!X116</f>
        <v/>
      </c>
      <c r="Y120" s="241">
        <f>'Calc tab'!Y116</f>
        <v/>
      </c>
      <c r="Z120" s="241">
        <f>'Calc tab'!Z116</f>
        <v/>
      </c>
      <c r="AA120" s="241">
        <f>'Calc tab'!AA116</f>
        <v/>
      </c>
      <c r="AB120" s="241">
        <f>'Calc tab'!AB116</f>
        <v/>
      </c>
      <c r="AC120" s="241">
        <f>'Calc tab'!AC116</f>
        <v/>
      </c>
      <c r="AD120" s="241">
        <f>'Calc tab'!AD116</f>
        <v/>
      </c>
      <c r="AE120" s="244">
        <f>'Calc tab'!AE116</f>
        <v/>
      </c>
      <c r="AF120" s="394" t="n"/>
      <c r="AG120" s="394" t="n"/>
      <c r="AH120" s="830" t="n"/>
    </row>
    <row r="121" ht="30" customFormat="1" customHeight="1" s="194">
      <c r="A121" s="394">
        <f>'Calc tab'!A117</f>
        <v/>
      </c>
      <c r="B121" s="241">
        <f>'Calc tab'!B117</f>
        <v/>
      </c>
      <c r="C121" s="241">
        <f>'Calc tab'!C117</f>
        <v/>
      </c>
      <c r="D121" s="241">
        <f>'Calc tab'!D117</f>
        <v/>
      </c>
      <c r="E121" s="241">
        <f>'Calc tab'!E117</f>
        <v/>
      </c>
      <c r="F121" s="241">
        <f>'Calc tab'!F117</f>
        <v/>
      </c>
      <c r="G121" s="241">
        <f>'Calc tab'!G117</f>
        <v/>
      </c>
      <c r="H121" s="241">
        <f>'Calc tab'!H117</f>
        <v/>
      </c>
      <c r="I121" s="241">
        <f>'Calc tab'!I117</f>
        <v/>
      </c>
      <c r="J121" s="241">
        <f>'Calc tab'!J117</f>
        <v/>
      </c>
      <c r="K121" s="241">
        <f>'Calc tab'!K117</f>
        <v/>
      </c>
      <c r="L121" s="241">
        <f>'Calc tab'!L117</f>
        <v/>
      </c>
      <c r="M121" s="241">
        <f>'Calc tab'!M117</f>
        <v/>
      </c>
      <c r="N121" s="241">
        <f>'Calc tab'!N117</f>
        <v/>
      </c>
      <c r="O121" s="241">
        <f>'Calc tab'!O117</f>
        <v/>
      </c>
      <c r="P121" s="241">
        <f>'Calc tab'!P117</f>
        <v/>
      </c>
      <c r="Q121" s="241">
        <f>'Calc tab'!Q117</f>
        <v/>
      </c>
      <c r="R121" s="241">
        <f>'Calc tab'!R117</f>
        <v/>
      </c>
      <c r="S121" s="241">
        <f>'Calc tab'!S117</f>
        <v/>
      </c>
      <c r="T121" s="241">
        <f>'Calc tab'!T117</f>
        <v/>
      </c>
      <c r="U121" s="241">
        <f>'Calc tab'!U117</f>
        <v/>
      </c>
      <c r="V121" s="241">
        <f>'Calc tab'!V117</f>
        <v/>
      </c>
      <c r="W121" s="241">
        <f>'Calc tab'!W117</f>
        <v/>
      </c>
      <c r="X121" s="241">
        <f>'Calc tab'!X117</f>
        <v/>
      </c>
      <c r="Y121" s="241">
        <f>'Calc tab'!Y117</f>
        <v/>
      </c>
      <c r="Z121" s="241">
        <f>'Calc tab'!Z117</f>
        <v/>
      </c>
      <c r="AA121" s="241">
        <f>'Calc tab'!AA117</f>
        <v/>
      </c>
      <c r="AB121" s="241">
        <f>'Calc tab'!AB117</f>
        <v/>
      </c>
      <c r="AC121" s="241">
        <f>'Calc tab'!AC117</f>
        <v/>
      </c>
      <c r="AD121" s="241">
        <f>'Calc tab'!AD117</f>
        <v/>
      </c>
      <c r="AE121" s="244">
        <f>'Calc tab'!AE117</f>
        <v/>
      </c>
      <c r="AF121" s="394" t="n"/>
      <c r="AG121" s="394" t="n"/>
      <c r="AH121" s="830" t="n"/>
    </row>
    <row r="122" ht="30" customFormat="1" customHeight="1" s="194">
      <c r="A122" s="394">
        <f>'Calc tab'!A118</f>
        <v/>
      </c>
      <c r="B122" s="241">
        <f>'Calc tab'!B118</f>
        <v/>
      </c>
      <c r="C122" s="241">
        <f>'Calc tab'!C118</f>
        <v/>
      </c>
      <c r="D122" s="241">
        <f>'Calc tab'!D118</f>
        <v/>
      </c>
      <c r="E122" s="241">
        <f>'Calc tab'!E118</f>
        <v/>
      </c>
      <c r="F122" s="241">
        <f>'Calc tab'!F118</f>
        <v/>
      </c>
      <c r="G122" s="241">
        <f>'Calc tab'!G118</f>
        <v/>
      </c>
      <c r="H122" s="241">
        <f>'Calc tab'!H118</f>
        <v/>
      </c>
      <c r="I122" s="241">
        <f>'Calc tab'!I118</f>
        <v/>
      </c>
      <c r="J122" s="241">
        <f>'Calc tab'!J118</f>
        <v/>
      </c>
      <c r="K122" s="241">
        <f>'Calc tab'!K118</f>
        <v/>
      </c>
      <c r="L122" s="241">
        <f>'Calc tab'!L118</f>
        <v/>
      </c>
      <c r="M122" s="241">
        <f>'Calc tab'!M118</f>
        <v/>
      </c>
      <c r="N122" s="241">
        <f>'Calc tab'!N118</f>
        <v/>
      </c>
      <c r="O122" s="241">
        <f>'Calc tab'!O118</f>
        <v/>
      </c>
      <c r="P122" s="241">
        <f>'Calc tab'!P118</f>
        <v/>
      </c>
      <c r="Q122" s="241">
        <f>'Calc tab'!Q118</f>
        <v/>
      </c>
      <c r="R122" s="241">
        <f>'Calc tab'!R118</f>
        <v/>
      </c>
      <c r="S122" s="241">
        <f>'Calc tab'!S118</f>
        <v/>
      </c>
      <c r="T122" s="241">
        <f>'Calc tab'!T118</f>
        <v/>
      </c>
      <c r="U122" s="241">
        <f>'Calc tab'!U118</f>
        <v/>
      </c>
      <c r="V122" s="241">
        <f>'Calc tab'!V118</f>
        <v/>
      </c>
      <c r="W122" s="241">
        <f>'Calc tab'!W118</f>
        <v/>
      </c>
      <c r="X122" s="241">
        <f>'Calc tab'!X118</f>
        <v/>
      </c>
      <c r="Y122" s="241">
        <f>'Calc tab'!Y118</f>
        <v/>
      </c>
      <c r="Z122" s="241">
        <f>'Calc tab'!Z118</f>
        <v/>
      </c>
      <c r="AA122" s="241">
        <f>'Calc tab'!AA118</f>
        <v/>
      </c>
      <c r="AB122" s="241">
        <f>'Calc tab'!AB118</f>
        <v/>
      </c>
      <c r="AC122" s="241">
        <f>'Calc tab'!AC118</f>
        <v/>
      </c>
      <c r="AD122" s="241">
        <f>'Calc tab'!AD118</f>
        <v/>
      </c>
      <c r="AE122" s="244">
        <f>'Calc tab'!AE118</f>
        <v/>
      </c>
      <c r="AF122" s="394" t="n"/>
      <c r="AG122" s="394" t="n"/>
      <c r="AH122" s="830" t="n"/>
    </row>
    <row r="123" ht="30" customFormat="1" customHeight="1" s="194">
      <c r="A123" s="394">
        <f>'Calc tab'!A119</f>
        <v/>
      </c>
      <c r="B123" s="241">
        <f>'Calc tab'!B119</f>
        <v/>
      </c>
      <c r="C123" s="241">
        <f>'Calc tab'!C119</f>
        <v/>
      </c>
      <c r="D123" s="241">
        <f>'Calc tab'!D119</f>
        <v/>
      </c>
      <c r="E123" s="241">
        <f>'Calc tab'!E119</f>
        <v/>
      </c>
      <c r="F123" s="241">
        <f>'Calc tab'!F119</f>
        <v/>
      </c>
      <c r="G123" s="241">
        <f>'Calc tab'!G119</f>
        <v/>
      </c>
      <c r="H123" s="241">
        <f>'Calc tab'!H119</f>
        <v/>
      </c>
      <c r="I123" s="241">
        <f>'Calc tab'!I119</f>
        <v/>
      </c>
      <c r="J123" s="241">
        <f>'Calc tab'!J119</f>
        <v/>
      </c>
      <c r="K123" s="241">
        <f>'Calc tab'!K119</f>
        <v/>
      </c>
      <c r="L123" s="241">
        <f>'Calc tab'!L119</f>
        <v/>
      </c>
      <c r="M123" s="241">
        <f>'Calc tab'!M119</f>
        <v/>
      </c>
      <c r="N123" s="241">
        <f>'Calc tab'!N119</f>
        <v/>
      </c>
      <c r="O123" s="241">
        <f>'Calc tab'!O119</f>
        <v/>
      </c>
      <c r="P123" s="241">
        <f>'Calc tab'!P119</f>
        <v/>
      </c>
      <c r="Q123" s="241">
        <f>'Calc tab'!Q119</f>
        <v/>
      </c>
      <c r="R123" s="241">
        <f>'Calc tab'!R119</f>
        <v/>
      </c>
      <c r="S123" s="241">
        <f>'Calc tab'!S119</f>
        <v/>
      </c>
      <c r="T123" s="241">
        <f>'Calc tab'!T119</f>
        <v/>
      </c>
      <c r="U123" s="241">
        <f>'Calc tab'!U119</f>
        <v/>
      </c>
      <c r="V123" s="241">
        <f>'Calc tab'!V119</f>
        <v/>
      </c>
      <c r="W123" s="241">
        <f>'Calc tab'!W119</f>
        <v/>
      </c>
      <c r="X123" s="241">
        <f>'Calc tab'!X119</f>
        <v/>
      </c>
      <c r="Y123" s="241">
        <f>'Calc tab'!Y119</f>
        <v/>
      </c>
      <c r="Z123" s="241">
        <f>'Calc tab'!Z119</f>
        <v/>
      </c>
      <c r="AA123" s="241">
        <f>'Calc tab'!AA119</f>
        <v/>
      </c>
      <c r="AB123" s="241">
        <f>'Calc tab'!AB119</f>
        <v/>
      </c>
      <c r="AC123" s="241">
        <f>'Calc tab'!AC119</f>
        <v/>
      </c>
      <c r="AD123" s="241">
        <f>'Calc tab'!AD119</f>
        <v/>
      </c>
      <c r="AE123" s="244">
        <f>'Calc tab'!AE119</f>
        <v/>
      </c>
      <c r="AF123" s="394" t="n"/>
      <c r="AG123" s="394" t="n"/>
      <c r="AH123" s="830" t="n"/>
    </row>
    <row r="124" ht="30" customFormat="1" customHeight="1" s="194">
      <c r="A124" s="394">
        <f>'Calc tab'!A120</f>
        <v/>
      </c>
      <c r="B124" s="241">
        <f>'Calc tab'!B120</f>
        <v/>
      </c>
      <c r="C124" s="241">
        <f>'Calc tab'!C120</f>
        <v/>
      </c>
      <c r="D124" s="241">
        <f>'Calc tab'!D120</f>
        <v/>
      </c>
      <c r="E124" s="241">
        <f>'Calc tab'!E120</f>
        <v/>
      </c>
      <c r="F124" s="241">
        <f>'Calc tab'!F120</f>
        <v/>
      </c>
      <c r="G124" s="241">
        <f>'Calc tab'!G120</f>
        <v/>
      </c>
      <c r="H124" s="241">
        <f>'Calc tab'!H120</f>
        <v/>
      </c>
      <c r="I124" s="241">
        <f>'Calc tab'!I120</f>
        <v/>
      </c>
      <c r="J124" s="241">
        <f>'Calc tab'!J120</f>
        <v/>
      </c>
      <c r="K124" s="241">
        <f>'Calc tab'!K120</f>
        <v/>
      </c>
      <c r="L124" s="241">
        <f>'Calc tab'!L120</f>
        <v/>
      </c>
      <c r="M124" s="241">
        <f>'Calc tab'!M120</f>
        <v/>
      </c>
      <c r="N124" s="241">
        <f>'Calc tab'!N120</f>
        <v/>
      </c>
      <c r="O124" s="241">
        <f>'Calc tab'!O120</f>
        <v/>
      </c>
      <c r="P124" s="241">
        <f>'Calc tab'!P120</f>
        <v/>
      </c>
      <c r="Q124" s="241">
        <f>'Calc tab'!Q120</f>
        <v/>
      </c>
      <c r="R124" s="241">
        <f>'Calc tab'!R120</f>
        <v/>
      </c>
      <c r="S124" s="241">
        <f>'Calc tab'!S120</f>
        <v/>
      </c>
      <c r="T124" s="241">
        <f>'Calc tab'!T120</f>
        <v/>
      </c>
      <c r="U124" s="241">
        <f>'Calc tab'!U120</f>
        <v/>
      </c>
      <c r="V124" s="241">
        <f>'Calc tab'!V120</f>
        <v/>
      </c>
      <c r="W124" s="241">
        <f>'Calc tab'!W120</f>
        <v/>
      </c>
      <c r="X124" s="241">
        <f>'Calc tab'!X120</f>
        <v/>
      </c>
      <c r="Y124" s="241">
        <f>'Calc tab'!Y120</f>
        <v/>
      </c>
      <c r="Z124" s="241">
        <f>'Calc tab'!Z120</f>
        <v/>
      </c>
      <c r="AA124" s="241">
        <f>'Calc tab'!AA120</f>
        <v/>
      </c>
      <c r="AB124" s="241">
        <f>'Calc tab'!AB120</f>
        <v/>
      </c>
      <c r="AC124" s="241">
        <f>'Calc tab'!AC120</f>
        <v/>
      </c>
      <c r="AD124" s="241">
        <f>'Calc tab'!AD120</f>
        <v/>
      </c>
      <c r="AE124" s="244">
        <f>'Calc tab'!AE120</f>
        <v/>
      </c>
      <c r="AF124" s="394" t="n"/>
      <c r="AG124" s="394" t="n"/>
      <c r="AH124" s="830" t="n"/>
    </row>
    <row r="125" ht="30" customFormat="1" customHeight="1" s="194">
      <c r="A125" s="398">
        <f>'Calc tab'!A121</f>
        <v/>
      </c>
      <c r="B125" s="242">
        <f>'Calc tab'!B121</f>
        <v/>
      </c>
      <c r="C125" s="242">
        <f>'Calc tab'!C121</f>
        <v/>
      </c>
      <c r="D125" s="242">
        <f>'Calc tab'!D121</f>
        <v/>
      </c>
      <c r="E125" s="242">
        <f>'Calc tab'!E121</f>
        <v/>
      </c>
      <c r="F125" s="242">
        <f>'Calc tab'!F121</f>
        <v/>
      </c>
      <c r="G125" s="242">
        <f>'Calc tab'!G121</f>
        <v/>
      </c>
      <c r="H125" s="242">
        <f>'Calc tab'!H121</f>
        <v/>
      </c>
      <c r="I125" s="242">
        <f>'Calc tab'!I121</f>
        <v/>
      </c>
      <c r="J125" s="242">
        <f>'Calc tab'!J121</f>
        <v/>
      </c>
      <c r="K125" s="242">
        <f>'Calc tab'!K121</f>
        <v/>
      </c>
      <c r="L125" s="242">
        <f>'Calc tab'!L121</f>
        <v/>
      </c>
      <c r="M125" s="242">
        <f>'Calc tab'!M121</f>
        <v/>
      </c>
      <c r="N125" s="242">
        <f>'Calc tab'!N121</f>
        <v/>
      </c>
      <c r="O125" s="242">
        <f>'Calc tab'!O121</f>
        <v/>
      </c>
      <c r="P125" s="242">
        <f>'Calc tab'!P121</f>
        <v/>
      </c>
      <c r="Q125" s="242">
        <f>'Calc tab'!Q121</f>
        <v/>
      </c>
      <c r="R125" s="242">
        <f>'Calc tab'!R121</f>
        <v/>
      </c>
      <c r="S125" s="242">
        <f>'Calc tab'!S121</f>
        <v/>
      </c>
      <c r="T125" s="242">
        <f>'Calc tab'!T121</f>
        <v/>
      </c>
      <c r="U125" s="242">
        <f>'Calc tab'!U121</f>
        <v/>
      </c>
      <c r="V125" s="242">
        <f>'Calc tab'!V121</f>
        <v/>
      </c>
      <c r="W125" s="242">
        <f>'Calc tab'!W121</f>
        <v/>
      </c>
      <c r="X125" s="242">
        <f>'Calc tab'!X121</f>
        <v/>
      </c>
      <c r="Y125" s="242">
        <f>'Calc tab'!Y121</f>
        <v/>
      </c>
      <c r="Z125" s="242">
        <f>'Calc tab'!Z121</f>
        <v/>
      </c>
      <c r="AA125" s="242">
        <f>'Calc tab'!AA121</f>
        <v/>
      </c>
      <c r="AB125" s="242">
        <f>'Calc tab'!AB121</f>
        <v/>
      </c>
      <c r="AC125" s="242">
        <f>'Calc tab'!AC121</f>
        <v/>
      </c>
      <c r="AD125" s="242">
        <f>'Calc tab'!AD121</f>
        <v/>
      </c>
      <c r="AE125" s="245">
        <f>'Calc tab'!AE121</f>
        <v/>
      </c>
      <c r="AF125" s="394" t="n"/>
      <c r="AG125" s="394" t="n"/>
      <c r="AH125" s="830" t="n"/>
    </row>
  </sheetData>
  <pageMargins left="0.2" right="0.2" top="0.25" bottom="0.25" header="0.05" footer="0.05"/>
  <pageSetup orientation="landscape" scale="52" fitToWidth="0"/>
  <headerFooter>
    <oddHeader/>
    <oddFooter>&amp;RPage &amp;P of &amp;N</oddFooter>
    <evenHeader/>
    <evenFooter/>
    <firstHeader/>
    <firstFooter/>
  </headerFooter>
  <colBreaks count="3" manualBreakCount="3">
    <brk id="12" min="5" max="107" man="1"/>
    <brk id="21" min="5" max="107" man="1"/>
    <brk id="30" min="5" max="107" man="1"/>
  </colBreaks>
</worksheet>
</file>

<file path=xl/worksheets/sheet17.xml><?xml version="1.0" encoding="utf-8"?>
<worksheet xmlns="http://schemas.openxmlformats.org/spreadsheetml/2006/main">
  <sheetPr>
    <tabColor rgb="FF00B0F0"/>
    <outlinePr summaryBelow="1" summaryRight="1"/>
    <pageSetUpPr fitToPage="1"/>
  </sheetPr>
  <dimension ref="A1:K42"/>
  <sheetViews>
    <sheetView workbookViewId="0">
      <selection activeCell="R8" sqref="R8"/>
    </sheetView>
  </sheetViews>
  <sheetFormatPr baseColWidth="8" defaultColWidth="8.85546875" defaultRowHeight="12.75"/>
  <cols>
    <col width="8.5703125" customWidth="1" style="742" min="1" max="1"/>
    <col width="10.140625" customWidth="1" style="742" min="2" max="2"/>
    <col width="8.85546875" customWidth="1" style="742" min="3" max="9"/>
    <col width="9.85546875" customWidth="1" style="742" min="10" max="10"/>
    <col width="3.28515625" customWidth="1" style="742" min="11" max="11"/>
    <col width="3.42578125" customWidth="1" style="742" min="12" max="12"/>
    <col width="8.85546875" customWidth="1" style="742" min="13" max="19"/>
    <col width="8.85546875" customWidth="1" style="742" min="20" max="16384"/>
  </cols>
  <sheetData>
    <row r="1" ht="23.25" customHeight="1" s="685">
      <c r="A1" s="587" t="inlineStr">
        <is>
          <t>Appendix</t>
        </is>
      </c>
    </row>
    <row r="2" ht="23.25" customHeight="1" s="685">
      <c r="A2" s="589" t="inlineStr">
        <is>
          <t>SCALE CECL Model</t>
        </is>
      </c>
      <c r="B2" s="590" t="n"/>
      <c r="C2" s="590" t="n"/>
      <c r="D2" s="590" t="n"/>
      <c r="E2" s="590" t="n"/>
      <c r="F2" s="590" t="n"/>
      <c r="G2" s="590" t="n"/>
      <c r="H2" s="590" t="n"/>
      <c r="I2" s="590" t="n"/>
      <c r="J2" s="590" t="n"/>
      <c r="K2" s="590" t="n"/>
    </row>
    <row r="3" ht="62.25" customHeight="1" s="685">
      <c r="A3" s="741" t="inlineStr">
        <is>
          <t xml:space="preserve">This report explains the anticipated loan loss exposure to the credit union using the Scaled CECL Allowance for Losses Estimator (SCALE).  A credit union’s allowance account is directly related to the risk of loss resulting from non-performing loans in the portfolio.  Because of this relationship, it is critical that a credit union accurately identify risk and allow for that risk in its financial statements. </t>
        </is>
      </c>
    </row>
    <row r="4">
      <c r="A4" s="591" t="n"/>
      <c r="B4" s="591" t="n"/>
      <c r="C4" s="591" t="n"/>
      <c r="D4" s="591" t="n"/>
      <c r="E4" s="591" t="n"/>
      <c r="F4" s="591" t="n"/>
      <c r="G4" s="591" t="n"/>
      <c r="H4" s="591" t="n"/>
      <c r="I4" s="591" t="n"/>
      <c r="J4" s="591" t="n"/>
    </row>
    <row r="5" ht="15.75" customHeight="1" s="685">
      <c r="A5" s="741" t="inlineStr">
        <is>
          <t>In a Policy Guidance Statement from 2006 the Office of Comptroller of the Currency stated:</t>
        </is>
      </c>
    </row>
    <row r="6">
      <c r="A6" s="591" t="n"/>
      <c r="B6" s="591" t="n"/>
      <c r="C6" s="591" t="n"/>
      <c r="D6" s="591" t="n"/>
      <c r="E6" s="591" t="n"/>
      <c r="F6" s="591" t="n"/>
      <c r="G6" s="591" t="n"/>
      <c r="H6" s="591" t="n"/>
      <c r="I6" s="591" t="n"/>
      <c r="J6" s="591" t="n"/>
    </row>
    <row r="7" ht="124.5" customHeight="1" s="685">
      <c r="A7" s="592" t="n"/>
      <c r="B7" s="741" t="inlineStr">
        <is>
          <t>“The ALLL represents one of the most significant estimates in an institution's financial statements and regulatory reports. Because of its significance, each institution has a responsibility for developing, maintaining, and documenting a comprehensive, systematic, and consistently applied process for determining the amounts of the ALLL and the provision for loan and lease losses (PLLL). 
To fulfill this responsibility, each institution should ensure controls are in place to consistently determine the ALLL in accordance with GAAP, the institution's stated policies and procedures, management's best judgment and relevant supervisory guidance.”</t>
        </is>
      </c>
    </row>
    <row r="8">
      <c r="A8" s="591" t="n"/>
      <c r="B8" s="591" t="n"/>
      <c r="C8" s="591" t="n"/>
      <c r="D8" s="591" t="n"/>
      <c r="E8" s="591" t="n"/>
      <c r="F8" s="591" t="n"/>
      <c r="G8" s="591" t="n"/>
      <c r="H8" s="591" t="n"/>
      <c r="I8" s="591" t="n"/>
      <c r="J8" s="591" t="n"/>
    </row>
    <row r="9" ht="77.25" customHeight="1" s="685">
      <c r="A9" s="741" t="inlineStr">
        <is>
          <t>For financial institutions adopting the CECL methodology, an Allowance for Credit Losses (ACL) for loans replaces the former Allowance for Loan and Lease Losses (ALLL) referenced by the OCC.  Both methodologies provide for an estimate of uncollectible amounts maintained through a valuation account adjusted through charges to operating income. The measurement framework and conceptual basis supporting an ACL differ, however, from those of the allowance for loan and lease losses.</t>
        </is>
      </c>
    </row>
    <row r="10">
      <c r="A10" s="591" t="n"/>
      <c r="B10" s="591" t="n"/>
      <c r="C10" s="591" t="n"/>
      <c r="D10" s="591" t="n"/>
      <c r="E10" s="591" t="n"/>
      <c r="F10" s="591" t="n"/>
      <c r="G10" s="591" t="n"/>
      <c r="H10" s="591" t="n"/>
      <c r="I10" s="591" t="n"/>
      <c r="J10" s="591" t="n"/>
    </row>
    <row r="11" ht="75.75" customHeight="1" s="685">
      <c r="A11" s="741" t="inlineStr">
        <is>
          <t>The SCALE method is one of the two methodologies offered by TCT Risk Solutions for calculating an estimate of uncollectible amounts in the loan portfolio.  It was originally introduced by the Federal Reserve as a simplified application for banks.  TCT has adapted this model with components of the WARM methodology to create a simple, yet statistically valid method of estimating anticipated loss in the loan portfolio.</t>
        </is>
      </c>
    </row>
    <row r="12">
      <c r="A12" s="591" t="n"/>
      <c r="B12" s="591" t="n"/>
      <c r="C12" s="591" t="n"/>
      <c r="D12" s="591" t="n"/>
      <c r="E12" s="591" t="n"/>
      <c r="F12" s="591" t="n"/>
      <c r="G12" s="591" t="n"/>
      <c r="H12" s="591" t="n"/>
      <c r="I12" s="591" t="n"/>
      <c r="J12" s="591" t="n"/>
    </row>
    <row r="13" ht="78" customHeight="1" s="685">
      <c r="A13" s="741" t="inlineStr">
        <is>
          <t>Under CECL, ACLs are estimates of the expected credit losses on financial assets measured at amortized cost, which is measured using relevant information about past events, including historical credit loss experience on financial assets with similar risk characteristics, current conditions, and reasonable and supportable forecasts that affect the collectability of the remaining cash flows over the contractual term of the financial assets.</t>
        </is>
      </c>
    </row>
    <row r="14">
      <c r="A14" s="591" t="n"/>
      <c r="B14" s="591" t="n"/>
      <c r="C14" s="591" t="n"/>
      <c r="D14" s="591" t="n"/>
      <c r="E14" s="591" t="n"/>
      <c r="F14" s="591" t="n"/>
      <c r="G14" s="591" t="n"/>
      <c r="H14" s="591" t="n"/>
      <c r="I14" s="591" t="n"/>
      <c r="J14" s="591" t="n"/>
    </row>
    <row r="15" ht="70.90000000000001" customHeight="1" s="685">
      <c r="A15" s="741" t="inlineStr">
        <is>
          <t>TCT pulls core data from the 5300 to populate the model in order to calculate the ACL.  The credit union provides information relative to individually identified loans to include in the model for calculating the ACL.  Throughout the process TCT relies on input and guidance from Credit Union management.</t>
        </is>
      </c>
    </row>
    <row r="16">
      <c r="A16" s="591" t="n"/>
      <c r="B16" s="591" t="n"/>
      <c r="C16" s="591" t="n"/>
      <c r="D16" s="591" t="n"/>
      <c r="E16" s="591" t="n"/>
      <c r="F16" s="591" t="n"/>
      <c r="G16" s="591" t="n"/>
      <c r="H16" s="591" t="n"/>
      <c r="I16" s="591" t="n"/>
      <c r="J16" s="591" t="n"/>
    </row>
    <row r="17" ht="15.75" customHeight="1" s="685"/>
    <row r="18">
      <c r="A18" s="591" t="n"/>
      <c r="B18" s="591" t="n"/>
      <c r="C18" s="591" t="n"/>
      <c r="D18" s="591" t="n"/>
      <c r="E18" s="591" t="n"/>
      <c r="F18" s="591" t="n"/>
      <c r="G18" s="591" t="n"/>
      <c r="H18" s="591" t="n"/>
      <c r="I18" s="591" t="n"/>
      <c r="J18" s="591" t="n"/>
    </row>
    <row r="19">
      <c r="A19" s="591" t="n"/>
      <c r="B19" s="591" t="n"/>
      <c r="C19" s="591" t="n"/>
      <c r="D19" s="591" t="n"/>
      <c r="E19" s="591" t="n"/>
      <c r="F19" s="591" t="n"/>
      <c r="G19" s="591" t="n"/>
      <c r="H19" s="591" t="n"/>
      <c r="I19" s="591" t="n"/>
      <c r="J19" s="591" t="n"/>
    </row>
    <row r="20">
      <c r="A20" s="593" t="n"/>
      <c r="B20" s="594" t="n"/>
      <c r="J20" s="595" t="n"/>
    </row>
    <row r="21">
      <c r="J21" s="595" t="n"/>
      <c r="K21" s="596" t="n"/>
    </row>
    <row r="26">
      <c r="B26" s="597" t="n"/>
    </row>
    <row r="42">
      <c r="B42" s="591" t="n"/>
    </row>
  </sheetData>
  <mergeCells count="7">
    <mergeCell ref="B7:J7"/>
    <mergeCell ref="A5:J5"/>
    <mergeCell ref="A9:J9"/>
    <mergeCell ref="A3:J3"/>
    <mergeCell ref="A15:J15"/>
    <mergeCell ref="A13:J13"/>
    <mergeCell ref="A11:J11"/>
  </mergeCells>
  <printOptions horizontalCentered="1"/>
  <pageMargins left="0.25" right="0.25" top="0.25" bottom="0.25" header="0.3" footer="0.05"/>
  <pageSetup orientation="portrait"/>
  <headerFooter>
    <oddHeader/>
    <oddFooter>&amp;L&amp;G&amp;C_x000a_&amp;RPage &amp;P of &amp;N</oddFooter>
    <evenHeader/>
    <evenFooter/>
    <firstHeader/>
    <firstFooter/>
  </headerFooter>
</worksheet>
</file>

<file path=xl/worksheets/sheet18.xml><?xml version="1.0" encoding="utf-8"?>
<worksheet xmlns="http://schemas.openxmlformats.org/spreadsheetml/2006/main">
  <sheetPr>
    <tabColor rgb="FF00B0F0"/>
    <outlinePr summaryBelow="1" summaryRight="1"/>
    <pageSetUpPr/>
  </sheetPr>
  <dimension ref="A1:S250"/>
  <sheetViews>
    <sheetView view="pageBreakPreview" zoomScale="60" zoomScaleNormal="100" workbookViewId="0">
      <selection activeCell="I6" sqref="I6"/>
    </sheetView>
  </sheetViews>
  <sheetFormatPr baseColWidth="8" defaultRowHeight="15"/>
  <cols>
    <col width="124.42578125" customWidth="1" style="614" min="1" max="1"/>
  </cols>
  <sheetData>
    <row r="1" ht="18.75" customFormat="1" customHeight="1" s="600">
      <c r="A1" s="598" t="inlineStr">
        <is>
          <t>CECL Allowances for Credit Losses (ACL) Calculation</t>
        </is>
      </c>
      <c r="B1" s="599" t="n"/>
      <c r="C1" s="599" t="n"/>
      <c r="D1" s="599" t="n"/>
      <c r="E1" s="599" t="n"/>
      <c r="F1" s="599" t="n"/>
      <c r="G1" s="599" t="n"/>
      <c r="H1" s="599" t="n"/>
      <c r="I1" s="599" t="n"/>
      <c r="J1" s="599" t="n"/>
      <c r="K1" s="599" t="n"/>
      <c r="L1" s="599" t="n"/>
      <c r="M1" s="599" t="n"/>
      <c r="N1" s="599" t="n"/>
      <c r="O1" s="599" t="n"/>
      <c r="P1" s="599" t="n"/>
      <c r="Q1" s="599" t="n"/>
      <c r="R1" s="599" t="n"/>
      <c r="S1" s="599" t="n"/>
    </row>
    <row r="2" hidden="1" ht="18.75" customFormat="1" customHeight="1" s="600">
      <c r="A2" s="598" t="n"/>
      <c r="B2" s="599" t="n"/>
      <c r="C2" s="599" t="n"/>
      <c r="D2" s="599" t="n"/>
      <c r="E2" s="599" t="n"/>
      <c r="F2" s="599" t="n"/>
      <c r="G2" s="599" t="n"/>
      <c r="H2" s="599" t="n"/>
      <c r="I2" s="599" t="n"/>
      <c r="J2" s="599" t="n"/>
      <c r="K2" s="599" t="n"/>
      <c r="L2" s="599" t="n"/>
      <c r="M2" s="599" t="n"/>
      <c r="N2" s="599" t="n"/>
      <c r="O2" s="599" t="n"/>
      <c r="P2" s="599" t="n"/>
      <c r="Q2" s="599" t="n"/>
      <c r="R2" s="599" t="n"/>
      <c r="S2" s="599" t="n"/>
    </row>
    <row r="3" ht="31.5" customFormat="1" customHeight="1" s="57">
      <c r="A3" s="601" t="inlineStr">
        <is>
          <t>Explanation of ACL Calculation: The calculation of the ACL includes multiple components that create a valid estimate of anticipated losses over the remaining life of loans.</t>
        </is>
      </c>
    </row>
    <row r="4" ht="15.75" customFormat="1" customHeight="1" s="57">
      <c r="A4" s="602" t="n"/>
    </row>
    <row r="5" ht="15.75" customFormat="1" customHeight="1" s="57">
      <c r="A5" s="602" t="inlineStr">
        <is>
          <t xml:space="preserve">Portfolio Segment:  Loans are presented in pools, consistent with the NCUA 5300 Call Report. </t>
        </is>
      </c>
      <c r="B5" s="603" t="n"/>
      <c r="C5" s="603" t="n"/>
      <c r="D5" s="603" t="n"/>
      <c r="E5" s="603" t="n"/>
      <c r="F5" s="603" t="n"/>
      <c r="G5" s="603" t="n"/>
      <c r="H5" s="603" t="n"/>
      <c r="I5" s="603" t="n"/>
      <c r="J5" s="603" t="n"/>
      <c r="K5" s="603" t="n"/>
      <c r="L5" s="603" t="n"/>
      <c r="M5" s="603" t="n"/>
      <c r="N5" s="603" t="n"/>
      <c r="O5" s="603" t="n"/>
      <c r="P5" s="603" t="n"/>
      <c r="Q5" s="603" t="n"/>
      <c r="R5" s="603" t="n"/>
      <c r="S5" s="603" t="n"/>
    </row>
    <row r="6" ht="15.75" customFormat="1" customHeight="1" s="57">
      <c r="A6" s="602" t="n"/>
      <c r="B6" s="603" t="n"/>
      <c r="C6" s="603" t="n"/>
      <c r="D6" s="603" t="n"/>
      <c r="E6" s="603" t="n"/>
      <c r="F6" s="603" t="n"/>
      <c r="G6" s="603" t="n"/>
      <c r="H6" s="603" t="n"/>
      <c r="I6" s="603" t="n"/>
      <c r="J6" s="603" t="n"/>
      <c r="K6" s="603" t="n"/>
      <c r="L6" s="603" t="n"/>
      <c r="M6" s="603" t="n"/>
      <c r="N6" s="603" t="n"/>
      <c r="O6" s="603" t="n"/>
      <c r="P6" s="603" t="n"/>
      <c r="Q6" s="603" t="n"/>
      <c r="R6" s="603" t="n"/>
      <c r="S6" s="603" t="n"/>
    </row>
    <row r="7" ht="31.5" customFormat="1" customHeight="1" s="57">
      <c r="A7" s="602" t="inlineStr">
        <is>
          <t xml:space="preserve">End of Period Loan Balance: Loan balances for each identified pool as shown in the NCUA 5300 Call reports for the most recent quarter. </t>
        </is>
      </c>
      <c r="B7" s="603" t="n"/>
      <c r="C7" s="603" t="n"/>
      <c r="D7" s="603" t="n"/>
      <c r="E7" s="603" t="n"/>
      <c r="F7" s="603" t="n"/>
      <c r="G7" s="603" t="n"/>
      <c r="H7" s="603" t="n"/>
      <c r="I7" s="603" t="n"/>
      <c r="J7" s="603" t="n"/>
      <c r="K7" s="603" t="n"/>
      <c r="L7" s="603" t="n"/>
      <c r="M7" s="603" t="n"/>
      <c r="N7" s="603" t="n"/>
      <c r="O7" s="603" t="n"/>
      <c r="P7" s="603" t="n"/>
      <c r="Q7" s="603" t="n"/>
      <c r="R7" s="603" t="n"/>
      <c r="S7" s="603" t="n"/>
    </row>
    <row r="8" ht="15.75" customFormat="1" customHeight="1" s="57">
      <c r="A8" s="602" t="n"/>
      <c r="B8" s="603" t="n"/>
      <c r="C8" s="603" t="n"/>
      <c r="D8" s="603" t="n"/>
      <c r="E8" s="603" t="n"/>
      <c r="F8" s="603" t="n"/>
      <c r="G8" s="603" t="n"/>
      <c r="H8" s="603" t="n"/>
      <c r="I8" s="603" t="n"/>
      <c r="J8" s="603" t="n"/>
      <c r="K8" s="603" t="n"/>
      <c r="L8" s="603" t="n"/>
      <c r="M8" s="603" t="n"/>
      <c r="N8" s="603" t="n"/>
      <c r="O8" s="603" t="n"/>
      <c r="P8" s="603" t="n"/>
      <c r="Q8" s="603" t="n"/>
      <c r="R8" s="603" t="n"/>
      <c r="S8" s="603" t="n"/>
    </row>
    <row r="9" ht="15.75" customFormat="1" customHeight="1" s="57">
      <c r="A9" s="602" t="inlineStr">
        <is>
          <t xml:space="preserve">Loans Assessed on Individual Basis:  Loans identified by credit union management as deteriorated in credit quality. </t>
        </is>
      </c>
    </row>
    <row r="10" ht="20.45" customFormat="1" customHeight="1" s="57">
      <c r="A10" s="602" t="n"/>
    </row>
    <row r="11" ht="15.75" customFormat="1" customHeight="1" s="57">
      <c r="A11" s="602" t="inlineStr">
        <is>
          <t>Loans Assessed on Pooled Basis:  :  Individually assessed loans are subtracted from each pool from the loan balance.</t>
        </is>
      </c>
      <c r="B11" s="603" t="n"/>
      <c r="C11" s="603" t="n"/>
      <c r="D11" s="603" t="n"/>
      <c r="E11" s="603" t="n"/>
      <c r="F11" s="603" t="n"/>
      <c r="G11" s="603" t="n"/>
      <c r="H11" s="603" t="n"/>
      <c r="I11" s="603" t="n"/>
      <c r="J11" s="603" t="n"/>
      <c r="K11" s="603" t="n"/>
      <c r="L11" s="603" t="n"/>
      <c r="M11" s="603" t="n"/>
      <c r="N11" s="603" t="n"/>
      <c r="O11" s="603" t="n"/>
      <c r="P11" s="603" t="n"/>
      <c r="Q11" s="603" t="n"/>
      <c r="R11" s="603" t="n"/>
      <c r="S11" s="603" t="n"/>
    </row>
    <row r="12" ht="15.75" customFormat="1" customHeight="1" s="57">
      <c r="A12" s="602" t="n"/>
      <c r="B12" s="603" t="n"/>
      <c r="C12" s="603" t="n"/>
      <c r="D12" s="603" t="n"/>
      <c r="E12" s="603" t="n"/>
      <c r="F12" s="603" t="n"/>
      <c r="G12" s="603" t="n"/>
      <c r="H12" s="603" t="n"/>
      <c r="I12" s="603" t="n"/>
      <c r="J12" s="603" t="n"/>
      <c r="K12" s="603" t="n"/>
      <c r="L12" s="603" t="n"/>
      <c r="M12" s="603" t="n"/>
      <c r="N12" s="603" t="n"/>
      <c r="O12" s="603" t="n"/>
      <c r="P12" s="603" t="n"/>
      <c r="Q12" s="603" t="n"/>
      <c r="R12" s="603" t="n"/>
      <c r="S12" s="603" t="n"/>
    </row>
    <row r="13" ht="40.9" customFormat="1" customHeight="1" s="57">
      <c r="A13" s="602" t="inlineStr">
        <is>
          <t xml:space="preserve">CECL ACL Lifetime Loss Rate:  Based on the remaining life of loan for each pool. Total losses for the period are divided by the average balance for the life period. </t>
        </is>
      </c>
      <c r="B13" s="603" t="n"/>
      <c r="C13" s="603" t="n"/>
      <c r="D13" s="603" t="n"/>
      <c r="E13" s="603" t="n"/>
      <c r="F13" s="603" t="n"/>
      <c r="G13" s="603" t="n"/>
      <c r="H13" s="603" t="n"/>
      <c r="I13" s="603" t="n"/>
      <c r="J13" s="603" t="n"/>
      <c r="K13" s="603" t="n"/>
      <c r="L13" s="603" t="n"/>
      <c r="M13" s="603" t="n"/>
      <c r="N13" s="603" t="n"/>
      <c r="O13" s="603" t="n"/>
      <c r="P13" s="603" t="n"/>
      <c r="Q13" s="603" t="n"/>
      <c r="R13" s="603" t="n"/>
      <c r="S13" s="603" t="n"/>
    </row>
    <row r="14" ht="15.75" customFormat="1" customHeight="1" s="57">
      <c r="A14" s="602" t="n"/>
      <c r="B14" s="603" t="n"/>
      <c r="C14" s="603" t="n"/>
      <c r="D14" s="603" t="n"/>
      <c r="E14" s="603" t="n"/>
      <c r="F14" s="603" t="n"/>
      <c r="G14" s="603" t="n"/>
      <c r="H14" s="603" t="n"/>
      <c r="I14" s="603" t="n"/>
      <c r="J14" s="603" t="n"/>
      <c r="K14" s="603" t="n"/>
      <c r="L14" s="603" t="n"/>
      <c r="M14" s="603" t="n"/>
      <c r="N14" s="603" t="n"/>
      <c r="O14" s="603" t="n"/>
      <c r="P14" s="603" t="n"/>
      <c r="Q14" s="603" t="n"/>
      <c r="R14" s="603" t="n"/>
      <c r="S14" s="603" t="n"/>
    </row>
    <row r="15" ht="15.75" customFormat="1" customHeight="1" s="57">
      <c r="A15" s="604" t="inlineStr">
        <is>
          <t xml:space="preserve">Management Adjustment: Adjustments to the loss rates for pools as indicated by management. </t>
        </is>
      </c>
    </row>
    <row r="16" ht="15.75" customFormat="1" customHeight="1" s="57">
      <c r="A16" s="604" t="n"/>
    </row>
    <row r="17" ht="15.75" customFormat="1" customHeight="1" s="57">
      <c r="A17" s="604" t="inlineStr">
        <is>
          <t xml:space="preserve">Life of Loan Loss Rate: The total Lifetime Loss Rate and the Management Adjustments per pool. </t>
        </is>
      </c>
    </row>
    <row r="18" ht="15.75" customFormat="1" customHeight="1" s="57">
      <c r="A18" s="604" t="n"/>
    </row>
    <row r="19" ht="36.22" customFormat="1" customHeight="1" s="57">
      <c r="A19" s="878" t="inlineStr">
        <is>
          <t xml:space="preserve">Base CECL ACL : The loss rate is multiplied times the Loans Assessed on Individual Basis to calculate the base ACL for each pool.  </t>
        </is>
      </c>
    </row>
    <row r="20" ht="15.75" customFormat="1" customHeight="1" s="57">
      <c r="A20" s="602" t="n"/>
    </row>
    <row r="21" ht="40.15" customFormat="1" customHeight="1" s="57">
      <c r="A21" s="602" t="inlineStr">
        <is>
          <t xml:space="preserve">Adjustment for Qualitative Factors:   2 statistically validated Qualitative Factors are included , Advanced Delinquency, &amp; Environmental Stress Score. These factors are detailed in the Environmental Factor Ranges Report.  </t>
        </is>
      </c>
    </row>
    <row r="22" ht="15.75" customFormat="1" customHeight="1" s="57">
      <c r="A22" s="602" t="n"/>
    </row>
    <row r="23" ht="36.22" customFormat="1" customHeight="1" s="57">
      <c r="A23" s="878" t="inlineStr">
        <is>
          <t>Final CECL ACL :  The Adjustment for Qualitative Factors percentage multiplied by the CECL ALC base. The result is added to the base.</t>
        </is>
      </c>
    </row>
    <row r="24" ht="15.75" customFormat="1" customHeight="1" s="57">
      <c r="A24" s="602" t="n"/>
    </row>
    <row r="25" ht="51.97" customFormat="1" customHeight="1" s="57">
      <c r="A25" s="879" t="inlineStr">
        <is>
          <t xml:space="preserve">Management Adjustment-Additional Environmental Factor : Allows management to make a universal portfolio adjustment to the loss rate based on any relevant factors.  The percent factor is multiplied by the total loan portfolio and the resulting amount is added to the ACL. </t>
        </is>
      </c>
    </row>
    <row r="26" ht="15.75" customFormat="1" customHeight="1" s="57">
      <c r="A26" s="602" t="n"/>
    </row>
    <row r="27" ht="31.5" customFormat="1" customHeight="1" s="57">
      <c r="A27" s="606" t="inlineStr">
        <is>
          <t>Expected Losses on Loans Assessed on Individual Basis:  Total of  loans with deteriorated loan quality as assessed using the appropriate method on the Impaired Loans Report.</t>
        </is>
      </c>
    </row>
    <row r="28" ht="15.75" customFormat="1" customHeight="1" s="57">
      <c r="A28" s="602" t="n"/>
    </row>
    <row r="29" ht="15.75" customFormat="1" customHeight="1" s="57">
      <c r="A29" s="604" t="inlineStr">
        <is>
          <t>Total Expected Losses on Loans: Toal loss allowance calculation.</t>
        </is>
      </c>
    </row>
    <row r="30" ht="15.75" customFormat="1" customHeight="1" s="57">
      <c r="A30" s="604" t="n"/>
    </row>
    <row r="31" ht="15.75" customFormat="1" customHeight="1" s="57">
      <c r="A31" s="604" t="inlineStr">
        <is>
          <t>Current ACL Balance:  The current ACL balance, per the general ledger.</t>
        </is>
      </c>
    </row>
    <row r="32" ht="15.75" customFormat="1" customHeight="1" s="57">
      <c r="A32" s="604" t="n"/>
    </row>
    <row r="33" ht="15.75" customFormat="1" customHeight="1" s="57">
      <c r="A33" s="604" t="inlineStr">
        <is>
          <t>Adjustment:  :  Adjustment to the ACL .</t>
        </is>
      </c>
    </row>
    <row r="34" ht="15.75" customFormat="1" customHeight="1" s="57">
      <c r="A34" s="604" t="n"/>
    </row>
    <row r="35" ht="15.75" customFormat="1" customHeight="1" s="57">
      <c r="A35" s="604" t="inlineStr">
        <is>
          <t xml:space="preserve">ACL/Total Loans: Percentage of total loan portfolio indicated in the ACL. </t>
        </is>
      </c>
    </row>
    <row r="37" ht="18.75" customHeight="1" s="685">
      <c r="A37" s="598" t="inlineStr">
        <is>
          <t>Environmental Factor for PLL</t>
        </is>
      </c>
    </row>
    <row r="38" hidden="1" ht="18.75" customHeight="1" s="685">
      <c r="A38" s="598" t="n"/>
    </row>
    <row r="39" ht="15.75" customHeight="1" s="685">
      <c r="A39" s="607" t="inlineStr">
        <is>
          <t xml:space="preserve">Discussion of Environmental Factor </t>
        </is>
      </c>
      <c r="B39" s="532" t="n"/>
      <c r="C39" s="532" t="n"/>
      <c r="D39" s="532" t="n"/>
    </row>
    <row r="40" ht="63" customFormat="1" customHeight="1" s="57">
      <c r="A40" s="608" t="inlineStr">
        <is>
          <t xml:space="preserve">The Environmental Factor combines two distinct data sets to calculate the likely variance between the historical loss rate and the anticipated loss rate.  As these two data sets improve the likelihood of loss decreases and as they deteriorate the likelihood of loss increases, hence the need to adjust the pool provision. Statistical tests including regression, MANOVA and Pearson 'R (correlation) were employed to validate each Factor and to establish the ranges.	</t>
        </is>
      </c>
      <c r="B40" s="608" t="n"/>
      <c r="C40" s="608" t="n"/>
      <c r="D40" s="608" t="n"/>
    </row>
    <row r="41" ht="15.75" customFormat="1" customHeight="1" s="57">
      <c r="A41" s="608" t="n"/>
      <c r="B41" s="608" t="n"/>
      <c r="C41" s="608" t="n"/>
      <c r="D41" s="608" t="n"/>
    </row>
    <row r="42" ht="47.25" customFormat="1" customHeight="1" s="57">
      <c r="A42" s="608" t="inlineStr">
        <is>
          <t>GAAP states that “when estimating credit losses on each group of loans with similar risk characteristics, an institution should consider its historical loss experience on the group, adjusted for changes in trends, conditions, and other relevant factors that affect repayment of the loans as of the evaluation date.”</t>
        </is>
      </c>
      <c r="B42" s="608" t="n"/>
      <c r="C42" s="608" t="n"/>
      <c r="D42" s="608" t="n"/>
    </row>
    <row r="43" ht="15.75" customFormat="1" customHeight="1" s="57">
      <c r="A43" s="608" t="n"/>
      <c r="B43" s="608" t="n"/>
      <c r="C43" s="608" t="n"/>
      <c r="D43" s="608" t="n"/>
    </row>
    <row r="44" ht="110.45" customFormat="1" customHeight="1" s="57">
      <c r="A44" s="608" t="inlineStr">
        <is>
          <t>As part of the SCALE methodology, the Environmental Factor, or Q&amp;E, is used to adjust the pooled loan allowance to assure it is representative of current risk. Two measures, identified in the Comptrollers Handbook, (e.g., delinquency and economic stress factor) are correlated to the charge-off history of the credit union, to determine if an adjustment to the pool risk factors are indicated. The two measures are applied to minimize the potential for skewing that could result from a single measure. Using accepted statistical techniques, (e.g., regression, ANOVA and correlation) the extent of the relationship is measured, and the adjustment is applied to the Pooled allowance amount for each grade to arrive at the adjusted allowance amount.</t>
        </is>
      </c>
      <c r="B44" s="608" t="n"/>
      <c r="C44" s="608" t="n"/>
      <c r="D44" s="608" t="n"/>
    </row>
    <row r="45">
      <c r="A45" s="530" t="n"/>
      <c r="B45" s="530" t="n"/>
      <c r="C45" s="530" t="n"/>
      <c r="D45" s="530" t="n"/>
    </row>
    <row r="46" ht="15.75" customHeight="1" s="685">
      <c r="A46" s="609" t="inlineStr">
        <is>
          <t>Delinquency:</t>
        </is>
      </c>
      <c r="B46" s="610" t="n"/>
      <c r="C46" s="610" t="n"/>
      <c r="D46" s="610" t="n"/>
    </row>
    <row r="47" ht="64.15000000000001" customFormat="1" customHeight="1" s="57">
      <c r="A47" s="608" t="inlineStr">
        <is>
          <t>A running history of the Reported Delinquency is pulled and maintained by TCT.  Using this delinquency database, a trend is created to indicate the directionality of credit union past due loans over the indicated Life of Loan period for each pool.  This trend of the Life of Loans DQ rates are compared to the current period DQ rate to determine if the rate is improving or deteriorating.  An improving rate indicates lower risk of loss while a deteriorating rate indicated a higher risk of loss.</t>
        </is>
      </c>
      <c r="B47" s="608" t="n"/>
      <c r="C47" s="608" t="n"/>
      <c r="D47" s="608" t="n"/>
    </row>
    <row r="48">
      <c r="A48" s="729" t="n"/>
      <c r="B48" s="729" t="n"/>
      <c r="C48" s="729" t="n"/>
      <c r="D48" s="729" t="n"/>
    </row>
    <row r="49" ht="15.75" customHeight="1" s="685">
      <c r="A49" s="609" t="inlineStr">
        <is>
          <t xml:space="preserve">Economic Stress Score: </t>
        </is>
      </c>
      <c r="B49" s="610" t="n"/>
      <c r="C49" s="610" t="n"/>
      <c r="D49" s="610" t="n"/>
    </row>
    <row r="50" ht="59.45" customHeight="1" s="685">
      <c r="A50" s="611" t="inlineStr">
        <is>
          <t>Measures the relative impact of the local economy on the historical loss rate.  Calculated using Unemployment Rate, Bankruptcy Percentage, Foreclosure Rates and Population statistics for the State in which the Credit Union is based. The sources of these figures are: *Bureau of Labor Statistics, **ATTOM Foreclosure Rates by State, ***American Bankruptcy Institute.</t>
        </is>
      </c>
      <c r="B50" s="530" t="n"/>
      <c r="C50" s="530" t="n"/>
      <c r="D50" s="530" t="n"/>
    </row>
    <row r="51">
      <c r="A51" s="612" t="n"/>
    </row>
    <row r="52">
      <c r="A52" s="613" t="n"/>
    </row>
    <row r="53">
      <c r="A53" s="613" t="n"/>
    </row>
    <row r="54">
      <c r="A54" s="613" t="n"/>
    </row>
    <row r="55">
      <c r="A55" s="613" t="n"/>
    </row>
    <row r="56">
      <c r="A56" s="613" t="n"/>
    </row>
    <row r="57">
      <c r="A57" s="613" t="n"/>
    </row>
    <row r="58">
      <c r="A58" s="613" t="n"/>
    </row>
    <row r="59">
      <c r="A59" s="613" t="n"/>
    </row>
    <row r="60">
      <c r="A60" s="613" t="n"/>
    </row>
    <row r="61">
      <c r="A61" s="613" t="n"/>
    </row>
    <row r="62">
      <c r="A62" s="613" t="n"/>
    </row>
    <row r="63">
      <c r="A63" s="613" t="n"/>
    </row>
    <row r="64">
      <c r="A64" s="613" t="n"/>
    </row>
    <row r="65">
      <c r="A65" s="613" t="n"/>
    </row>
    <row r="66">
      <c r="A66" s="613" t="n"/>
    </row>
    <row r="67">
      <c r="A67" s="613" t="n"/>
    </row>
    <row r="68">
      <c r="A68" s="613" t="n"/>
    </row>
    <row r="69">
      <c r="A69" s="613" t="n"/>
    </row>
    <row r="70">
      <c r="A70" s="613" t="n"/>
    </row>
    <row r="71">
      <c r="A71" s="613" t="n"/>
    </row>
    <row r="72">
      <c r="A72" s="613" t="n"/>
    </row>
    <row r="73">
      <c r="A73" s="613" t="n"/>
    </row>
    <row r="74">
      <c r="A74" s="613" t="n"/>
    </row>
    <row r="75">
      <c r="A75" s="613" t="n"/>
    </row>
    <row r="76">
      <c r="A76" s="613" t="n"/>
    </row>
    <row r="77">
      <c r="A77" s="613" t="n"/>
    </row>
    <row r="78">
      <c r="A78" s="613" t="n"/>
    </row>
    <row r="79">
      <c r="A79" s="613" t="n"/>
    </row>
    <row r="80">
      <c r="A80" s="613" t="n"/>
    </row>
    <row r="81">
      <c r="A81" s="613" t="n"/>
    </row>
    <row r="82">
      <c r="A82" s="613" t="n"/>
    </row>
    <row r="83">
      <c r="A83" s="613" t="n"/>
    </row>
    <row r="84">
      <c r="A84" s="613" t="n"/>
    </row>
    <row r="85">
      <c r="A85" s="613" t="n"/>
    </row>
    <row r="86">
      <c r="A86" s="613" t="n"/>
    </row>
    <row r="87">
      <c r="A87" s="613" t="n"/>
    </row>
    <row r="88">
      <c r="A88" s="613" t="n"/>
    </row>
    <row r="89">
      <c r="A89" s="613" t="n"/>
    </row>
    <row r="90">
      <c r="A90" s="613" t="n"/>
    </row>
    <row r="91">
      <c r="A91" s="613" t="n"/>
    </row>
    <row r="92">
      <c r="A92" s="613" t="n"/>
    </row>
    <row r="93">
      <c r="A93" s="613" t="n"/>
    </row>
    <row r="94">
      <c r="A94" s="613" t="n"/>
    </row>
    <row r="95">
      <c r="A95" s="613" t="n"/>
    </row>
    <row r="96">
      <c r="A96" s="613" t="n"/>
    </row>
    <row r="97">
      <c r="A97" s="613" t="n"/>
    </row>
    <row r="98">
      <c r="A98" s="613" t="n"/>
    </row>
    <row r="99">
      <c r="A99" s="613" t="n"/>
    </row>
    <row r="100">
      <c r="A100" s="613" t="n"/>
    </row>
    <row r="101">
      <c r="A101" s="613" t="n"/>
    </row>
    <row r="102">
      <c r="A102" s="613" t="n"/>
    </row>
    <row r="103">
      <c r="A103" s="613" t="n"/>
    </row>
    <row r="104">
      <c r="A104" s="613" t="n"/>
    </row>
    <row r="105">
      <c r="A105" s="613" t="n"/>
    </row>
    <row r="106">
      <c r="A106" s="613" t="n"/>
    </row>
    <row r="107">
      <c r="A107" s="613" t="n"/>
    </row>
    <row r="108">
      <c r="A108" s="613" t="n"/>
    </row>
    <row r="109">
      <c r="A109" s="613" t="n"/>
    </row>
    <row r="110">
      <c r="A110" s="613" t="n"/>
    </row>
    <row r="111">
      <c r="A111" s="613" t="n"/>
    </row>
    <row r="112">
      <c r="A112" s="613" t="n"/>
    </row>
    <row r="113">
      <c r="A113" s="613" t="n"/>
    </row>
    <row r="114">
      <c r="A114" s="613" t="n"/>
    </row>
    <row r="115">
      <c r="A115" s="613" t="n"/>
    </row>
    <row r="116">
      <c r="A116" s="613" t="n"/>
    </row>
    <row r="117">
      <c r="A117" s="613" t="n"/>
    </row>
    <row r="118">
      <c r="A118" s="613" t="n"/>
    </row>
    <row r="119">
      <c r="A119" s="613" t="n"/>
    </row>
    <row r="120">
      <c r="A120" s="613" t="n"/>
    </row>
    <row r="121">
      <c r="A121" s="613" t="n"/>
    </row>
    <row r="122">
      <c r="A122" s="613" t="n"/>
    </row>
    <row r="123">
      <c r="A123" s="613" t="n"/>
    </row>
    <row r="124">
      <c r="A124" s="613" t="n"/>
    </row>
    <row r="125">
      <c r="A125" s="613" t="n"/>
    </row>
    <row r="126">
      <c r="A126" s="613" t="n"/>
    </row>
    <row r="127">
      <c r="A127" s="613" t="n"/>
    </row>
    <row r="128">
      <c r="A128" s="613" t="n"/>
    </row>
    <row r="129">
      <c r="A129" s="613" t="n"/>
    </row>
    <row r="130">
      <c r="A130" s="613" t="n"/>
    </row>
    <row r="131">
      <c r="A131" s="613" t="n"/>
    </row>
    <row r="132">
      <c r="A132" s="613" t="n"/>
    </row>
    <row r="133">
      <c r="A133" s="613" t="n"/>
    </row>
    <row r="134">
      <c r="A134" s="613" t="n"/>
    </row>
    <row r="135">
      <c r="A135" s="613" t="n"/>
    </row>
    <row r="136">
      <c r="A136" s="613" t="n"/>
    </row>
    <row r="137">
      <c r="A137" s="613" t="n"/>
    </row>
    <row r="138">
      <c r="A138" s="613" t="n"/>
    </row>
    <row r="139">
      <c r="A139" s="613" t="n"/>
    </row>
    <row r="140">
      <c r="A140" s="613" t="n"/>
    </row>
    <row r="141">
      <c r="A141" s="613" t="n"/>
    </row>
    <row r="142">
      <c r="A142" s="613" t="n"/>
    </row>
    <row r="143">
      <c r="A143" s="613" t="n"/>
    </row>
    <row r="144">
      <c r="A144" s="613" t="n"/>
    </row>
    <row r="145">
      <c r="A145" s="613" t="n"/>
    </row>
    <row r="146">
      <c r="A146" s="613" t="n"/>
    </row>
    <row r="147">
      <c r="A147" s="613" t="n"/>
    </row>
    <row r="148">
      <c r="A148" s="613" t="n"/>
    </row>
    <row r="149">
      <c r="A149" s="613" t="n"/>
    </row>
    <row r="150">
      <c r="A150" s="613" t="n"/>
    </row>
    <row r="151">
      <c r="A151" s="613" t="n"/>
    </row>
    <row r="152">
      <c r="A152" s="613" t="n"/>
    </row>
    <row r="153">
      <c r="A153" s="613" t="n"/>
    </row>
    <row r="154">
      <c r="A154" s="613" t="n"/>
    </row>
    <row r="155">
      <c r="A155" s="613" t="n"/>
    </row>
    <row r="156">
      <c r="A156" s="613" t="n"/>
    </row>
    <row r="157">
      <c r="A157" s="613" t="n"/>
    </row>
    <row r="158">
      <c r="A158" s="613" t="n"/>
    </row>
    <row r="159">
      <c r="A159" s="613" t="n"/>
    </row>
    <row r="160">
      <c r="A160" s="613" t="n"/>
    </row>
    <row r="161">
      <c r="A161" s="613" t="n"/>
    </row>
    <row r="162">
      <c r="A162" s="613" t="n"/>
    </row>
    <row r="163">
      <c r="A163" s="613" t="n"/>
    </row>
    <row r="164">
      <c r="A164" s="613" t="n"/>
    </row>
    <row r="165">
      <c r="A165" s="613" t="n"/>
    </row>
    <row r="166">
      <c r="A166" s="613" t="n"/>
    </row>
    <row r="167">
      <c r="A167" s="613" t="n"/>
    </row>
    <row r="168">
      <c r="A168" s="613" t="n"/>
    </row>
    <row r="169">
      <c r="A169" s="613" t="n"/>
    </row>
    <row r="170">
      <c r="A170" s="613" t="n"/>
    </row>
    <row r="171">
      <c r="A171" s="613" t="n"/>
    </row>
    <row r="172">
      <c r="A172" s="613" t="n"/>
    </row>
    <row r="173">
      <c r="A173" s="613" t="n"/>
    </row>
    <row r="174">
      <c r="A174" s="613" t="n"/>
    </row>
    <row r="175">
      <c r="A175" s="613" t="n"/>
    </row>
    <row r="176">
      <c r="A176" s="613" t="n"/>
    </row>
    <row r="177">
      <c r="A177" s="613" t="n"/>
    </row>
    <row r="178">
      <c r="A178" s="613" t="n"/>
    </row>
    <row r="179">
      <c r="A179" s="613" t="n"/>
    </row>
    <row r="180">
      <c r="A180" s="613" t="n"/>
    </row>
    <row r="181">
      <c r="A181" s="613" t="n"/>
    </row>
    <row r="182">
      <c r="A182" s="613" t="n"/>
    </row>
    <row r="183">
      <c r="A183" s="613" t="n"/>
    </row>
    <row r="184">
      <c r="A184" s="613" t="n"/>
    </row>
    <row r="185">
      <c r="A185" s="613" t="n"/>
    </row>
    <row r="186">
      <c r="A186" s="613" t="n"/>
    </row>
    <row r="187">
      <c r="A187" s="613" t="n"/>
    </row>
    <row r="188">
      <c r="A188" s="613" t="n"/>
    </row>
    <row r="189">
      <c r="A189" s="613" t="n"/>
    </row>
    <row r="190">
      <c r="A190" s="613" t="n"/>
    </row>
    <row r="191">
      <c r="A191" s="613" t="n"/>
    </row>
    <row r="192">
      <c r="A192" s="613" t="n"/>
    </row>
    <row r="193">
      <c r="A193" s="613" t="n"/>
    </row>
    <row r="194">
      <c r="A194" s="613" t="n"/>
    </row>
    <row r="195">
      <c r="A195" s="613" t="n"/>
    </row>
    <row r="196">
      <c r="A196" s="613" t="n"/>
    </row>
    <row r="197">
      <c r="A197" s="613" t="n"/>
    </row>
    <row r="198">
      <c r="A198" s="613" t="n"/>
    </row>
    <row r="199">
      <c r="A199" s="613" t="n"/>
    </row>
    <row r="200">
      <c r="A200" s="613" t="n"/>
    </row>
    <row r="201">
      <c r="A201" s="613" t="n"/>
    </row>
    <row r="202">
      <c r="A202" s="613" t="n"/>
    </row>
    <row r="203">
      <c r="A203" s="613" t="n"/>
    </row>
    <row r="204">
      <c r="A204" s="613" t="n"/>
    </row>
    <row r="205">
      <c r="A205" s="613" t="n"/>
    </row>
    <row r="206">
      <c r="A206" s="613" t="n"/>
    </row>
    <row r="207">
      <c r="A207" s="613" t="n"/>
    </row>
    <row r="208">
      <c r="A208" s="613" t="n"/>
    </row>
    <row r="209">
      <c r="A209" s="613" t="n"/>
    </row>
    <row r="210">
      <c r="A210" s="613" t="n"/>
    </row>
    <row r="211">
      <c r="A211" s="613" t="n"/>
    </row>
    <row r="212">
      <c r="A212" s="613" t="n"/>
    </row>
    <row r="213">
      <c r="A213" s="613" t="n"/>
    </row>
    <row r="214">
      <c r="A214" s="613" t="n"/>
    </row>
    <row r="215">
      <c r="A215" s="613" t="n"/>
    </row>
    <row r="216">
      <c r="A216" s="613" t="n"/>
    </row>
    <row r="217">
      <c r="A217" s="613" t="n"/>
    </row>
    <row r="218">
      <c r="A218" s="613" t="n"/>
    </row>
    <row r="219">
      <c r="A219" s="613" t="n"/>
    </row>
    <row r="220">
      <c r="A220" s="613" t="n"/>
    </row>
    <row r="221">
      <c r="A221" s="613" t="n"/>
    </row>
    <row r="222">
      <c r="A222" s="613" t="n"/>
    </row>
    <row r="223">
      <c r="A223" s="613" t="n"/>
    </row>
    <row r="224">
      <c r="A224" s="613" t="n"/>
    </row>
    <row r="225">
      <c r="A225" s="613" t="n"/>
    </row>
    <row r="226">
      <c r="A226" s="613" t="n"/>
    </row>
    <row r="227">
      <c r="A227" s="613" t="n"/>
    </row>
    <row r="228">
      <c r="A228" s="613" t="n"/>
    </row>
    <row r="229">
      <c r="A229" s="613" t="n"/>
    </row>
    <row r="230">
      <c r="A230" s="613" t="n"/>
    </row>
    <row r="231">
      <c r="A231" s="613" t="n"/>
    </row>
    <row r="232">
      <c r="A232" s="613" t="n"/>
    </row>
    <row r="233">
      <c r="A233" s="613" t="n"/>
    </row>
    <row r="234">
      <c r="A234" s="613" t="n"/>
    </row>
    <row r="235">
      <c r="A235" s="613" t="n"/>
    </row>
    <row r="236">
      <c r="A236" s="613" t="n"/>
    </row>
    <row r="237">
      <c r="A237" s="613" t="n"/>
    </row>
    <row r="238">
      <c r="A238" s="613" t="n"/>
    </row>
    <row r="239">
      <c r="A239" s="613" t="n"/>
    </row>
    <row r="240">
      <c r="A240" s="613" t="n"/>
    </row>
    <row r="241">
      <c r="A241" s="613" t="n"/>
    </row>
    <row r="242">
      <c r="A242" s="613" t="n"/>
    </row>
    <row r="243">
      <c r="A243" s="613" t="n"/>
    </row>
    <row r="244">
      <c r="A244" s="613" t="n"/>
    </row>
    <row r="245">
      <c r="A245" s="613" t="n"/>
    </row>
    <row r="246">
      <c r="A246" s="613" t="n"/>
    </row>
    <row r="247">
      <c r="A247" s="613" t="n"/>
    </row>
    <row r="248">
      <c r="A248" s="613" t="n"/>
    </row>
    <row r="249">
      <c r="A249" s="613" t="n"/>
    </row>
    <row r="250">
      <c r="A250" s="613" t="n"/>
    </row>
  </sheetData>
  <pageMargins left="0.7" right="0.7" top="0.75" bottom="0.75" header="0.3" footer="0.3"/>
  <pageSetup orientation="portrait" scale="88"/>
  <headerFooter>
    <oddHeader/>
    <oddFooter>&amp;L&amp;G&amp;RPage &amp;P of &amp;N</oddFooter>
    <evenHeader/>
    <evenFooter/>
    <firstHeader/>
    <firstFooter/>
  </headerFooter>
  <rowBreaks count="2" manualBreakCount="2">
    <brk id="36" min="0" max="16383" man="1"/>
    <brk id="50" min="0" max="16383" man="1"/>
  </rowBreaks>
</worksheet>
</file>

<file path=xl/worksheets/sheet19.xml><?xml version="1.0" encoding="utf-8"?>
<worksheet xmlns="http://schemas.openxmlformats.org/spreadsheetml/2006/main">
  <sheetPr>
    <outlinePr summaryBelow="1" summaryRight="1"/>
    <pageSetUpPr fitToPage="1"/>
  </sheetPr>
  <dimension ref="A1:F19"/>
  <sheetViews>
    <sheetView workbookViewId="0">
      <selection activeCell="C29" sqref="C29"/>
    </sheetView>
  </sheetViews>
  <sheetFormatPr baseColWidth="8" defaultRowHeight="15"/>
  <cols>
    <col width="80.7109375" bestFit="1" customWidth="1" style="685" min="1" max="1"/>
    <col width="29.28515625" bestFit="1" customWidth="1" style="685" min="2" max="2"/>
    <col width="20" bestFit="1" customWidth="1" style="685" min="3" max="3"/>
    <col width="16.7109375" bestFit="1" customWidth="1" style="685" min="4" max="4"/>
    <col width="18.5703125" bestFit="1" customWidth="1" style="685" min="5" max="5"/>
    <col width="28" bestFit="1" customWidth="1" style="685" min="6" max="6"/>
  </cols>
  <sheetData>
    <row r="1" ht="15.75" customHeight="1" s="685" thickBot="1">
      <c r="D1" t="inlineStr">
        <is>
          <t>Default Mgmt Adj</t>
        </is>
      </c>
    </row>
    <row r="2" ht="19.5" customHeight="1" s="685" thickBot="1" thickTop="1">
      <c r="A2" s="453" t="inlineStr">
        <is>
          <t xml:space="preserve">Management Adjustment </t>
        </is>
      </c>
      <c r="B2" s="453" t="n"/>
      <c r="D2" s="454" t="n">
        <v>0.0011</v>
      </c>
      <c r="E2" s="3" t="inlineStr">
        <is>
          <t>Yes</t>
        </is>
      </c>
    </row>
    <row r="3" ht="16.5" customHeight="1" s="685" thickBot="1" thickTop="1">
      <c r="A3" s="268" t="inlineStr">
        <is>
          <t xml:space="preserve">Loan Pool </t>
        </is>
      </c>
      <c r="B3" s="455" t="inlineStr">
        <is>
          <t>Final Management Adjustment</t>
        </is>
      </c>
      <c r="C3" s="264" t="inlineStr">
        <is>
          <t>Hard Code Mgmt Adj</t>
        </is>
      </c>
      <c r="D3" s="456" t="inlineStr">
        <is>
          <t>Default Mgmt Adj</t>
        </is>
      </c>
      <c r="E3" s="264" t="inlineStr">
        <is>
          <t>Include Default Y/N</t>
        </is>
      </c>
      <c r="F3" s="455" t="inlineStr">
        <is>
          <t>CECL ACL Lifetime Loss Rate</t>
        </is>
      </c>
    </row>
    <row r="4" ht="16.5" customHeight="1" s="685" thickBot="1" thickTop="1">
      <c r="A4" s="265">
        <f>'Scale Calculation'!C9</f>
        <v/>
      </c>
      <c r="B4" s="457">
        <f>IF(C4+F4=0,D4,C4)</f>
        <v/>
      </c>
      <c r="C4" s="454" t="n">
        <v>0</v>
      </c>
      <c r="D4" s="457">
        <f>IF(E4=$E$2,$D$2,0)</f>
        <v/>
      </c>
      <c r="E4" s="454" t="inlineStr">
        <is>
          <t>No</t>
        </is>
      </c>
      <c r="F4" s="457">
        <f>'Scale Calculation'!K9</f>
        <v/>
      </c>
    </row>
    <row r="5" ht="16.5" customHeight="1" s="685" thickBot="1" thickTop="1">
      <c r="A5" s="265">
        <f>'Scale Calculation'!C10</f>
        <v/>
      </c>
      <c r="B5" s="457">
        <f>IF(C5+F5=0,D5,C5)</f>
        <v/>
      </c>
      <c r="C5" s="454" t="n">
        <v>0</v>
      </c>
      <c r="D5" s="457">
        <f>IF(E5=$E$2,$D$2,0)</f>
        <v/>
      </c>
      <c r="E5" s="454" t="inlineStr">
        <is>
          <t>No</t>
        </is>
      </c>
      <c r="F5" s="457">
        <f>'Scale Calculation'!K10</f>
        <v/>
      </c>
    </row>
    <row r="6" ht="16.5" customHeight="1" s="685" thickBot="1" thickTop="1">
      <c r="A6" s="265">
        <f>'Scale Calculation'!C11</f>
        <v/>
      </c>
      <c r="B6" s="457">
        <f>IF(C6+F6=0,D6,C6)</f>
        <v/>
      </c>
      <c r="C6" s="454" t="n">
        <v>0</v>
      </c>
      <c r="D6" s="457">
        <f>IF(E6=$E$2,$D$2,0)</f>
        <v/>
      </c>
      <c r="E6" s="454" t="inlineStr">
        <is>
          <t>No</t>
        </is>
      </c>
      <c r="F6" s="457">
        <f>'Scale Calculation'!K11</f>
        <v/>
      </c>
    </row>
    <row r="7" ht="16.5" customHeight="1" s="685" thickBot="1" thickTop="1">
      <c r="A7" s="265">
        <f>'Scale Calculation'!C12</f>
        <v/>
      </c>
      <c r="B7" s="457">
        <f>IF(C7+F7=0,D7,C7)</f>
        <v/>
      </c>
      <c r="C7" s="454" t="n">
        <v>0</v>
      </c>
      <c r="D7" s="457">
        <f>IF(E7=$E$2,$D$2,0)</f>
        <v/>
      </c>
      <c r="E7" s="454" t="inlineStr">
        <is>
          <t>No</t>
        </is>
      </c>
      <c r="F7" s="457">
        <f>'Scale Calculation'!K12</f>
        <v/>
      </c>
    </row>
    <row r="8" ht="16.5" customHeight="1" s="685" thickBot="1" thickTop="1">
      <c r="A8" s="265">
        <f>'Scale Calculation'!C13</f>
        <v/>
      </c>
      <c r="B8" s="457">
        <f>IF(C8+F8=0,D8,C8)</f>
        <v/>
      </c>
      <c r="C8" s="454" t="n">
        <v>0</v>
      </c>
      <c r="D8" s="457">
        <f>IF(E8=$E$2,$D$2,0)</f>
        <v/>
      </c>
      <c r="E8" s="454" t="inlineStr">
        <is>
          <t>No</t>
        </is>
      </c>
      <c r="F8" s="457">
        <f>'Scale Calculation'!K13</f>
        <v/>
      </c>
    </row>
    <row r="9" ht="16.5" customHeight="1" s="685" thickBot="1" thickTop="1">
      <c r="A9" s="265">
        <f>'Scale Calculation'!C14</f>
        <v/>
      </c>
      <c r="B9" s="457">
        <f>IF(C9+F9=0,D9,C9)</f>
        <v/>
      </c>
      <c r="C9" s="454" t="n">
        <v>0</v>
      </c>
      <c r="D9" s="457">
        <f>IF(E9=$E$2,$D$2,0)</f>
        <v/>
      </c>
      <c r="E9" s="454" t="inlineStr">
        <is>
          <t>No</t>
        </is>
      </c>
      <c r="F9" s="457">
        <f>'Scale Calculation'!K14</f>
        <v/>
      </c>
    </row>
    <row r="10" ht="16.5" customHeight="1" s="685" thickBot="1" thickTop="1">
      <c r="A10" s="265">
        <f>'Scale Calculation'!C15</f>
        <v/>
      </c>
      <c r="B10" s="457">
        <f>IF(C10+F10=0,D10,C10)</f>
        <v/>
      </c>
      <c r="C10" s="454" t="n">
        <v>0</v>
      </c>
      <c r="D10" s="457">
        <f>IF(E10=$E$2,$D$2,0)</f>
        <v/>
      </c>
      <c r="E10" s="454" t="inlineStr">
        <is>
          <t>No</t>
        </is>
      </c>
      <c r="F10" s="457">
        <f>'Scale Calculation'!K15</f>
        <v/>
      </c>
    </row>
    <row r="11" ht="16.5" customHeight="1" s="685" thickBot="1" thickTop="1">
      <c r="A11" s="265">
        <f>'Scale Calculation'!C16</f>
        <v/>
      </c>
      <c r="B11" s="457">
        <f>IF(C11+F11=0,D11,C11)</f>
        <v/>
      </c>
      <c r="C11" s="454" t="n">
        <v>0</v>
      </c>
      <c r="D11" s="457">
        <f>IF(E11=$E$2,$D$2,0)</f>
        <v/>
      </c>
      <c r="E11" s="454" t="inlineStr">
        <is>
          <t>No</t>
        </is>
      </c>
      <c r="F11" s="457">
        <f>'Scale Calculation'!K16</f>
        <v/>
      </c>
    </row>
    <row r="12" ht="16.5" customHeight="1" s="685" thickBot="1" thickTop="1">
      <c r="A12" s="265">
        <f>'Scale Calculation'!C17</f>
        <v/>
      </c>
      <c r="B12" s="457">
        <f>IF(C12+F12=0,D12,C12)</f>
        <v/>
      </c>
      <c r="C12" s="454" t="n">
        <v>0</v>
      </c>
      <c r="D12" s="457">
        <f>IF(E12=$E$2,$D$2,0)</f>
        <v/>
      </c>
      <c r="E12" s="454" t="inlineStr">
        <is>
          <t>Yes</t>
        </is>
      </c>
      <c r="F12" s="457">
        <f>'Scale Calculation'!K17</f>
        <v/>
      </c>
    </row>
    <row r="13" ht="16.5" customHeight="1" s="685" thickBot="1" thickTop="1">
      <c r="A13" s="265">
        <f>'Scale Calculation'!C18</f>
        <v/>
      </c>
      <c r="B13" s="457">
        <f>IF(C13+F13=0,D13,C13)</f>
        <v/>
      </c>
      <c r="C13" s="454" t="n">
        <v>0</v>
      </c>
      <c r="D13" s="457">
        <f>IF(E13=$E$2,$D$2,0)</f>
        <v/>
      </c>
      <c r="E13" s="454" t="inlineStr">
        <is>
          <t>Yes</t>
        </is>
      </c>
      <c r="F13" s="457">
        <f>'Scale Calculation'!K18</f>
        <v/>
      </c>
    </row>
    <row r="14" ht="16.5" customHeight="1" s="685" thickBot="1" thickTop="1">
      <c r="A14" s="265">
        <f>'Scale Calculation'!C19</f>
        <v/>
      </c>
      <c r="B14" s="457">
        <f>IF(C14+F14=0,D14,C14)</f>
        <v/>
      </c>
      <c r="C14" s="454" t="n">
        <v>0</v>
      </c>
      <c r="D14" s="457">
        <f>IF(E14=$E$2,$D$2,0)</f>
        <v/>
      </c>
      <c r="E14" s="454" t="inlineStr">
        <is>
          <t>No</t>
        </is>
      </c>
      <c r="F14" s="457">
        <f>'Scale Calculation'!K19</f>
        <v/>
      </c>
    </row>
    <row r="15" ht="16.5" customHeight="1" s="685" thickBot="1" thickTop="1">
      <c r="A15" s="265">
        <f>'Scale Calculation'!C20</f>
        <v/>
      </c>
      <c r="B15" s="457">
        <f>IF(C15+F15=0,D15,C15)</f>
        <v/>
      </c>
      <c r="C15" s="454" t="n">
        <v>0</v>
      </c>
      <c r="D15" s="457">
        <f>IF(E15=$E$2,$D$2,0)</f>
        <v/>
      </c>
      <c r="E15" s="454" t="inlineStr">
        <is>
          <t>Yes</t>
        </is>
      </c>
      <c r="F15" s="457">
        <f>'Scale Calculation'!K20</f>
        <v/>
      </c>
    </row>
    <row r="16" ht="16.5" customHeight="1" s="685" thickBot="1" thickTop="1">
      <c r="A16" s="265">
        <f>'Scale Calculation'!C21</f>
        <v/>
      </c>
      <c r="B16" s="457">
        <f>IF(C16+F16=0,D16,C16)</f>
        <v/>
      </c>
      <c r="C16" s="454" t="n">
        <v>0</v>
      </c>
      <c r="D16" s="457">
        <f>IF(E16=$E$2,$D$2,0)</f>
        <v/>
      </c>
      <c r="E16" s="454" t="inlineStr">
        <is>
          <t>No</t>
        </is>
      </c>
      <c r="F16" s="457">
        <f>'Scale Calculation'!K21</f>
        <v/>
      </c>
    </row>
    <row r="17" ht="16.5" customHeight="1" s="685" thickBot="1" thickTop="1">
      <c r="A17" s="228" t="n"/>
      <c r="C17" s="458" t="n"/>
      <c r="E17" s="458" t="n"/>
    </row>
    <row r="18" ht="16.5" customHeight="1" s="685" thickBot="1" thickTop="1">
      <c r="A18" s="715" t="inlineStr">
        <is>
          <t xml:space="preserve">Management Adjustment for Historical Loss Experience* </t>
        </is>
      </c>
      <c r="B18" s="457">
        <f>IF(C18+F18=0,D18,C18)</f>
        <v/>
      </c>
      <c r="C18" s="459" t="n">
        <v>0</v>
      </c>
      <c r="D18" s="457">
        <f>IF(E18=$E$2,$D$2,0)</f>
        <v/>
      </c>
      <c r="E18" s="459" t="inlineStr">
        <is>
          <t>No</t>
        </is>
      </c>
      <c r="F18" s="457">
        <f>'Scale Calculation'!K23</f>
        <v/>
      </c>
    </row>
    <row r="19" ht="15.75" customHeight="1" s="685" thickTop="1">
      <c r="A19" s="228" t="inlineStr">
        <is>
          <t>*Applies to Entire Loan Porfolio</t>
        </is>
      </c>
      <c r="B19" s="228" t="n"/>
    </row>
  </sheetData>
  <pageMargins left="0.7" right="0.7" top="0.75" bottom="0.75" header="0.3" footer="0.3"/>
  <pageSetup orientation="portrait" scale="86"/>
</worksheet>
</file>

<file path=xl/worksheets/sheet20.xml><?xml version="1.0" encoding="utf-8"?>
<worksheet xmlns="http://schemas.openxmlformats.org/spreadsheetml/2006/main">
  <sheetPr>
    <outlinePr summaryBelow="1" summaryRight="1"/>
    <pageSetUpPr/>
  </sheetPr>
  <dimension ref="A1:BA245"/>
  <sheetViews>
    <sheetView topLeftCell="AK1" zoomScale="85" zoomScaleNormal="85" workbookViewId="0">
      <selection activeCell="AX12" sqref="AX12"/>
    </sheetView>
  </sheetViews>
  <sheetFormatPr baseColWidth="8" defaultRowHeight="15"/>
  <cols>
    <col width="21.140625" bestFit="1" customWidth="1" style="94" min="1" max="1"/>
    <col width="36" customWidth="1" style="685" min="2" max="2"/>
    <col width="36.7109375" customWidth="1" style="685" min="3" max="3"/>
    <col hidden="1" width="22.7109375" customWidth="1" style="685" min="4" max="19"/>
    <col width="22.7109375" bestFit="1" customWidth="1" style="685" min="20" max="21"/>
    <col width="22" bestFit="1" customWidth="1" style="685" min="22" max="22"/>
    <col width="22.7109375" bestFit="1" customWidth="1" style="685" min="23" max="23"/>
    <col width="23.28515625" bestFit="1" customWidth="1" style="685" min="24" max="24"/>
    <col width="23" bestFit="1" customWidth="1" style="685" min="25" max="25"/>
    <col width="23.28515625" bestFit="1" customWidth="1" style="685" min="26" max="26"/>
    <col width="22.7109375" bestFit="1" customWidth="1" style="685" min="27" max="27"/>
    <col width="23.28515625" bestFit="1" customWidth="1" style="685" min="28" max="28"/>
    <col width="23" bestFit="1" customWidth="1" style="685" min="29" max="30"/>
    <col width="23.28515625" bestFit="1" customWidth="1" style="685" min="31" max="31"/>
    <col width="22.7109375" bestFit="1" customWidth="1" style="685" min="32" max="32"/>
    <col width="23.28515625" bestFit="1" customWidth="1" style="685" min="33" max="51"/>
  </cols>
  <sheetData>
    <row r="1" ht="15.75" customHeight="1" s="685" thickBot="1">
      <c r="C1" t="inlineStr">
        <is>
          <t>ACL Balance</t>
        </is>
      </c>
      <c r="AW1" t="inlineStr">
        <is>
          <t>Copy and paste values before adding new column</t>
        </is>
      </c>
      <c r="AX1" t="inlineStr">
        <is>
          <t>Copy and paste values before adding new column</t>
        </is>
      </c>
      <c r="AY1" t="inlineStr">
        <is>
          <t>Copy and paste values before adding new column</t>
        </is>
      </c>
    </row>
    <row r="2" ht="16.5" customHeight="1" s="685" thickBot="1" thickTop="1">
      <c r="A2" t="inlineStr">
        <is>
          <t>CU Name</t>
        </is>
      </c>
      <c r="B2" s="343" t="inlineStr">
        <is>
          <t>CU Name</t>
        </is>
      </c>
      <c r="C2" t="inlineStr">
        <is>
          <t>Previous Expected Losses on Loans</t>
        </is>
      </c>
      <c r="D2" s="343" t="n"/>
      <c r="E2" s="343" t="n"/>
      <c r="F2" s="343" t="n"/>
      <c r="G2" s="343" t="n"/>
      <c r="H2" s="343" t="n"/>
      <c r="I2" s="343" t="n"/>
      <c r="J2" s="343" t="n"/>
      <c r="K2" s="343" t="n"/>
      <c r="L2" s="343" t="n"/>
      <c r="M2" s="343" t="n"/>
      <c r="N2" s="343" t="n"/>
      <c r="O2" s="343" t="n"/>
      <c r="P2" s="343" t="n"/>
      <c r="Q2" s="343" t="n"/>
      <c r="R2" s="343" t="n"/>
      <c r="S2" s="343" t="n"/>
      <c r="T2" s="343" t="n"/>
      <c r="U2" s="343" t="n"/>
      <c r="V2" s="343" t="n"/>
      <c r="W2" s="343" t="n"/>
      <c r="X2" s="343" t="n"/>
      <c r="Y2" s="343" t="n"/>
      <c r="Z2" s="343" t="n"/>
      <c r="AA2" s="343" t="n"/>
      <c r="AB2" s="343" t="n"/>
      <c r="AC2" s="343" t="n"/>
      <c r="AD2" s="343" t="n"/>
      <c r="AE2" s="343" t="n"/>
      <c r="AF2" s="343" t="n"/>
      <c r="AG2" s="343" t="n"/>
      <c r="AH2" s="343" t="n"/>
      <c r="AI2" s="343" t="n"/>
      <c r="AJ2" s="343" t="n"/>
      <c r="AK2" s="343" t="n"/>
      <c r="AL2" s="343" t="n"/>
      <c r="AM2" s="343" t="n"/>
      <c r="AN2" s="343" t="n"/>
      <c r="AO2" s="343" t="n"/>
      <c r="AP2" s="343" t="n"/>
      <c r="AQ2" s="343" t="n"/>
      <c r="AR2" s="343" t="n"/>
      <c r="AS2" s="343" t="n"/>
      <c r="AT2" s="343" t="n"/>
      <c r="AU2" s="343" t="n"/>
      <c r="AV2" s="343" t="n"/>
      <c r="AW2" s="861">
        <f>'Scale Calculation'!T29</f>
        <v/>
      </c>
      <c r="AX2" s="861">
        <f>'Scale Calculation'!T29</f>
        <v/>
      </c>
      <c r="AY2" s="861">
        <f>'Scale Calculation'!U29</f>
        <v/>
      </c>
    </row>
    <row r="3" ht="16.5" customHeight="1" s="685" thickBot="1" thickTop="1">
      <c r="A3" t="inlineStr">
        <is>
          <t>CU Charter Number</t>
        </is>
      </c>
      <c r="B3" s="439" t="inlineStr">
        <is>
          <t>Charter Number</t>
        </is>
      </c>
      <c r="C3" s="684" t="inlineStr">
        <is>
          <t>Previous ACL Balance</t>
        </is>
      </c>
      <c r="D3" s="343" t="n"/>
      <c r="E3" s="343" t="n"/>
      <c r="F3" s="343" t="n"/>
      <c r="G3" s="343" t="n"/>
      <c r="H3" s="343" t="n"/>
      <c r="I3" s="343" t="n"/>
      <c r="J3" s="343" t="n"/>
      <c r="K3" s="343" t="n"/>
      <c r="L3" s="343" t="n"/>
      <c r="M3" s="343" t="n"/>
      <c r="N3" s="343" t="n"/>
      <c r="O3" s="343" t="n"/>
      <c r="P3" s="343" t="n"/>
      <c r="Q3" s="343" t="n"/>
      <c r="R3" s="343" t="n"/>
      <c r="S3" s="343" t="n"/>
      <c r="T3" s="343" t="n"/>
      <c r="U3" s="343" t="n"/>
      <c r="V3" s="343" t="n"/>
      <c r="W3" s="343" t="n"/>
      <c r="X3" s="343" t="n"/>
      <c r="Y3" s="343" t="n"/>
      <c r="Z3" s="343" t="n"/>
      <c r="AA3" s="343" t="n"/>
      <c r="AB3" s="343" t="n"/>
      <c r="AC3" s="343" t="n"/>
      <c r="AD3" s="343" t="n"/>
      <c r="AE3" s="343" t="n"/>
      <c r="AF3" s="343" t="n"/>
      <c r="AG3" s="343" t="n"/>
      <c r="AH3" s="343" t="n"/>
      <c r="AI3" s="343" t="n"/>
      <c r="AJ3" s="343" t="n"/>
      <c r="AK3" s="343" t="n"/>
      <c r="AL3" s="343" t="n"/>
      <c r="AM3" s="343" t="n"/>
      <c r="AN3" s="343" t="n"/>
      <c r="AO3" s="343" t="n"/>
      <c r="AP3" s="343" t="n"/>
      <c r="AQ3" s="343" t="n"/>
      <c r="AR3" s="343" t="n"/>
      <c r="AS3" s="343" t="n"/>
      <c r="AT3" s="343" t="n"/>
      <c r="AU3" s="343" t="n"/>
      <c r="AV3" s="343" t="n"/>
      <c r="AW3" s="861">
        <f>'Scale Calculation'!T30</f>
        <v/>
      </c>
      <c r="AX3" s="861">
        <f>'Scale Calculation'!T30</f>
        <v/>
      </c>
      <c r="AY3" s="861">
        <f>'Scale Calculation'!U30</f>
        <v/>
      </c>
    </row>
    <row r="4" ht="16.5" customHeight="1" s="685" thickBot="1" thickTop="1">
      <c r="A4" t="inlineStr">
        <is>
          <t>State</t>
        </is>
      </c>
      <c r="B4" s="343" t="inlineStr">
        <is>
          <t>State</t>
        </is>
      </c>
      <c r="C4" t="inlineStr">
        <is>
          <t>Previous Adjustment</t>
        </is>
      </c>
      <c r="D4" s="343" t="n"/>
      <c r="E4" s="343" t="n"/>
      <c r="F4" s="343" t="n"/>
      <c r="G4" s="343" t="n"/>
      <c r="H4" s="343" t="n"/>
      <c r="I4" s="343" t="n"/>
      <c r="J4" s="343" t="n"/>
      <c r="K4" s="343" t="n"/>
      <c r="L4" s="343" t="n"/>
      <c r="M4" s="343" t="n"/>
      <c r="N4" s="343" t="n"/>
      <c r="O4" s="343" t="n"/>
      <c r="P4" s="343" t="n"/>
      <c r="Q4" s="343" t="n"/>
      <c r="R4" s="343" t="n"/>
      <c r="S4" s="343" t="n"/>
      <c r="T4" s="343" t="n"/>
      <c r="U4" s="343" t="n"/>
      <c r="V4" s="343" t="n"/>
      <c r="W4" s="343" t="n"/>
      <c r="X4" s="343" t="n"/>
      <c r="Y4" s="343" t="n"/>
      <c r="Z4" s="343" t="n"/>
      <c r="AA4" s="343" t="n"/>
      <c r="AB4" s="343" t="n"/>
      <c r="AC4" s="343" t="n"/>
      <c r="AD4" s="343" t="n"/>
      <c r="AE4" s="343" t="n"/>
      <c r="AF4" s="343" t="n"/>
      <c r="AG4" s="343" t="n"/>
      <c r="AH4" s="343" t="n"/>
      <c r="AI4" s="343" t="n"/>
      <c r="AJ4" s="343" t="n"/>
      <c r="AK4" s="343" t="n"/>
      <c r="AL4" s="343" t="n"/>
      <c r="AM4" s="343" t="n"/>
      <c r="AN4" s="343" t="n"/>
      <c r="AO4" s="343" t="n"/>
      <c r="AP4" s="343" t="n"/>
      <c r="AQ4" s="343" t="n"/>
      <c r="AR4" s="343" t="n"/>
      <c r="AS4" s="343" t="n"/>
      <c r="AT4" s="343" t="n"/>
      <c r="AU4" s="343" t="n"/>
      <c r="AV4" s="343" t="n"/>
      <c r="AW4" s="861">
        <f>'Scale Calculation'!T31</f>
        <v/>
      </c>
      <c r="AX4" s="861">
        <f>'Scale Calculation'!T31</f>
        <v/>
      </c>
      <c r="AY4" s="861">
        <f>'Scale Calculation'!U31</f>
        <v/>
      </c>
    </row>
    <row r="5" ht="16.5" customHeight="1" s="685" thickBot="1" thickTop="1">
      <c r="A5" t="inlineStr">
        <is>
          <t>County</t>
        </is>
      </c>
      <c r="B5" s="343" t="inlineStr">
        <is>
          <t>County</t>
        </is>
      </c>
      <c r="C5" t="inlineStr">
        <is>
          <t>Previous ACL/Total Loans</t>
        </is>
      </c>
      <c r="D5" s="343" t="n"/>
      <c r="E5" s="343" t="n"/>
      <c r="F5" s="343" t="n"/>
      <c r="G5" s="343" t="n"/>
      <c r="H5" s="343" t="n"/>
      <c r="I5" s="343" t="n"/>
      <c r="J5" s="343" t="n"/>
      <c r="K5" s="343" t="n"/>
      <c r="L5" s="343" t="n"/>
      <c r="M5" s="343" t="n"/>
      <c r="N5" s="343" t="n"/>
      <c r="O5" s="343" t="n"/>
      <c r="P5" s="343" t="n"/>
      <c r="Q5" s="343" t="n"/>
      <c r="R5" s="343" t="n"/>
      <c r="S5" s="343" t="n"/>
      <c r="T5" s="343" t="n"/>
      <c r="U5" s="343" t="n"/>
      <c r="V5" s="343" t="n"/>
      <c r="W5" s="343" t="n"/>
      <c r="X5" s="343" t="n"/>
      <c r="Y5" s="343" t="n"/>
      <c r="Z5" s="343" t="n"/>
      <c r="AA5" s="343" t="n"/>
      <c r="AB5" s="343" t="n"/>
      <c r="AC5" s="343" t="n"/>
      <c r="AD5" s="343" t="n"/>
      <c r="AE5" s="343" t="n"/>
      <c r="AF5" s="343" t="n"/>
      <c r="AG5" s="343" t="n"/>
      <c r="AH5" s="343" t="n"/>
      <c r="AI5" s="343" t="n"/>
      <c r="AJ5" s="343" t="n"/>
      <c r="AK5" s="343" t="n"/>
      <c r="AL5" s="343" t="n"/>
      <c r="AM5" s="343" t="n"/>
      <c r="AN5" s="343" t="n"/>
      <c r="AO5" s="343" t="n"/>
      <c r="AP5" s="343" t="n"/>
      <c r="AQ5" s="343" t="n"/>
      <c r="AR5" s="343" t="n"/>
      <c r="AS5" s="343" t="n"/>
      <c r="AT5" s="343" t="n"/>
      <c r="AU5" s="343" t="n"/>
      <c r="AV5" s="343" t="n"/>
      <c r="AW5" s="658">
        <f>'Scale Calculation'!T33</f>
        <v/>
      </c>
      <c r="AX5" s="658">
        <f>'Scale Calculation'!T33</f>
        <v/>
      </c>
      <c r="AY5" s="658">
        <f>'Scale Calculation'!U33</f>
        <v/>
      </c>
    </row>
    <row r="6" ht="15.75" customHeight="1" s="685" thickTop="1"/>
    <row r="7" ht="15.75" customHeight="1" s="685" thickBot="1">
      <c r="A7" s="94" t="inlineStr">
        <is>
          <t>5300 Code</t>
        </is>
      </c>
    </row>
    <row r="8" ht="13.5" customFormat="1" customHeight="1" s="699" thickBot="1">
      <c r="A8" s="95" t="n"/>
      <c r="B8" s="80" t="inlineStr">
        <is>
          <t>Loan Balances</t>
        </is>
      </c>
      <c r="C8" s="334" t="inlineStr">
        <is>
          <t>Pool</t>
        </is>
      </c>
      <c r="D8" s="81" t="n">
        <v>41729</v>
      </c>
      <c r="E8" s="81" t="n">
        <v>41820</v>
      </c>
      <c r="F8" s="81" t="n">
        <v>41912</v>
      </c>
      <c r="G8" s="81" t="n">
        <v>42004</v>
      </c>
      <c r="H8" s="81" t="n">
        <v>42094</v>
      </c>
      <c r="I8" s="81" t="n">
        <v>42185</v>
      </c>
      <c r="J8" s="81" t="n">
        <v>42277</v>
      </c>
      <c r="K8" s="81" t="n">
        <v>42369</v>
      </c>
      <c r="L8" s="81" t="n">
        <v>42460</v>
      </c>
      <c r="M8" s="81" t="n">
        <v>42551</v>
      </c>
      <c r="N8" s="81" t="n">
        <v>42643</v>
      </c>
      <c r="O8" s="81" t="n">
        <v>42735</v>
      </c>
      <c r="P8" s="81" t="n">
        <v>42825</v>
      </c>
      <c r="Q8" s="81" t="n">
        <v>42916</v>
      </c>
      <c r="R8" s="81" t="n">
        <v>43008</v>
      </c>
      <c r="S8" s="81" t="n">
        <v>43100</v>
      </c>
      <c r="T8" s="81" t="n">
        <v>43190</v>
      </c>
      <c r="U8" s="81" t="n">
        <v>43281</v>
      </c>
      <c r="V8" s="81" t="n">
        <v>43373</v>
      </c>
      <c r="W8" s="81" t="n">
        <v>43465</v>
      </c>
      <c r="X8" s="81" t="n">
        <v>43555</v>
      </c>
      <c r="Y8" s="81" t="n">
        <v>43646</v>
      </c>
      <c r="Z8" s="81" t="n">
        <v>43738</v>
      </c>
      <c r="AA8" s="81" t="n">
        <v>43830</v>
      </c>
      <c r="AB8" s="81" t="n">
        <v>43921</v>
      </c>
      <c r="AC8" s="81" t="n">
        <v>44012</v>
      </c>
      <c r="AD8" s="81" t="n">
        <v>44104</v>
      </c>
      <c r="AE8" s="81" t="n">
        <v>44196</v>
      </c>
      <c r="AF8" s="81" t="n">
        <v>44286</v>
      </c>
      <c r="AG8" s="81" t="n">
        <v>44377</v>
      </c>
      <c r="AH8" s="81" t="n">
        <v>44469</v>
      </c>
      <c r="AI8" s="81" t="n">
        <v>44561</v>
      </c>
      <c r="AJ8" s="81" t="n">
        <v>44651</v>
      </c>
      <c r="AK8" s="81" t="n">
        <v>44742</v>
      </c>
      <c r="AL8" s="81" t="n">
        <v>44834</v>
      </c>
      <c r="AM8" s="81" t="n">
        <v>44926</v>
      </c>
      <c r="AN8" s="81" t="n">
        <v>45016</v>
      </c>
      <c r="AO8" s="81" t="n">
        <v>45107</v>
      </c>
      <c r="AP8" s="81" t="n">
        <v>45199</v>
      </c>
      <c r="AQ8" s="81" t="n">
        <v>45291</v>
      </c>
      <c r="AR8" s="81" t="n">
        <v>45382</v>
      </c>
      <c r="AS8" s="81" t="n">
        <v>45473</v>
      </c>
      <c r="AT8" s="81" t="n">
        <v>45565</v>
      </c>
      <c r="AU8" s="81" t="n">
        <v>45657</v>
      </c>
      <c r="AV8" s="81" t="n">
        <v>45747</v>
      </c>
      <c r="AW8" s="81" t="n">
        <v>45838</v>
      </c>
      <c r="AX8" s="81" t="n">
        <v>45930</v>
      </c>
      <c r="AY8" s="81" t="n">
        <v>46022</v>
      </c>
    </row>
    <row r="9" ht="17.25" customFormat="1" customHeight="1" s="85" thickBot="1" thickTop="1">
      <c r="A9" s="96" t="n">
        <v>396</v>
      </c>
      <c r="B9" s="331" t="inlineStr">
        <is>
          <t>Unsecured Credit Card Loans</t>
        </is>
      </c>
      <c r="C9" s="335" t="inlineStr">
        <is>
          <t>Unsecured Credit Card Loans</t>
        </is>
      </c>
      <c r="D9" s="862" t="n"/>
      <c r="E9" s="862" t="n"/>
      <c r="F9" s="862" t="n"/>
      <c r="G9" s="862" t="n"/>
      <c r="H9" s="862" t="n"/>
      <c r="I9" s="862" t="n"/>
      <c r="J9" s="862" t="n"/>
      <c r="K9" s="862" t="n"/>
      <c r="L9" s="862" t="n"/>
      <c r="M9" s="862" t="n"/>
      <c r="N9" s="862" t="n"/>
      <c r="O9" s="862" t="n"/>
      <c r="P9" s="862" t="n"/>
      <c r="Q9" s="862" t="n"/>
      <c r="R9" s="863" t="n"/>
      <c r="S9" s="863" t="n"/>
      <c r="T9" s="863" t="n"/>
      <c r="U9" s="863" t="n"/>
      <c r="V9" s="863" t="n"/>
      <c r="W9" s="863" t="n"/>
      <c r="X9" s="863" t="n"/>
      <c r="Y9" s="863" t="n"/>
      <c r="Z9" s="863" t="n"/>
      <c r="AA9" s="863" t="n"/>
      <c r="AB9" s="863" t="n"/>
      <c r="AC9" s="863" t="n"/>
      <c r="AD9" s="863" t="n"/>
      <c r="AE9" s="863" t="n"/>
      <c r="AF9" s="863" t="n"/>
      <c r="AG9" s="863" t="n"/>
      <c r="AH9" s="863" t="n"/>
      <c r="AI9" s="863" t="n"/>
      <c r="AJ9" s="863" t="n"/>
      <c r="AK9" s="863" t="n"/>
      <c r="AL9" s="863" t="n"/>
      <c r="AM9" s="863" t="n"/>
      <c r="AN9" s="863" t="n"/>
      <c r="AO9" s="863" t="n"/>
      <c r="AP9" s="863" t="n"/>
      <c r="AQ9" s="863" t="n"/>
      <c r="AR9" s="863" t="n"/>
      <c r="AS9" s="863" t="n"/>
      <c r="AT9" s="863" t="n"/>
      <c r="AU9" s="863" t="n"/>
      <c r="AV9" s="863" t="n"/>
      <c r="AW9" s="863" t="n"/>
      <c r="AX9" s="863" t="n"/>
      <c r="AY9" s="863" t="n"/>
    </row>
    <row r="10" ht="17.25" customFormat="1" customHeight="1" s="85" thickBot="1" thickTop="1">
      <c r="A10" s="96" t="n">
        <v>397</v>
      </c>
      <c r="B10" s="331" t="inlineStr">
        <is>
          <t>All Other Unsecured Loans/Lines of Credit</t>
        </is>
      </c>
      <c r="C10" s="335" t="inlineStr">
        <is>
          <t>All Other Unsecured Loans/Lines of Credit</t>
        </is>
      </c>
      <c r="D10" s="862" t="n"/>
      <c r="E10" s="862" t="n"/>
      <c r="F10" s="862" t="n"/>
      <c r="G10" s="862" t="n"/>
      <c r="H10" s="862" t="n"/>
      <c r="I10" s="862" t="n"/>
      <c r="J10" s="862" t="n"/>
      <c r="K10" s="862" t="n"/>
      <c r="L10" s="862" t="n"/>
      <c r="M10" s="862" t="n"/>
      <c r="N10" s="862" t="n"/>
      <c r="O10" s="862" t="n"/>
      <c r="P10" s="862" t="n"/>
      <c r="Q10" s="862" t="n"/>
      <c r="R10" s="863" t="n"/>
      <c r="S10" s="863" t="n"/>
      <c r="T10" s="863" t="n"/>
      <c r="U10" s="863" t="n"/>
      <c r="V10" s="863" t="n"/>
      <c r="W10" s="863" t="n"/>
      <c r="X10" s="863" t="n"/>
      <c r="Y10" s="863" t="n"/>
      <c r="Z10" s="863" t="n"/>
      <c r="AA10" s="863" t="n"/>
      <c r="AB10" s="863" t="n"/>
      <c r="AC10" s="863" t="n"/>
      <c r="AD10" s="863" t="n"/>
      <c r="AE10" s="863" t="n"/>
      <c r="AF10" s="863" t="n"/>
      <c r="AG10" s="863" t="n"/>
      <c r="AH10" s="863" t="n"/>
      <c r="AI10" s="863" t="n"/>
      <c r="AJ10" s="863" t="n"/>
      <c r="AK10" s="863" t="n"/>
      <c r="AL10" s="863" t="n"/>
      <c r="AM10" s="863" t="n"/>
      <c r="AN10" s="863" t="n"/>
      <c r="AO10" s="863" t="n"/>
      <c r="AP10" s="863" t="n"/>
      <c r="AQ10" s="863" t="n"/>
      <c r="AR10" s="863" t="n"/>
      <c r="AS10" s="863" t="n"/>
      <c r="AT10" s="863" t="n"/>
      <c r="AU10" s="863" t="n"/>
      <c r="AV10" s="863" t="n"/>
      <c r="AW10" s="863" t="n"/>
      <c r="AX10" s="863" t="n"/>
      <c r="AY10" s="863" t="n"/>
    </row>
    <row r="11" ht="17.25" customFormat="1" customHeight="1" s="85" thickBot="1" thickTop="1">
      <c r="A11" s="96" t="inlineStr">
        <is>
          <t>397A</t>
        </is>
      </c>
      <c r="B11" s="331" t="inlineStr">
        <is>
          <t>Short-Term, Small Amount Loans (STS) (Federal CU Only)</t>
        </is>
      </c>
      <c r="C11" s="335" t="inlineStr">
        <is>
          <t>Payday Alternative Loans</t>
        </is>
      </c>
      <c r="D11" s="862" t="n"/>
      <c r="E11" s="862" t="n"/>
      <c r="F11" s="862" t="n"/>
      <c r="G11" s="862" t="n"/>
      <c r="H11" s="862" t="n"/>
      <c r="I11" s="862" t="n"/>
      <c r="J11" s="862" t="n"/>
      <c r="K11" s="862" t="n"/>
      <c r="L11" s="862" t="n"/>
      <c r="M11" s="862" t="n"/>
      <c r="N11" s="862" t="n"/>
      <c r="O11" s="862" t="n"/>
      <c r="P11" s="862" t="n"/>
      <c r="Q11" s="862" t="n"/>
      <c r="R11" s="863" t="n"/>
      <c r="S11" s="863" t="n"/>
      <c r="T11" s="863" t="n"/>
      <c r="U11" s="863" t="n"/>
      <c r="V11" s="863" t="n"/>
      <c r="W11" s="863" t="n"/>
      <c r="X11" s="863" t="n"/>
      <c r="Y11" s="863" t="n"/>
      <c r="Z11" s="863" t="n"/>
      <c r="AA11" s="863" t="n"/>
      <c r="AB11" s="863" t="n"/>
      <c r="AC11" s="863" t="n"/>
      <c r="AD11" s="863" t="n"/>
      <c r="AE11" s="863" t="n"/>
      <c r="AF11" s="863" t="n"/>
      <c r="AG11" s="863" t="n"/>
      <c r="AH11" s="863" t="n"/>
      <c r="AI11" s="863" t="n"/>
      <c r="AJ11" s="863" t="n"/>
      <c r="AK11" s="863" t="n"/>
      <c r="AL11" s="863" t="n"/>
      <c r="AM11" s="863" t="n"/>
      <c r="AN11" s="863" t="n"/>
      <c r="AO11" s="863" t="n"/>
      <c r="AP11" s="863" t="n"/>
      <c r="AQ11" s="863" t="n"/>
      <c r="AR11" s="863" t="n"/>
      <c r="AS11" s="863" t="n"/>
      <c r="AT11" s="863" t="n"/>
      <c r="AU11" s="863" t="n"/>
      <c r="AV11" s="863" t="n"/>
      <c r="AW11" s="863" t="n"/>
      <c r="AX11" s="863" t="n"/>
      <c r="AY11" s="863" t="n"/>
    </row>
    <row r="12" ht="17.25" customFormat="1" customHeight="1" s="85" thickBot="1" thickTop="1">
      <c r="A12" s="96" t="inlineStr">
        <is>
          <t>698A</t>
        </is>
      </c>
      <c r="B12" s="331" t="inlineStr">
        <is>
          <t>Non-Federally Guaranteed Student Loans</t>
        </is>
      </c>
      <c r="C12" s="335" t="inlineStr">
        <is>
          <t>Non-Federally Guaranteed Student Loans</t>
        </is>
      </c>
      <c r="D12" s="862" t="n"/>
      <c r="E12" s="862" t="n"/>
      <c r="F12" s="862" t="n"/>
      <c r="G12" s="862" t="n"/>
      <c r="H12" s="862" t="n"/>
      <c r="I12" s="862" t="n"/>
      <c r="J12" s="862" t="n"/>
      <c r="K12" s="862" t="n"/>
      <c r="L12" s="862" t="n"/>
      <c r="M12" s="862" t="n"/>
      <c r="N12" s="862" t="n"/>
      <c r="O12" s="862" t="n"/>
      <c r="P12" s="862" t="n"/>
      <c r="Q12" s="862" t="n"/>
      <c r="R12" s="863" t="n"/>
      <c r="S12" s="863" t="n"/>
      <c r="T12" s="863" t="n"/>
      <c r="U12" s="863" t="n"/>
      <c r="V12" s="863" t="n"/>
      <c r="W12" s="863" t="n"/>
      <c r="X12" s="863" t="n"/>
      <c r="Y12" s="863" t="n"/>
      <c r="Z12" s="863" t="n"/>
      <c r="AA12" s="863" t="n"/>
      <c r="AB12" s="863" t="n"/>
      <c r="AC12" s="863" t="n"/>
      <c r="AD12" s="863" t="n"/>
      <c r="AE12" s="863" t="n"/>
      <c r="AF12" s="863" t="n"/>
      <c r="AG12" s="863" t="n"/>
      <c r="AH12" s="863" t="n"/>
      <c r="AI12" s="863" t="n"/>
      <c r="AJ12" s="863" t="n"/>
      <c r="AK12" s="863" t="n"/>
      <c r="AL12" s="863" t="n"/>
      <c r="AM12" s="863" t="n"/>
      <c r="AN12" s="863" t="n"/>
      <c r="AO12" s="863" t="n"/>
      <c r="AP12" s="863" t="n"/>
      <c r="AQ12" s="863" t="n"/>
      <c r="AR12" s="863" t="n"/>
      <c r="AS12" s="863" t="n"/>
      <c r="AT12" s="863" t="n"/>
      <c r="AU12" s="863" t="n"/>
      <c r="AV12" s="863" t="n"/>
      <c r="AW12" s="863" t="n"/>
      <c r="AX12" s="863" t="n"/>
      <c r="AY12" s="863" t="n"/>
    </row>
    <row r="13" ht="17.25" customFormat="1" customHeight="1" s="85" thickBot="1" thickTop="1">
      <c r="A13" s="96" t="inlineStr">
        <is>
          <t>385</t>
        </is>
      </c>
      <c r="B13" s="331" t="inlineStr">
        <is>
          <t>New Vehicle Loans</t>
        </is>
      </c>
      <c r="C13" s="335" t="inlineStr">
        <is>
          <t>New Vehicle Loans</t>
        </is>
      </c>
      <c r="D13" s="862" t="n"/>
      <c r="E13" s="862" t="n"/>
      <c r="F13" s="862" t="n"/>
      <c r="G13" s="862" t="n"/>
      <c r="H13" s="862" t="n"/>
      <c r="I13" s="862" t="n"/>
      <c r="J13" s="862" t="n"/>
      <c r="K13" s="862" t="n"/>
      <c r="L13" s="862" t="n"/>
      <c r="M13" s="862" t="n"/>
      <c r="N13" s="862" t="n"/>
      <c r="O13" s="862" t="n"/>
      <c r="P13" s="862" t="n"/>
      <c r="Q13" s="862" t="n"/>
      <c r="R13" s="863" t="n"/>
      <c r="S13" s="863" t="n"/>
      <c r="T13" s="863" t="n"/>
      <c r="U13" s="863" t="n"/>
      <c r="V13" s="863" t="n"/>
      <c r="W13" s="863" t="n"/>
      <c r="X13" s="863" t="n"/>
      <c r="Y13" s="863" t="n"/>
      <c r="Z13" s="863" t="n"/>
      <c r="AA13" s="863" t="n"/>
      <c r="AB13" s="863" t="n"/>
      <c r="AC13" s="863" t="n"/>
      <c r="AD13" s="863" t="n"/>
      <c r="AE13" s="863" t="n"/>
      <c r="AF13" s="863" t="n"/>
      <c r="AG13" s="863" t="n"/>
      <c r="AH13" s="863" t="n"/>
      <c r="AI13" s="863" t="n"/>
      <c r="AJ13" s="863" t="n"/>
      <c r="AK13" s="863" t="n"/>
      <c r="AL13" s="863" t="n"/>
      <c r="AM13" s="863" t="n"/>
      <c r="AN13" s="863" t="n"/>
      <c r="AO13" s="863" t="n"/>
      <c r="AP13" s="863" t="n"/>
      <c r="AQ13" s="863" t="n"/>
      <c r="AR13" s="863" t="n"/>
      <c r="AS13" s="863" t="n"/>
      <c r="AT13" s="863" t="n"/>
      <c r="AU13" s="863" t="n"/>
      <c r="AV13" s="863" t="n"/>
      <c r="AW13" s="863" t="n"/>
      <c r="AX13" s="863" t="n"/>
      <c r="AY13" s="863" t="n"/>
    </row>
    <row r="14" ht="17.25" customFormat="1" customHeight="1" s="85" thickBot="1" thickTop="1">
      <c r="A14" s="96" t="inlineStr">
        <is>
          <t>370</t>
        </is>
      </c>
      <c r="B14" s="331" t="inlineStr">
        <is>
          <t>Used Vehicle Loans</t>
        </is>
      </c>
      <c r="C14" s="335" t="inlineStr">
        <is>
          <t>Used Vehicle Loans</t>
        </is>
      </c>
      <c r="D14" s="862" t="n"/>
      <c r="E14" s="862" t="n"/>
      <c r="F14" s="862" t="n"/>
      <c r="G14" s="862" t="n"/>
      <c r="H14" s="862" t="n"/>
      <c r="I14" s="862" t="n"/>
      <c r="J14" s="862" t="n"/>
      <c r="K14" s="862" t="n"/>
      <c r="L14" s="862" t="n"/>
      <c r="M14" s="862" t="n"/>
      <c r="N14" s="862" t="n"/>
      <c r="O14" s="862" t="n"/>
      <c r="P14" s="862" t="n"/>
      <c r="Q14" s="862" t="n"/>
      <c r="R14" s="863" t="n"/>
      <c r="S14" s="863" t="n"/>
      <c r="T14" s="863" t="n"/>
      <c r="U14" s="863" t="n"/>
      <c r="V14" s="863" t="n"/>
      <c r="W14" s="863" t="n"/>
      <c r="X14" s="863" t="n"/>
      <c r="Y14" s="863" t="n"/>
      <c r="Z14" s="863" t="n"/>
      <c r="AA14" s="863" t="n"/>
      <c r="AB14" s="863" t="n"/>
      <c r="AC14" s="863" t="n"/>
      <c r="AD14" s="863" t="n"/>
      <c r="AE14" s="863" t="n"/>
      <c r="AF14" s="863" t="n"/>
      <c r="AG14" s="863" t="n"/>
      <c r="AH14" s="863" t="n"/>
      <c r="AI14" s="863" t="n"/>
      <c r="AJ14" s="863" t="n"/>
      <c r="AK14" s="863" t="n"/>
      <c r="AL14" s="863" t="n"/>
      <c r="AM14" s="863" t="n"/>
      <c r="AN14" s="863" t="n"/>
      <c r="AO14" s="863" t="n"/>
      <c r="AP14" s="863" t="n"/>
      <c r="AQ14" s="863" t="n"/>
      <c r="AR14" s="863" t="n"/>
      <c r="AS14" s="863" t="n"/>
      <c r="AT14" s="863" t="n"/>
      <c r="AU14" s="863" t="n"/>
      <c r="AV14" s="863" t="n"/>
      <c r="AW14" s="863" t="n"/>
      <c r="AX14" s="863" t="n"/>
      <c r="AY14" s="863" t="n"/>
    </row>
    <row r="15" ht="17.25" customFormat="1" customHeight="1" s="85" thickBot="1" thickTop="1">
      <c r="A15" s="96" t="inlineStr">
        <is>
          <t>703</t>
        </is>
      </c>
      <c r="B15" s="331" t="inlineStr">
        <is>
          <t>Total 1st Mortgage Real Estate Loans/Lines of Credit</t>
        </is>
      </c>
      <c r="C15" s="335" t="inlineStr">
        <is>
          <t>Loans/Lines of Credit Secured by a First Lien on a single 1- to 4-Family Residential Property</t>
        </is>
      </c>
      <c r="D15" s="862" t="n"/>
      <c r="E15" s="862" t="n"/>
      <c r="F15" s="862" t="n"/>
      <c r="G15" s="862" t="n"/>
      <c r="H15" s="862" t="n"/>
      <c r="I15" s="862" t="n"/>
      <c r="J15" s="862" t="n"/>
      <c r="K15" s="862" t="n"/>
      <c r="L15" s="862" t="n"/>
      <c r="M15" s="862" t="n"/>
      <c r="N15" s="862" t="n"/>
      <c r="O15" s="862" t="n"/>
      <c r="P15" s="862" t="n"/>
      <c r="Q15" s="862" t="n"/>
      <c r="R15" s="863" t="n"/>
      <c r="S15" s="863" t="n"/>
      <c r="T15" s="863" t="n"/>
      <c r="U15" s="863" t="n"/>
      <c r="V15" s="863" t="n"/>
      <c r="W15" s="863" t="n"/>
      <c r="X15" s="863" t="n"/>
      <c r="Y15" s="863" t="n"/>
      <c r="Z15" s="863" t="n"/>
      <c r="AA15" s="863" t="n"/>
      <c r="AB15" s="863" t="n"/>
      <c r="AC15" s="863" t="n"/>
      <c r="AD15" s="863" t="n"/>
      <c r="AE15" s="863" t="n"/>
      <c r="AF15" s="863" t="n"/>
      <c r="AG15" s="863" t="n"/>
      <c r="AH15" s="863" t="n"/>
      <c r="AI15" s="863" t="n"/>
      <c r="AJ15" s="863" t="n"/>
      <c r="AK15" s="863" t="n"/>
      <c r="AL15" s="863" t="n"/>
      <c r="AM15" s="863" t="n"/>
      <c r="AN15" s="863" t="n"/>
      <c r="AO15" s="863" t="n"/>
      <c r="AP15" s="863" t="n"/>
      <c r="AQ15" s="863" t="n"/>
      <c r="AR15" s="863" t="n"/>
      <c r="AS15" s="863" t="n"/>
      <c r="AT15" s="863" t="n"/>
      <c r="AU15" s="863" t="n"/>
      <c r="AV15" s="863" t="n"/>
      <c r="AW15" s="863" t="n"/>
      <c r="AX15" s="863" t="n"/>
      <c r="AY15" s="863" t="n"/>
    </row>
    <row r="16" ht="17.25" customFormat="1" customHeight="1" s="85" thickBot="1" thickTop="1">
      <c r="A16" s="96" t="inlineStr">
        <is>
          <t>386</t>
        </is>
      </c>
      <c r="B16" s="331" t="inlineStr">
        <is>
          <t>Total Other Real Estate Loans/Lines of Credit</t>
        </is>
      </c>
      <c r="C16" s="335" t="inlineStr">
        <is>
          <t>All Other (Non-Commercial) Real Estate Loans/Lines of Credit</t>
        </is>
      </c>
      <c r="D16" s="862" t="n"/>
      <c r="E16" s="862" t="n"/>
      <c r="F16" s="862" t="n"/>
      <c r="G16" s="862" t="n"/>
      <c r="H16" s="862" t="n"/>
      <c r="I16" s="862" t="n"/>
      <c r="J16" s="862" t="n"/>
      <c r="K16" s="862" t="n"/>
      <c r="L16" s="862" t="n"/>
      <c r="M16" s="862" t="n"/>
      <c r="N16" s="862" t="n"/>
      <c r="O16" s="862" t="n"/>
      <c r="P16" s="862" t="n"/>
      <c r="Q16" s="862" t="n"/>
      <c r="R16" s="863" t="n"/>
      <c r="S16" s="863" t="n"/>
      <c r="T16" s="863" t="n"/>
      <c r="U16" s="863" t="n"/>
      <c r="V16" s="863" t="n"/>
      <c r="W16" s="863" t="n"/>
      <c r="X16" s="863" t="n"/>
      <c r="Y16" s="863" t="n"/>
      <c r="Z16" s="863" t="n"/>
      <c r="AA16" s="863" t="n"/>
      <c r="AB16" s="863" t="n"/>
      <c r="AC16" s="863" t="n"/>
      <c r="AD16" s="863" t="n"/>
      <c r="AE16" s="863" t="n"/>
      <c r="AF16" s="863" t="n"/>
      <c r="AG16" s="863" t="n"/>
      <c r="AH16" s="863" t="n"/>
      <c r="AI16" s="863" t="n"/>
      <c r="AJ16" s="863" t="n"/>
      <c r="AK16" s="863" t="n"/>
      <c r="AL16" s="863" t="n"/>
      <c r="AM16" s="863" t="n"/>
      <c r="AN16" s="863" t="n"/>
      <c r="AO16" s="863" t="n"/>
      <c r="AP16" s="863" t="n"/>
      <c r="AQ16" s="863" t="n"/>
      <c r="AR16" s="863" t="n"/>
      <c r="AS16" s="863" t="n"/>
      <c r="AT16" s="863" t="n"/>
      <c r="AU16" s="863" t="n"/>
      <c r="AV16" s="863" t="n"/>
      <c r="AW16" s="863" t="n"/>
      <c r="AX16" s="863" t="n"/>
      <c r="AY16" s="863" t="n"/>
    </row>
    <row r="17" ht="17.25" customFormat="1" customHeight="1" s="85" thickBot="1" thickTop="1">
      <c r="A17" s="96" t="inlineStr">
        <is>
          <t>002</t>
        </is>
      </c>
      <c r="B17" s="331" t="inlineStr">
        <is>
          <t>Leases Receivable</t>
        </is>
      </c>
      <c r="C17" s="335" t="inlineStr">
        <is>
          <t>Leases Receivable</t>
        </is>
      </c>
      <c r="D17" s="862" t="n"/>
      <c r="E17" s="862" t="n"/>
      <c r="F17" s="862" t="n"/>
      <c r="G17" s="862" t="n"/>
      <c r="H17" s="862" t="n"/>
      <c r="I17" s="862" t="n"/>
      <c r="J17" s="862" t="n"/>
      <c r="K17" s="862" t="n"/>
      <c r="L17" s="862" t="n"/>
      <c r="M17" s="862" t="n"/>
      <c r="N17" s="862" t="n"/>
      <c r="O17" s="862" t="n"/>
      <c r="P17" s="862" t="n"/>
      <c r="Q17" s="862" t="n"/>
      <c r="R17" s="863" t="n"/>
      <c r="S17" s="863" t="n"/>
      <c r="T17" s="863" t="n"/>
      <c r="U17" s="863" t="n"/>
      <c r="V17" s="863" t="n"/>
      <c r="W17" s="863" t="n"/>
      <c r="X17" s="863" t="n"/>
      <c r="Y17" s="863" t="n"/>
      <c r="Z17" s="863" t="n"/>
      <c r="AA17" s="863" t="n"/>
      <c r="AB17" s="863" t="n"/>
      <c r="AC17" s="863" t="n"/>
      <c r="AD17" s="863" t="n"/>
      <c r="AE17" s="863" t="n"/>
      <c r="AF17" s="863" t="n"/>
      <c r="AG17" s="863" t="n"/>
      <c r="AH17" s="863" t="n"/>
      <c r="AI17" s="863" t="n"/>
      <c r="AJ17" s="863" t="n"/>
      <c r="AK17" s="863" t="n"/>
      <c r="AL17" s="863" t="n"/>
      <c r="AM17" s="863" t="n"/>
      <c r="AN17" s="863" t="n"/>
      <c r="AO17" s="863" t="n"/>
      <c r="AP17" s="863" t="n"/>
      <c r="AQ17" s="863" t="n"/>
      <c r="AR17" s="863" t="n"/>
      <c r="AS17" s="863" t="n"/>
      <c r="AT17" s="863" t="n"/>
      <c r="AU17" s="863" t="n"/>
      <c r="AV17" s="863" t="n"/>
      <c r="AW17" s="863" t="n"/>
      <c r="AX17" s="863" t="n"/>
      <c r="AY17" s="863" t="n"/>
    </row>
    <row r="18" ht="17.25" customFormat="1" customHeight="1" s="85" thickBot="1" thickTop="1">
      <c r="A18" s="96" t="inlineStr">
        <is>
          <t>698</t>
        </is>
      </c>
      <c r="B18" s="342" t="inlineStr">
        <is>
          <t>Total All Other Loans/Lines of Credit</t>
        </is>
      </c>
      <c r="C18" s="335" t="inlineStr">
        <is>
          <t>All Other Secured Non-Real Estate Loans/Lines of Credit</t>
        </is>
      </c>
      <c r="D18" s="864" t="n"/>
      <c r="E18" s="865" t="n"/>
      <c r="F18" s="865" t="n"/>
      <c r="G18" s="865" t="n"/>
      <c r="H18" s="865" t="n"/>
      <c r="I18" s="865" t="n"/>
      <c r="J18" s="865" t="n"/>
      <c r="K18" s="865" t="n"/>
      <c r="L18" s="865" t="n"/>
      <c r="M18" s="865" t="n"/>
      <c r="N18" s="865" t="n"/>
      <c r="O18" s="865" t="n"/>
      <c r="P18" s="865" t="n"/>
      <c r="Q18" s="865" t="n"/>
      <c r="R18" s="863" t="n"/>
      <c r="S18" s="863" t="n"/>
      <c r="T18" s="863" t="n"/>
      <c r="U18" s="863" t="n"/>
      <c r="V18" s="863" t="n"/>
      <c r="W18" s="863" t="n"/>
      <c r="X18" s="863" t="n"/>
      <c r="Y18" s="863" t="n"/>
      <c r="Z18" s="863" t="n"/>
      <c r="AA18" s="863" t="n"/>
      <c r="AB18" s="863" t="n"/>
      <c r="AC18" s="863" t="n"/>
      <c r="AD18" s="863" t="n"/>
      <c r="AE18" s="863" t="n"/>
      <c r="AF18" s="863" t="n"/>
      <c r="AG18" s="863" t="n"/>
      <c r="AH18" s="863" t="n"/>
      <c r="AI18" s="863" t="n"/>
      <c r="AJ18" s="863" t="n"/>
      <c r="AK18" s="863" t="n"/>
      <c r="AL18" s="863" t="n"/>
      <c r="AM18" s="863" t="n"/>
      <c r="AN18" s="863" t="n"/>
      <c r="AO18" s="863" t="n"/>
      <c r="AP18" s="863" t="n"/>
      <c r="AQ18" s="863" t="n"/>
      <c r="AR18" s="863" t="n"/>
      <c r="AS18" s="863" t="n"/>
      <c r="AT18" s="863" t="n"/>
      <c r="AU18" s="863" t="n"/>
      <c r="AV18" s="863" t="n"/>
      <c r="AW18" s="863" t="n"/>
      <c r="AX18" s="863" t="n"/>
      <c r="AY18" s="863" t="n"/>
    </row>
    <row r="19" ht="17.25" customFormat="1" customHeight="1" s="85" thickBot="1" thickTop="1">
      <c r="A19" s="247" t="inlineStr">
        <is>
          <t>719</t>
        </is>
      </c>
      <c r="B19" s="255" t="inlineStr">
        <is>
          <t>Less: Allowance for Loan &amp; Lease Losses</t>
        </is>
      </c>
      <c r="C19" s="338" t="n"/>
      <c r="D19" s="866" t="n"/>
      <c r="E19" s="866" t="n"/>
      <c r="F19" s="866" t="n"/>
      <c r="G19" s="866" t="n"/>
      <c r="H19" s="866" t="n"/>
      <c r="I19" s="866" t="n"/>
      <c r="J19" s="866" t="n"/>
      <c r="K19" s="866" t="n"/>
      <c r="L19" s="866" t="n"/>
      <c r="M19" s="866" t="n"/>
      <c r="N19" s="866" t="n"/>
      <c r="O19" s="866" t="n"/>
      <c r="P19" s="866" t="n"/>
      <c r="Q19" s="866" t="n"/>
      <c r="R19" s="867" t="n"/>
      <c r="S19" s="867" t="n"/>
      <c r="T19" s="867" t="n"/>
      <c r="U19" s="867" t="n"/>
      <c r="V19" s="867" t="n"/>
      <c r="W19" s="867" t="n"/>
      <c r="X19" s="867" t="n"/>
      <c r="Y19" s="867" t="n"/>
      <c r="Z19" s="867" t="n"/>
      <c r="AA19" s="867" t="n"/>
      <c r="AB19" s="867" t="n"/>
      <c r="AC19" s="867" t="n"/>
      <c r="AD19" s="867" t="n"/>
      <c r="AE19" s="867" t="n"/>
      <c r="AF19" s="867" t="n"/>
      <c r="AG19" s="867" t="n"/>
      <c r="AH19" s="867" t="n"/>
      <c r="AI19" s="867" t="n"/>
      <c r="AJ19" s="867" t="n"/>
      <c r="AK19" s="867" t="n"/>
      <c r="AL19" s="867" t="n"/>
      <c r="AM19" s="867" t="n"/>
      <c r="AN19" s="867" t="n"/>
      <c r="AO19" s="867" t="n"/>
      <c r="AP19" s="867" t="n"/>
      <c r="AQ19" s="867" t="n"/>
      <c r="AR19" s="867" t="n"/>
      <c r="AS19" s="867" t="n"/>
      <c r="AT19" s="867" t="n"/>
      <c r="AU19" s="867" t="n"/>
      <c r="AV19" s="867" t="n"/>
      <c r="AW19" s="867" t="n"/>
      <c r="AX19" s="867" t="n"/>
      <c r="AY19" s="867" t="n"/>
    </row>
    <row r="20" ht="17.25" customFormat="1" customHeight="1" s="85" thickBot="1" thickTop="1">
      <c r="A20" s="96" t="inlineStr">
        <is>
          <t>719</t>
        </is>
      </c>
      <c r="B20" s="253" t="inlineStr">
        <is>
          <t>Less: Allowance for Loan &amp; Lease Losses</t>
        </is>
      </c>
      <c r="C20" s="338" t="n"/>
      <c r="D20" s="868" t="n"/>
      <c r="E20" s="868" t="n"/>
      <c r="F20" s="868" t="n"/>
      <c r="G20" s="868" t="n"/>
      <c r="H20" s="868" t="n"/>
      <c r="I20" s="868" t="n"/>
      <c r="J20" s="868" t="n"/>
      <c r="K20" s="868" t="n"/>
      <c r="L20" s="868" t="n"/>
      <c r="M20" s="868" t="n"/>
      <c r="N20" s="868" t="n"/>
      <c r="O20" s="868" t="n"/>
      <c r="P20" s="868" t="n"/>
      <c r="Q20" s="868" t="n"/>
      <c r="R20" s="869" t="n"/>
      <c r="S20" s="869" t="n"/>
      <c r="T20" s="869" t="n"/>
      <c r="U20" s="869" t="n"/>
      <c r="V20" s="869" t="n"/>
      <c r="W20" s="869" t="n"/>
      <c r="X20" s="869" t="n"/>
      <c r="Y20" s="869" t="n"/>
      <c r="Z20" s="869" t="n"/>
      <c r="AA20" s="869" t="n"/>
      <c r="AB20" s="869" t="n"/>
      <c r="AC20" s="869" t="n"/>
      <c r="AD20" s="869" t="n"/>
      <c r="AE20" s="869" t="n"/>
      <c r="AF20" s="869" t="n"/>
      <c r="AG20" s="869" t="n"/>
      <c r="AH20" s="869" t="n"/>
      <c r="AI20" s="869" t="n"/>
      <c r="AJ20" s="869" t="n"/>
      <c r="AK20" s="869" t="n"/>
      <c r="AL20" s="869" t="n"/>
      <c r="AM20" s="869" t="n"/>
      <c r="AN20" s="869" t="n"/>
      <c r="AO20" s="869" t="n"/>
      <c r="AP20" s="869" t="n"/>
      <c r="AQ20" s="869" t="n"/>
      <c r="AR20" s="869" t="n"/>
      <c r="AS20" s="869" t="n"/>
      <c r="AT20" s="869" t="n"/>
      <c r="AU20" s="869" t="n"/>
      <c r="AV20" s="869" t="n"/>
      <c r="AW20" s="869" t="n"/>
      <c r="AX20" s="869" t="n"/>
      <c r="AY20" s="869" t="n"/>
    </row>
    <row r="21" ht="17.25" customFormat="1" customHeight="1" s="85" thickBot="1" thickTop="1">
      <c r="A21" s="248" t="inlineStr">
        <is>
          <t>AS0048</t>
        </is>
      </c>
      <c r="B21" s="333" t="inlineStr">
        <is>
          <t>Less: Allowance for Credit Losses on Loans &amp; Leases- Credit Losses (CECL)</t>
        </is>
      </c>
      <c r="C21" s="338" t="n"/>
      <c r="D21" s="870" t="n"/>
      <c r="E21" s="870" t="n"/>
      <c r="F21" s="870" t="n"/>
      <c r="G21" s="870" t="n"/>
      <c r="H21" s="870" t="n"/>
      <c r="I21" s="870" t="n"/>
      <c r="J21" s="870" t="n"/>
      <c r="K21" s="870" t="n"/>
      <c r="L21" s="870" t="n"/>
      <c r="M21" s="870" t="n"/>
      <c r="N21" s="870" t="n"/>
      <c r="O21" s="870" t="n"/>
      <c r="P21" s="870" t="n"/>
      <c r="Q21" s="870" t="n"/>
      <c r="R21" s="870" t="n"/>
      <c r="S21" s="870" t="n"/>
      <c r="T21" s="870" t="n"/>
      <c r="U21" s="870" t="n"/>
      <c r="V21" s="870" t="n"/>
      <c r="W21" s="870" t="n"/>
      <c r="X21" s="865" t="n"/>
      <c r="Y21" s="865" t="n"/>
      <c r="Z21" s="865" t="n"/>
      <c r="AA21" s="865" t="n"/>
      <c r="AB21" s="865" t="n"/>
      <c r="AC21" s="865" t="n"/>
      <c r="AD21" s="865" t="n"/>
      <c r="AE21" s="865" t="n"/>
      <c r="AF21" s="865" t="n"/>
      <c r="AG21" s="865" t="n"/>
      <c r="AH21" s="865" t="n"/>
      <c r="AI21" s="865" t="n"/>
      <c r="AJ21" s="865" t="n"/>
      <c r="AK21" s="865" t="n"/>
      <c r="AL21" s="865" t="n"/>
      <c r="AM21" s="865" t="n"/>
      <c r="AN21" s="865" t="n"/>
      <c r="AO21" s="865" t="n"/>
      <c r="AP21" s="865" t="n"/>
      <c r="AQ21" s="865" t="n"/>
      <c r="AR21" s="865" t="n"/>
      <c r="AS21" s="865" t="n"/>
      <c r="AT21" s="865" t="n"/>
      <c r="AU21" s="865" t="n"/>
      <c r="AV21" s="865" t="n"/>
      <c r="AW21" s="865" t="n"/>
      <c r="AX21" s="865" t="n"/>
      <c r="AY21" s="865" t="n"/>
    </row>
    <row r="22" ht="17.25" customFormat="1" customHeight="1" s="85" thickBot="1" thickTop="1">
      <c r="A22" s="96" t="n">
        <v>396</v>
      </c>
      <c r="B22" s="331" t="inlineStr">
        <is>
          <t>Unsecured Credit Card Loans</t>
        </is>
      </c>
      <c r="C22" s="335" t="inlineStr">
        <is>
          <t>Unsecured Credit Card Loans</t>
        </is>
      </c>
      <c r="D22" s="863" t="n"/>
      <c r="E22" s="863" t="n"/>
      <c r="F22" s="863" t="n"/>
      <c r="G22" s="863" t="n"/>
      <c r="H22" s="863" t="n"/>
      <c r="I22" s="863" t="n"/>
      <c r="J22" s="863" t="n"/>
      <c r="K22" s="863" t="n"/>
      <c r="L22" s="863" t="n"/>
      <c r="M22" s="863" t="n"/>
      <c r="N22" s="863" t="n"/>
      <c r="O22" s="863" t="n"/>
      <c r="P22" s="863" t="n"/>
      <c r="Q22" s="863" t="n"/>
      <c r="R22" s="862" t="n"/>
      <c r="S22" s="862" t="n"/>
      <c r="T22" s="862" t="n"/>
      <c r="U22" s="862" t="n"/>
      <c r="V22" s="862" t="n"/>
      <c r="W22" s="862" t="n"/>
      <c r="X22" s="862" t="n"/>
      <c r="Y22" s="862" t="n"/>
      <c r="Z22" s="862" t="n"/>
      <c r="AA22" s="862" t="n"/>
      <c r="AB22" s="862" t="n"/>
      <c r="AC22" s="862" t="n"/>
      <c r="AD22" s="862" t="n"/>
      <c r="AE22" s="862" t="n"/>
      <c r="AF22" s="862" t="n"/>
      <c r="AG22" s="862" t="n"/>
      <c r="AH22" s="862" t="n"/>
      <c r="AI22" s="862" t="n"/>
      <c r="AJ22" s="862" t="n"/>
      <c r="AK22" s="862" t="n"/>
      <c r="AL22" s="862" t="n"/>
      <c r="AM22" s="862" t="n"/>
      <c r="AN22" s="862" t="n"/>
      <c r="AO22" s="862" t="n"/>
      <c r="AP22" s="862" t="n"/>
      <c r="AQ22" s="862" t="n"/>
      <c r="AR22" s="862" t="n"/>
      <c r="AS22" s="862" t="n"/>
      <c r="AT22" s="862" t="n"/>
      <c r="AU22" s="862" t="n"/>
      <c r="AV22" s="862" t="n"/>
      <c r="AW22" s="862" t="n"/>
      <c r="AX22" s="862" t="n"/>
      <c r="AY22" s="862" t="n"/>
    </row>
    <row r="23" ht="17.25" customFormat="1" customHeight="1" s="86" thickBot="1" thickTop="1">
      <c r="A23" s="96" t="inlineStr">
        <is>
          <t>397A</t>
        </is>
      </c>
      <c r="B23" s="331" t="inlineStr">
        <is>
          <t>Payday Alternative Loans (PALs I and PALs II) (FCU Only)</t>
        </is>
      </c>
      <c r="C23" s="335" t="inlineStr">
        <is>
          <t>Payday Alternative Loans</t>
        </is>
      </c>
      <c r="D23" s="863" t="n"/>
      <c r="E23" s="863" t="n"/>
      <c r="F23" s="863" t="n"/>
      <c r="G23" s="863" t="n"/>
      <c r="H23" s="863" t="n"/>
      <c r="I23" s="863" t="n"/>
      <c r="J23" s="863" t="n"/>
      <c r="K23" s="863" t="n"/>
      <c r="L23" s="863" t="n"/>
      <c r="M23" s="863" t="n"/>
      <c r="N23" s="863" t="n"/>
      <c r="O23" s="863" t="n"/>
      <c r="P23" s="863" t="n"/>
      <c r="Q23" s="863" t="n"/>
      <c r="R23" s="862" t="n"/>
      <c r="S23" s="862" t="n"/>
      <c r="T23" s="862" t="n"/>
      <c r="U23" s="862" t="n"/>
      <c r="V23" s="862" t="n"/>
      <c r="W23" s="862" t="n"/>
      <c r="X23" s="862" t="n"/>
      <c r="Y23" s="862" t="n"/>
      <c r="Z23" s="862" t="n"/>
      <c r="AA23" s="862" t="n"/>
      <c r="AB23" s="862" t="n"/>
      <c r="AC23" s="862" t="n"/>
      <c r="AD23" s="862" t="n"/>
      <c r="AE23" s="862" t="n"/>
      <c r="AF23" s="862" t="n"/>
      <c r="AG23" s="862" t="n"/>
      <c r="AH23" s="862" t="n"/>
      <c r="AI23" s="862" t="n"/>
      <c r="AJ23" s="862" t="n"/>
      <c r="AK23" s="862" t="n"/>
      <c r="AL23" s="862" t="n"/>
      <c r="AM23" s="862" t="n"/>
      <c r="AN23" s="862" t="n"/>
      <c r="AO23" s="862" t="n"/>
      <c r="AP23" s="862" t="n"/>
      <c r="AQ23" s="862" t="n"/>
      <c r="AR23" s="862" t="n"/>
      <c r="AS23" s="862" t="n"/>
      <c r="AT23" s="862" t="n"/>
      <c r="AU23" s="862" t="n"/>
      <c r="AV23" s="862" t="n"/>
      <c r="AW23" s="862" t="n"/>
      <c r="AX23" s="862" t="n"/>
      <c r="AY23" s="862" t="n"/>
    </row>
    <row r="24" ht="15.75" customFormat="1" customHeight="1" s="85" thickBot="1" thickTop="1">
      <c r="A24" s="96" t="inlineStr">
        <is>
          <t>698A</t>
        </is>
      </c>
      <c r="B24" s="331" t="inlineStr">
        <is>
          <t>Non-Federally Guaranteed Student Loans</t>
        </is>
      </c>
      <c r="C24" s="335" t="inlineStr">
        <is>
          <t>Non-Federally Guaranteed Student Loans</t>
        </is>
      </c>
      <c r="D24" s="863" t="n"/>
      <c r="E24" s="863" t="n"/>
      <c r="F24" s="863" t="n"/>
      <c r="G24" s="863" t="n"/>
      <c r="H24" s="863" t="n"/>
      <c r="I24" s="863" t="n"/>
      <c r="J24" s="863" t="n"/>
      <c r="K24" s="863" t="n"/>
      <c r="L24" s="863" t="n"/>
      <c r="M24" s="863" t="n"/>
      <c r="N24" s="863" t="n"/>
      <c r="O24" s="863" t="n"/>
      <c r="P24" s="863" t="n"/>
      <c r="Q24" s="863" t="n"/>
      <c r="R24" s="862" t="n"/>
      <c r="S24" s="862" t="n"/>
      <c r="T24" s="862" t="n"/>
      <c r="U24" s="862" t="n"/>
      <c r="V24" s="862" t="n"/>
      <c r="W24" s="862" t="n"/>
      <c r="X24" s="862" t="n"/>
      <c r="Y24" s="862" t="n"/>
      <c r="Z24" s="862" t="n"/>
      <c r="AA24" s="862" t="n"/>
      <c r="AB24" s="862" t="n"/>
      <c r="AC24" s="862" t="n"/>
      <c r="AD24" s="862" t="n"/>
      <c r="AE24" s="862" t="n"/>
      <c r="AF24" s="862" t="n"/>
      <c r="AG24" s="862" t="n"/>
      <c r="AH24" s="862" t="n"/>
      <c r="AI24" s="862" t="n"/>
      <c r="AJ24" s="862" t="n"/>
      <c r="AK24" s="862" t="n"/>
      <c r="AL24" s="862" t="n"/>
      <c r="AM24" s="862" t="n"/>
      <c r="AN24" s="862" t="n"/>
      <c r="AO24" s="862" t="n"/>
      <c r="AP24" s="862" t="n"/>
      <c r="AQ24" s="862" t="n"/>
      <c r="AR24" s="862" t="n"/>
      <c r="AS24" s="862" t="n"/>
      <c r="AT24" s="862" t="n"/>
      <c r="AU24" s="862" t="n"/>
      <c r="AV24" s="862" t="n"/>
      <c r="AW24" s="862" t="n"/>
      <c r="AX24" s="862" t="n"/>
      <c r="AY24" s="862" t="n"/>
    </row>
    <row r="25" ht="17.25" customFormat="1" customHeight="1" s="85" thickBot="1" thickTop="1">
      <c r="A25" s="96" t="n">
        <v>397</v>
      </c>
      <c r="B25" s="331" t="inlineStr">
        <is>
          <t>All Other Unsecured Loans/Lines of Credit - include SBA PPP loans</t>
        </is>
      </c>
      <c r="C25" s="335" t="inlineStr">
        <is>
          <t>All Other Unsecured Loans/Lines of Credit</t>
        </is>
      </c>
      <c r="D25" s="863" t="n"/>
      <c r="E25" s="863" t="n"/>
      <c r="F25" s="863" t="n"/>
      <c r="G25" s="863" t="n"/>
      <c r="H25" s="863" t="n"/>
      <c r="I25" s="863" t="n"/>
      <c r="J25" s="863" t="n"/>
      <c r="K25" s="863" t="n"/>
      <c r="L25" s="863" t="n"/>
      <c r="M25" s="863" t="n"/>
      <c r="N25" s="863" t="n"/>
      <c r="O25" s="863" t="n"/>
      <c r="P25" s="863" t="n"/>
      <c r="Q25" s="863" t="n"/>
      <c r="R25" s="862" t="n"/>
      <c r="S25" s="862" t="n"/>
      <c r="T25" s="862" t="n"/>
      <c r="U25" s="862" t="n"/>
      <c r="V25" s="862" t="n"/>
      <c r="W25" s="862" t="n"/>
      <c r="X25" s="862" t="n"/>
      <c r="Y25" s="862" t="n"/>
      <c r="Z25" s="862" t="n"/>
      <c r="AA25" s="862" t="n"/>
      <c r="AB25" s="862" t="n"/>
      <c r="AC25" s="862" t="n"/>
      <c r="AD25" s="862" t="n"/>
      <c r="AE25" s="862" t="n"/>
      <c r="AF25" s="862" t="n"/>
      <c r="AG25" s="862" t="n"/>
      <c r="AH25" s="862" t="n"/>
      <c r="AI25" s="862" t="n"/>
      <c r="AJ25" s="862" t="n"/>
      <c r="AK25" s="862" t="n"/>
      <c r="AL25" s="862" t="n"/>
      <c r="AM25" s="862" t="n"/>
      <c r="AN25" s="862" t="n"/>
      <c r="AO25" s="862" t="n"/>
      <c r="AP25" s="862" t="n"/>
      <c r="AQ25" s="862" t="n"/>
      <c r="AR25" s="862" t="n"/>
      <c r="AS25" s="862" t="n"/>
      <c r="AT25" s="862" t="n"/>
      <c r="AU25" s="862" t="n"/>
      <c r="AV25" s="862" t="n"/>
      <c r="AW25" s="862" t="n"/>
      <c r="AX25" s="862" t="n"/>
      <c r="AY25" s="862" t="n"/>
    </row>
    <row r="26" ht="17.25" customFormat="1" customHeight="1" s="85" thickBot="1" thickTop="1">
      <c r="A26" s="96" t="n">
        <v>385</v>
      </c>
      <c r="B26" s="331" t="inlineStr">
        <is>
          <t>New Vehicle Loans</t>
        </is>
      </c>
      <c r="C26" s="335" t="inlineStr">
        <is>
          <t>New Vehicle Loans</t>
        </is>
      </c>
      <c r="D26" s="863" t="n"/>
      <c r="E26" s="863" t="n"/>
      <c r="F26" s="863" t="n"/>
      <c r="G26" s="863" t="n"/>
      <c r="H26" s="863" t="n"/>
      <c r="I26" s="863" t="n"/>
      <c r="J26" s="863" t="n"/>
      <c r="K26" s="863" t="n"/>
      <c r="L26" s="863" t="n"/>
      <c r="M26" s="863" t="n"/>
      <c r="N26" s="863" t="n"/>
      <c r="O26" s="863" t="n"/>
      <c r="P26" s="863" t="n"/>
      <c r="Q26" s="863" t="n"/>
      <c r="R26" s="862" t="n"/>
      <c r="S26" s="862" t="n"/>
      <c r="T26" s="862" t="n"/>
      <c r="U26" s="862" t="n"/>
      <c r="V26" s="862" t="n"/>
      <c r="W26" s="862" t="n"/>
      <c r="X26" s="862" t="n"/>
      <c r="Y26" s="862" t="n"/>
      <c r="Z26" s="862" t="n"/>
      <c r="AA26" s="862" t="n"/>
      <c r="AB26" s="862" t="n"/>
      <c r="AC26" s="862" t="n"/>
      <c r="AD26" s="862" t="n"/>
      <c r="AE26" s="862" t="n"/>
      <c r="AF26" s="862" t="n"/>
      <c r="AG26" s="862" t="n"/>
      <c r="AH26" s="862" t="n"/>
      <c r="AI26" s="862" t="n"/>
      <c r="AJ26" s="862" t="n"/>
      <c r="AK26" s="862" t="n"/>
      <c r="AL26" s="862" t="n"/>
      <c r="AM26" s="862" t="n"/>
      <c r="AN26" s="862" t="n"/>
      <c r="AO26" s="862" t="n"/>
      <c r="AP26" s="862" t="n"/>
      <c r="AQ26" s="862" t="n"/>
      <c r="AR26" s="862" t="n"/>
      <c r="AS26" s="862" t="n"/>
      <c r="AT26" s="862" t="n"/>
      <c r="AU26" s="862" t="n"/>
      <c r="AV26" s="862" t="n"/>
      <c r="AW26" s="862" t="n"/>
      <c r="AX26" s="862" t="n"/>
      <c r="AY26" s="862" t="n"/>
    </row>
    <row r="27" ht="17.25" customFormat="1" customHeight="1" s="85" thickBot="1" thickTop="1">
      <c r="A27" s="96" t="n">
        <v>370</v>
      </c>
      <c r="B27" s="331" t="inlineStr">
        <is>
          <t>Used Vehicle Loans</t>
        </is>
      </c>
      <c r="C27" s="335" t="inlineStr">
        <is>
          <t>Used Vehicle Loans</t>
        </is>
      </c>
      <c r="D27" s="863" t="n"/>
      <c r="E27" s="863" t="n"/>
      <c r="F27" s="863" t="n"/>
      <c r="G27" s="863" t="n"/>
      <c r="H27" s="863" t="n"/>
      <c r="I27" s="863" t="n"/>
      <c r="J27" s="863" t="n"/>
      <c r="K27" s="863" t="n"/>
      <c r="L27" s="863" t="n"/>
      <c r="M27" s="863" t="n"/>
      <c r="N27" s="863" t="n"/>
      <c r="O27" s="863" t="n"/>
      <c r="P27" s="863" t="n"/>
      <c r="Q27" s="863" t="n"/>
      <c r="R27" s="862" t="n"/>
      <c r="S27" s="862" t="n"/>
      <c r="T27" s="862" t="n"/>
      <c r="U27" s="862" t="n"/>
      <c r="V27" s="862" t="n"/>
      <c r="W27" s="862" t="n"/>
      <c r="X27" s="862" t="n"/>
      <c r="Y27" s="862" t="n"/>
      <c r="Z27" s="862" t="n"/>
      <c r="AA27" s="862" t="n"/>
      <c r="AB27" s="862" t="n"/>
      <c r="AC27" s="862" t="n"/>
      <c r="AD27" s="862" t="n"/>
      <c r="AE27" s="862" t="n"/>
      <c r="AF27" s="862" t="n"/>
      <c r="AG27" s="862" t="n"/>
      <c r="AH27" s="862" t="n"/>
      <c r="AI27" s="862" t="n"/>
      <c r="AJ27" s="862" t="n"/>
      <c r="AK27" s="862" t="n"/>
      <c r="AL27" s="862" t="n"/>
      <c r="AM27" s="862" t="n"/>
      <c r="AN27" s="862" t="n"/>
      <c r="AO27" s="862" t="n"/>
      <c r="AP27" s="862" t="n"/>
      <c r="AQ27" s="862" t="n"/>
      <c r="AR27" s="862" t="n"/>
      <c r="AS27" s="862" t="n"/>
      <c r="AT27" s="862" t="n"/>
      <c r="AU27" s="862" t="n"/>
      <c r="AV27" s="862" t="n"/>
      <c r="AW27" s="862" t="n"/>
      <c r="AX27" s="862" t="n"/>
      <c r="AY27" s="862" t="n"/>
    </row>
    <row r="28" ht="17.25" customFormat="1" customHeight="1" s="85" thickBot="1" thickTop="1">
      <c r="A28" s="97" t="inlineStr">
        <is>
          <t>002</t>
        </is>
      </c>
      <c r="B28" s="331" t="inlineStr">
        <is>
          <t>Leases Receivable</t>
        </is>
      </c>
      <c r="C28" s="335" t="inlineStr">
        <is>
          <t>Leases Receivable</t>
        </is>
      </c>
      <c r="D28" s="863" t="n"/>
      <c r="E28" s="863" t="n"/>
      <c r="F28" s="863" t="n"/>
      <c r="G28" s="863" t="n"/>
      <c r="H28" s="863" t="n"/>
      <c r="I28" s="863" t="n"/>
      <c r="J28" s="863" t="n"/>
      <c r="K28" s="863" t="n"/>
      <c r="L28" s="863" t="n"/>
      <c r="M28" s="863" t="n"/>
      <c r="N28" s="863" t="n"/>
      <c r="O28" s="863" t="n"/>
      <c r="P28" s="863" t="n"/>
      <c r="Q28" s="863" t="n"/>
      <c r="R28" s="862" t="n"/>
      <c r="S28" s="862" t="n"/>
      <c r="T28" s="862" t="n"/>
      <c r="U28" s="862" t="n"/>
      <c r="V28" s="862" t="n"/>
      <c r="W28" s="862" t="n"/>
      <c r="X28" s="862" t="n"/>
      <c r="Y28" s="862" t="n"/>
      <c r="Z28" s="862" t="n"/>
      <c r="AA28" s="862" t="n"/>
      <c r="AB28" s="862" t="n"/>
      <c r="AC28" s="862" t="n"/>
      <c r="AD28" s="862" t="n"/>
      <c r="AE28" s="862" t="n"/>
      <c r="AF28" s="862" t="n"/>
      <c r="AG28" s="862" t="n"/>
      <c r="AH28" s="862" t="n"/>
      <c r="AI28" s="862" t="n"/>
      <c r="AJ28" s="862" t="n"/>
      <c r="AK28" s="862" t="n"/>
      <c r="AL28" s="862" t="n"/>
      <c r="AM28" s="862" t="n"/>
      <c r="AN28" s="862" t="n"/>
      <c r="AO28" s="862" t="n"/>
      <c r="AP28" s="862" t="n"/>
      <c r="AQ28" s="862" t="n"/>
      <c r="AR28" s="862" t="n"/>
      <c r="AS28" s="862" t="n"/>
      <c r="AT28" s="862" t="n"/>
      <c r="AU28" s="862" t="n"/>
      <c r="AV28" s="862" t="n"/>
      <c r="AW28" s="862" t="n"/>
      <c r="AX28" s="862" t="n"/>
      <c r="AY28" s="862" t="n"/>
    </row>
    <row r="29" ht="17.25" customFormat="1" customHeight="1" s="85" thickBot="1" thickTop="1">
      <c r="A29" s="96" t="inlineStr">
        <is>
          <t>698C</t>
        </is>
      </c>
      <c r="B29" s="331" t="inlineStr">
        <is>
          <t>All Other Secured Non-Real Estate Loans/Lines of Credit</t>
        </is>
      </c>
      <c r="C29" s="335" t="inlineStr">
        <is>
          <t>All Other Secured Non-Real Estate Loans/Lines of Credit</t>
        </is>
      </c>
      <c r="D29" s="863" t="n"/>
      <c r="E29" s="863" t="n"/>
      <c r="F29" s="863" t="n"/>
      <c r="G29" s="863" t="n"/>
      <c r="H29" s="863" t="n"/>
      <c r="I29" s="863" t="n"/>
      <c r="J29" s="863" t="n"/>
      <c r="K29" s="863" t="n"/>
      <c r="L29" s="863" t="n"/>
      <c r="M29" s="863" t="n"/>
      <c r="N29" s="863" t="n"/>
      <c r="O29" s="863" t="n"/>
      <c r="P29" s="863" t="n"/>
      <c r="Q29" s="863" t="n"/>
      <c r="R29" s="862" t="n"/>
      <c r="S29" s="862" t="n"/>
      <c r="T29" s="862" t="n"/>
      <c r="U29" s="862" t="n"/>
      <c r="V29" s="862" t="n"/>
      <c r="W29" s="862" t="n"/>
      <c r="X29" s="862" t="n"/>
      <c r="Y29" s="862" t="n"/>
      <c r="Z29" s="862" t="n"/>
      <c r="AA29" s="862" t="n"/>
      <c r="AB29" s="862" t="n"/>
      <c r="AC29" s="862" t="n"/>
      <c r="AD29" s="862" t="n"/>
      <c r="AE29" s="862" t="n"/>
      <c r="AF29" s="862" t="n"/>
      <c r="AG29" s="862" t="n"/>
      <c r="AH29" s="862" t="n"/>
      <c r="AI29" s="862" t="n"/>
      <c r="AJ29" s="862" t="n"/>
      <c r="AK29" s="862" t="n"/>
      <c r="AL29" s="862" t="n"/>
      <c r="AM29" s="862" t="n"/>
      <c r="AN29" s="862" t="n"/>
      <c r="AO29" s="862" t="n"/>
      <c r="AP29" s="862" t="n"/>
      <c r="AQ29" s="862" t="n"/>
      <c r="AR29" s="862" t="n"/>
      <c r="AS29" s="862" t="n"/>
      <c r="AT29" s="862" t="n"/>
      <c r="AU29" s="862" t="n"/>
      <c r="AV29" s="862" t="n"/>
      <c r="AW29" s="862" t="n"/>
      <c r="AX29" s="862" t="n"/>
      <c r="AY29" s="862" t="n"/>
    </row>
    <row r="30" ht="17.25" customFormat="1" customHeight="1" s="85" thickBot="1" thickTop="1">
      <c r="A30" s="96" t="inlineStr">
        <is>
          <t>703A</t>
        </is>
      </c>
      <c r="B30" s="331" t="inlineStr">
        <is>
          <t>Loans/Lines of Credit Secured by a First Lien on a single 1- to 4-Family Residential Property</t>
        </is>
      </c>
      <c r="C30" s="335" t="inlineStr">
        <is>
          <t>Loans/Lines of Credit Secured by a First Lien on a single 1- to 4-Family Residential Property</t>
        </is>
      </c>
      <c r="D30" s="863" t="n"/>
      <c r="E30" s="863" t="n"/>
      <c r="F30" s="863" t="n"/>
      <c r="G30" s="863" t="n"/>
      <c r="H30" s="863" t="n"/>
      <c r="I30" s="863" t="n"/>
      <c r="J30" s="863" t="n"/>
      <c r="K30" s="863" t="n"/>
      <c r="L30" s="863" t="n"/>
      <c r="M30" s="863" t="n"/>
      <c r="N30" s="863" t="n"/>
      <c r="O30" s="863" t="n"/>
      <c r="P30" s="863" t="n"/>
      <c r="Q30" s="863" t="n"/>
      <c r="R30" s="862" t="n"/>
      <c r="S30" s="862" t="n"/>
      <c r="T30" s="862" t="n"/>
      <c r="U30" s="862" t="n"/>
      <c r="V30" s="862" t="n"/>
      <c r="W30" s="862" t="n"/>
      <c r="X30" s="862" t="n"/>
      <c r="Y30" s="862" t="n"/>
      <c r="Z30" s="862" t="n"/>
      <c r="AA30" s="862" t="n"/>
      <c r="AB30" s="862" t="n"/>
      <c r="AC30" s="862" t="n"/>
      <c r="AD30" s="862" t="n"/>
      <c r="AE30" s="862" t="n"/>
      <c r="AF30" s="862" t="n"/>
      <c r="AG30" s="862" t="n"/>
      <c r="AH30" s="862" t="n"/>
      <c r="AI30" s="862" t="n"/>
      <c r="AJ30" s="862" t="n"/>
      <c r="AK30" s="862" t="n"/>
      <c r="AL30" s="862" t="n"/>
      <c r="AM30" s="862" t="n"/>
      <c r="AN30" s="862" t="n"/>
      <c r="AO30" s="862" t="n"/>
      <c r="AP30" s="862" t="n"/>
      <c r="AQ30" s="862" t="n"/>
      <c r="AR30" s="862" t="n"/>
      <c r="AS30" s="862" t="n"/>
      <c r="AT30" s="862" t="n"/>
      <c r="AU30" s="862" t="n"/>
      <c r="AV30" s="862" t="n"/>
      <c r="AW30" s="862" t="n"/>
      <c r="AX30" s="862" t="n"/>
      <c r="AY30" s="862" t="n"/>
    </row>
    <row r="31" ht="17.25" customFormat="1" customHeight="1" s="85" thickBot="1" thickTop="1">
      <c r="A31" s="96" t="inlineStr">
        <is>
          <t>386A</t>
        </is>
      </c>
      <c r="B31" s="331" t="inlineStr">
        <is>
          <t>Loans/Lines of Credit Secured by a Junior Lien on a single 1- to 4-Family Residential Property</t>
        </is>
      </c>
      <c r="C31" s="335" t="inlineStr">
        <is>
          <t>Loans/Lines of Credit Secured by a Junior Lien on a single 1- to 4-Family Residential Property</t>
        </is>
      </c>
      <c r="D31" s="863" t="n"/>
      <c r="E31" s="863" t="n"/>
      <c r="F31" s="863" t="n"/>
      <c r="G31" s="863" t="n"/>
      <c r="H31" s="863" t="n"/>
      <c r="I31" s="863" t="n"/>
      <c r="J31" s="863" t="n"/>
      <c r="K31" s="863" t="n"/>
      <c r="L31" s="863" t="n"/>
      <c r="M31" s="863" t="n"/>
      <c r="N31" s="863" t="n"/>
      <c r="O31" s="863" t="n"/>
      <c r="P31" s="863" t="n"/>
      <c r="Q31" s="863" t="n"/>
      <c r="R31" s="862" t="n"/>
      <c r="S31" s="862" t="n"/>
      <c r="T31" s="862" t="n"/>
      <c r="U31" s="862" t="n"/>
      <c r="V31" s="862" t="n"/>
      <c r="W31" s="862" t="n"/>
      <c r="X31" s="862" t="n"/>
      <c r="Y31" s="862" t="n"/>
      <c r="Z31" s="862" t="n"/>
      <c r="AA31" s="862" t="n"/>
      <c r="AB31" s="862" t="n"/>
      <c r="AC31" s="862" t="n"/>
      <c r="AD31" s="862" t="n"/>
      <c r="AE31" s="862" t="n"/>
      <c r="AF31" s="862" t="n"/>
      <c r="AG31" s="862" t="n"/>
      <c r="AH31" s="862" t="n"/>
      <c r="AI31" s="862" t="n"/>
      <c r="AJ31" s="862" t="n"/>
      <c r="AK31" s="862" t="n"/>
      <c r="AL31" s="862" t="n"/>
      <c r="AM31" s="862" t="n"/>
      <c r="AN31" s="862" t="n"/>
      <c r="AO31" s="862" t="n"/>
      <c r="AP31" s="862" t="n"/>
      <c r="AQ31" s="862" t="n"/>
      <c r="AR31" s="862" t="n"/>
      <c r="AS31" s="862" t="n"/>
      <c r="AT31" s="862" t="n"/>
      <c r="AU31" s="862" t="n"/>
      <c r="AV31" s="862" t="n"/>
      <c r="AW31" s="862" t="n"/>
      <c r="AX31" s="862" t="n"/>
      <c r="AY31" s="862" t="n"/>
    </row>
    <row r="32" ht="17.25" customFormat="1" customHeight="1" s="85" thickBot="1" thickTop="1">
      <c r="A32" s="96" t="inlineStr">
        <is>
          <t>386B</t>
        </is>
      </c>
      <c r="B32" s="331" t="inlineStr">
        <is>
          <t>All Other (Non-Commercial) Real Estate Loans/Lines of Credit</t>
        </is>
      </c>
      <c r="C32" s="335" t="inlineStr">
        <is>
          <t>All Other (Non-Commercial) Real Estate Loans/Lines of Credit</t>
        </is>
      </c>
      <c r="D32" s="863" t="n"/>
      <c r="E32" s="863" t="n"/>
      <c r="F32" s="863" t="n"/>
      <c r="G32" s="863" t="n"/>
      <c r="H32" s="863" t="n"/>
      <c r="I32" s="863" t="n"/>
      <c r="J32" s="863" t="n"/>
      <c r="K32" s="863" t="n"/>
      <c r="L32" s="863" t="n"/>
      <c r="M32" s="863" t="n"/>
      <c r="N32" s="863" t="n"/>
      <c r="O32" s="863" t="n"/>
      <c r="P32" s="863" t="n"/>
      <c r="Q32" s="863" t="n"/>
      <c r="R32" s="862" t="n"/>
      <c r="S32" s="862" t="n"/>
      <c r="T32" s="862" t="n"/>
      <c r="U32" s="862" t="n"/>
      <c r="V32" s="862" t="n"/>
      <c r="W32" s="862" t="n"/>
      <c r="X32" s="862" t="n"/>
      <c r="Y32" s="862" t="n"/>
      <c r="Z32" s="862" t="n"/>
      <c r="AA32" s="862" t="n"/>
      <c r="AB32" s="862" t="n"/>
      <c r="AC32" s="862" t="n"/>
      <c r="AD32" s="862" t="n"/>
      <c r="AE32" s="862" t="n"/>
      <c r="AF32" s="862" t="n"/>
      <c r="AG32" s="862" t="n"/>
      <c r="AH32" s="862" t="n"/>
      <c r="AI32" s="862" t="n"/>
      <c r="AJ32" s="862" t="n"/>
      <c r="AK32" s="862" t="n"/>
      <c r="AL32" s="862" t="n"/>
      <c r="AM32" s="862" t="n"/>
      <c r="AN32" s="862" t="n"/>
      <c r="AO32" s="862" t="n"/>
      <c r="AP32" s="862" t="n"/>
      <c r="AQ32" s="862" t="n"/>
      <c r="AR32" s="862" t="n"/>
      <c r="AS32" s="862" t="n"/>
      <c r="AT32" s="862" t="n"/>
      <c r="AU32" s="862" t="n"/>
      <c r="AV32" s="862" t="n"/>
      <c r="AW32" s="862" t="n"/>
      <c r="AX32" s="862" t="n"/>
      <c r="AY32" s="862" t="n"/>
    </row>
    <row r="33" ht="17.25" customFormat="1" customHeight="1" s="85" thickBot="1" thickTop="1">
      <c r="A33" s="96" t="inlineStr">
        <is>
          <t>718A5</t>
        </is>
      </c>
      <c r="B33" s="331" t="inlineStr">
        <is>
          <t>Commercial Loans/Lines of Credit Real Estate Secured</t>
        </is>
      </c>
      <c r="C33" s="335" t="inlineStr">
        <is>
          <t>Commercial Loans/Lines of Credit Real Estate Secured</t>
        </is>
      </c>
      <c r="D33" s="863" t="n"/>
      <c r="E33" s="863" t="n"/>
      <c r="F33" s="863" t="n"/>
      <c r="G33" s="863" t="n"/>
      <c r="H33" s="863" t="n"/>
      <c r="I33" s="863" t="n"/>
      <c r="J33" s="863" t="n"/>
      <c r="K33" s="863" t="n"/>
      <c r="L33" s="863" t="n"/>
      <c r="M33" s="863" t="n"/>
      <c r="N33" s="863" t="n"/>
      <c r="O33" s="863" t="n"/>
      <c r="P33" s="863" t="n"/>
      <c r="Q33" s="863" t="n"/>
      <c r="R33" s="862" t="n"/>
      <c r="S33" s="862" t="n"/>
      <c r="T33" s="862" t="n"/>
      <c r="U33" s="862" t="n"/>
      <c r="V33" s="862" t="n"/>
      <c r="W33" s="862" t="n"/>
      <c r="X33" s="862" t="n"/>
      <c r="Y33" s="862" t="n"/>
      <c r="Z33" s="862" t="n"/>
      <c r="AA33" s="862" t="n"/>
      <c r="AB33" s="862" t="n"/>
      <c r="AC33" s="862" t="n"/>
      <c r="AD33" s="862" t="n"/>
      <c r="AE33" s="862" t="n"/>
      <c r="AF33" s="862" t="n"/>
      <c r="AG33" s="862" t="n"/>
      <c r="AH33" s="862" t="n"/>
      <c r="AI33" s="862" t="n"/>
      <c r="AJ33" s="862" t="n"/>
      <c r="AK33" s="862" t="n"/>
      <c r="AL33" s="862" t="n"/>
      <c r="AM33" s="862" t="n"/>
      <c r="AN33" s="862" t="n"/>
      <c r="AO33" s="862" t="n"/>
      <c r="AP33" s="862" t="n"/>
      <c r="AQ33" s="862" t="n"/>
      <c r="AR33" s="862" t="n"/>
      <c r="AS33" s="862" t="n"/>
      <c r="AT33" s="862" t="n"/>
      <c r="AU33" s="862" t="n"/>
      <c r="AV33" s="862" t="n"/>
      <c r="AW33" s="862" t="n"/>
      <c r="AX33" s="862" t="n"/>
      <c r="AY33" s="862" t="n"/>
    </row>
    <row r="34" ht="17.25" customFormat="1" customHeight="1" s="85" thickBot="1" thickTop="1">
      <c r="A34" s="96" t="inlineStr">
        <is>
          <t>400P</t>
        </is>
      </c>
      <c r="B34" s="255" t="inlineStr">
        <is>
          <t>Commercial Loans/Lines of Credit Not Real Estate Secured</t>
        </is>
      </c>
      <c r="C34" s="335" t="inlineStr">
        <is>
          <t>Commercial Loans/Lines of Credit Not Real Estate Secured</t>
        </is>
      </c>
      <c r="D34" s="867" t="n"/>
      <c r="E34" s="867" t="n"/>
      <c r="F34" s="867" t="n"/>
      <c r="G34" s="867" t="n"/>
      <c r="H34" s="867" t="n"/>
      <c r="I34" s="867" t="n"/>
      <c r="J34" s="867" t="n"/>
      <c r="K34" s="867" t="n"/>
      <c r="L34" s="867" t="n"/>
      <c r="M34" s="867" t="n"/>
      <c r="N34" s="867" t="n"/>
      <c r="O34" s="867" t="n"/>
      <c r="P34" s="867" t="n"/>
      <c r="Q34" s="867" t="n"/>
      <c r="R34" s="866" t="n"/>
      <c r="S34" s="866" t="n"/>
      <c r="T34" s="866" t="n"/>
      <c r="U34" s="866" t="n"/>
      <c r="V34" s="866" t="n"/>
      <c r="W34" s="866" t="n"/>
      <c r="X34" s="866" t="n"/>
      <c r="Y34" s="866" t="n"/>
      <c r="Z34" s="866" t="n"/>
      <c r="AA34" s="866" t="n"/>
      <c r="AB34" s="866" t="n"/>
      <c r="AC34" s="866" t="n"/>
      <c r="AD34" s="866" t="n"/>
      <c r="AE34" s="866" t="n"/>
      <c r="AF34" s="866" t="n"/>
      <c r="AG34" s="866" t="n"/>
      <c r="AH34" s="866" t="n"/>
      <c r="AI34" s="866" t="n"/>
      <c r="AJ34" s="866" t="n"/>
      <c r="AK34" s="866" t="n"/>
      <c r="AL34" s="866" t="n"/>
      <c r="AM34" s="866" t="n"/>
      <c r="AN34" s="866" t="n"/>
      <c r="AO34" s="866" t="n"/>
      <c r="AP34" s="866" t="n"/>
      <c r="AQ34" s="866" t="n"/>
      <c r="AR34" s="866" t="n"/>
      <c r="AS34" s="866" t="n"/>
      <c r="AT34" s="866" t="n"/>
      <c r="AU34" s="866" t="n"/>
      <c r="AV34" s="866" t="n"/>
      <c r="AW34" s="866" t="n"/>
      <c r="AX34" s="866" t="n"/>
      <c r="AY34" s="866" t="n"/>
    </row>
    <row r="35" ht="16.5" customFormat="1" customHeight="1" s="85" thickBot="1">
      <c r="A35" s="96" t="inlineStr">
        <is>
          <t>025B1</t>
        </is>
      </c>
      <c r="B35" s="87" t="inlineStr">
        <is>
          <t>Total Loans</t>
        </is>
      </c>
      <c r="C35" s="328" t="n"/>
      <c r="D35" s="867">
        <f>SUM(D9:D18)+SUM(D22:D34)</f>
        <v/>
      </c>
      <c r="E35" s="867">
        <f>SUM(E9:E18)+SUM(E22:E34)</f>
        <v/>
      </c>
      <c r="F35" s="867">
        <f>SUM(F9:F18)+SUM(F22:F34)</f>
        <v/>
      </c>
      <c r="G35" s="867">
        <f>SUM(G9:G18)+SUM(G22:G34)</f>
        <v/>
      </c>
      <c r="H35" s="867">
        <f>SUM(H9:H18)+SUM(H22:H34)</f>
        <v/>
      </c>
      <c r="I35" s="867">
        <f>SUM(I9:I18)+SUM(I22:I34)</f>
        <v/>
      </c>
      <c r="J35" s="867">
        <f>SUM(J9:J18)+SUM(J22:J34)</f>
        <v/>
      </c>
      <c r="K35" s="867">
        <f>SUM(K9:K18)+SUM(K22:K34)</f>
        <v/>
      </c>
      <c r="L35" s="867">
        <f>SUM(L9:L18)+SUM(L22:L34)</f>
        <v/>
      </c>
      <c r="M35" s="867">
        <f>SUM(M9:M18)+SUM(M22:M34)</f>
        <v/>
      </c>
      <c r="N35" s="867">
        <f>SUM(N9:N18)+SUM(N22:N34)</f>
        <v/>
      </c>
      <c r="O35" s="867">
        <f>SUM(O9:O18)+SUM(O22:O34)</f>
        <v/>
      </c>
      <c r="P35" s="867">
        <f>SUM(P9:P18)+SUM(P22:P34)</f>
        <v/>
      </c>
      <c r="Q35" s="867">
        <f>SUM(Q9:Q18)+SUM(Q22:Q34)</f>
        <v/>
      </c>
      <c r="R35" s="867">
        <f>SUM(R9:R18)+SUM(R22:R34)</f>
        <v/>
      </c>
      <c r="S35" s="867">
        <f>SUM(S9:S18)+SUM(S22:S34)</f>
        <v/>
      </c>
      <c r="T35" s="867" t="n">
        <v>0</v>
      </c>
      <c r="U35" s="867">
        <f>SUM(U9:U18)+SUM(U22:U34)</f>
        <v/>
      </c>
      <c r="V35" s="867">
        <f>SUM(V9:V18)+SUM(V22:V34)</f>
        <v/>
      </c>
      <c r="W35" s="867">
        <f>SUM(W9:W18)+SUM(W22:W34)</f>
        <v/>
      </c>
      <c r="X35" s="867">
        <f>SUM(X9:X18)+SUM(X22:X34)</f>
        <v/>
      </c>
      <c r="Y35" s="867">
        <f>SUM(Y9:Y18)+SUM(Y22:Y34)</f>
        <v/>
      </c>
      <c r="Z35" s="867">
        <f>SUM(Z9:Z18)+SUM(Z22:Z34)</f>
        <v/>
      </c>
      <c r="AA35" s="867">
        <f>SUM(AA9:AA18)+SUM(AA22:AA34)</f>
        <v/>
      </c>
      <c r="AB35" s="867">
        <f>SUM(AB9:AB18)+SUM(AB22:AB34)</f>
        <v/>
      </c>
      <c r="AC35" s="867">
        <f>SUM(AC9:AC18)+SUM(AC22:AC34)</f>
        <v/>
      </c>
      <c r="AD35" s="867">
        <f>SUM(AD9:AD18)+SUM(AD22:AD34)</f>
        <v/>
      </c>
      <c r="AE35" s="867">
        <f>SUM(AE9:AE18)+SUM(AE22:AE34)</f>
        <v/>
      </c>
      <c r="AF35" s="867">
        <f>SUM(AF9:AF18)+SUM(AF22:AF34)</f>
        <v/>
      </c>
      <c r="AG35" s="867">
        <f>SUM(AG9:AG18)+SUM(AG22:AG34)</f>
        <v/>
      </c>
      <c r="AH35" s="867">
        <f>SUM(AH9:AH18)+SUM(AH22:AH34)</f>
        <v/>
      </c>
      <c r="AI35" s="867">
        <f>SUM(AI9:AI18)+SUM(AI22:AI34)</f>
        <v/>
      </c>
      <c r="AJ35" s="867">
        <f>SUM(AJ9:AJ18)+SUM(AJ22:AJ34)</f>
        <v/>
      </c>
      <c r="AK35" s="867">
        <f>SUM(AK9:AK18)+SUM(AK22:AK34)</f>
        <v/>
      </c>
      <c r="AL35" s="867">
        <f>SUM(AL9:AL18)+SUM(AL22:AL34)</f>
        <v/>
      </c>
      <c r="AM35" s="867">
        <f>SUM(AM9:AM18)+SUM(AM22:AM34)</f>
        <v/>
      </c>
      <c r="AN35" s="867">
        <f>SUM(AN9:AN18)+SUM(AN22:AN34)</f>
        <v/>
      </c>
      <c r="AO35" s="867">
        <f>SUM(AO9:AO18)+SUM(AO22:AO34)</f>
        <v/>
      </c>
      <c r="AP35" s="867">
        <f>SUM(AP9:AP18)+SUM(AP22:AP34)</f>
        <v/>
      </c>
      <c r="AQ35" s="867">
        <f>SUM(AQ9:AQ18)+SUM(AQ22:AQ34)</f>
        <v/>
      </c>
      <c r="AR35" s="867">
        <f>SUM(AR9:AR18)+SUM(AR22:AR34)</f>
        <v/>
      </c>
      <c r="AS35" s="867">
        <f>SUM(AS9:AS18)+SUM(AS22:AS34)</f>
        <v/>
      </c>
      <c r="AT35" s="867">
        <f>SUM(AT9:AT18)+SUM(AT22:AT34)</f>
        <v/>
      </c>
      <c r="AU35" s="867">
        <f>SUM(AU9:AU18)+SUM(AU22:AU34)</f>
        <v/>
      </c>
      <c r="AV35" s="867">
        <f>SUM(AV9:AV18)+SUM(AV22:AV34)</f>
        <v/>
      </c>
      <c r="AW35" s="867">
        <f>SUM(AW9:AW18)+SUM(AW22:AW34)</f>
        <v/>
      </c>
      <c r="AX35" s="867">
        <f>SUM(AX9:AX18)+SUM(AX22:AX34)</f>
        <v/>
      </c>
      <c r="AY35" s="867">
        <f>SUM(AY9:AY18)+SUM(AY22:AY34)</f>
        <v/>
      </c>
    </row>
    <row r="36" ht="15.75" customFormat="1" customHeight="1" s="85">
      <c r="A36" s="96" t="n"/>
      <c r="B36" s="337" t="n"/>
      <c r="C36" s="337" t="n"/>
      <c r="D36" s="862" t="n"/>
      <c r="E36" s="862" t="n"/>
      <c r="F36" s="862" t="n"/>
      <c r="G36" s="862" t="n"/>
      <c r="H36" s="862" t="n"/>
      <c r="I36" s="862" t="n"/>
      <c r="J36" s="862" t="n"/>
      <c r="K36" s="862" t="n"/>
      <c r="L36" s="862" t="n"/>
      <c r="M36" s="862" t="n"/>
      <c r="N36" s="862" t="n"/>
      <c r="O36" s="862" t="n"/>
      <c r="P36" s="862" t="n"/>
      <c r="Q36" s="862" t="n"/>
      <c r="R36" s="862" t="n"/>
      <c r="S36" s="862" t="n"/>
      <c r="T36" s="862" t="n"/>
      <c r="U36" s="862" t="n"/>
      <c r="V36" s="862" t="n"/>
      <c r="W36" s="862" t="n"/>
      <c r="X36" s="862" t="n"/>
      <c r="Y36" s="862" t="n"/>
      <c r="Z36" s="862" t="n"/>
      <c r="AA36" s="862" t="n"/>
      <c r="AB36" s="862" t="n"/>
      <c r="AC36" s="862" t="n"/>
      <c r="AD36" s="862" t="n"/>
      <c r="AE36" s="862" t="n"/>
      <c r="AF36" s="862" t="n"/>
      <c r="AG36" s="862" t="n"/>
      <c r="AH36" s="862" t="n"/>
      <c r="AI36" s="862" t="n"/>
      <c r="AJ36" s="862" t="n"/>
      <c r="AK36" s="862" t="n"/>
      <c r="AL36" s="862" t="n"/>
      <c r="AM36" s="862" t="n"/>
      <c r="AN36" s="862" t="n"/>
      <c r="AO36" s="862" t="n"/>
      <c r="AP36" s="862" t="n"/>
      <c r="AQ36" s="862" t="n"/>
      <c r="AR36" s="862" t="n"/>
      <c r="AS36" s="862" t="n"/>
      <c r="AT36" s="862" t="n"/>
      <c r="AU36" s="862" t="n"/>
      <c r="AV36" s="862" t="n"/>
      <c r="AW36" s="862" t="n"/>
      <c r="AX36" s="862" t="n"/>
      <c r="AY36" s="862" t="n"/>
    </row>
    <row r="37" ht="15.75" customHeight="1" s="685" thickBot="1"/>
    <row r="38" ht="13.5" customFormat="1" customHeight="1" s="699" thickBot="1">
      <c r="A38" s="95" t="n"/>
      <c r="B38" s="259" t="inlineStr">
        <is>
          <t>Reportable Delinquencies</t>
        </is>
      </c>
      <c r="C38" s="329" t="n"/>
      <c r="D38" s="260">
        <f>D8</f>
        <v/>
      </c>
      <c r="E38" s="260">
        <f>E8</f>
        <v/>
      </c>
      <c r="F38" s="260">
        <f>F8</f>
        <v/>
      </c>
      <c r="G38" s="260">
        <f>G8</f>
        <v/>
      </c>
      <c r="H38" s="260">
        <f>H8</f>
        <v/>
      </c>
      <c r="I38" s="260">
        <f>I8</f>
        <v/>
      </c>
      <c r="J38" s="260">
        <f>J8</f>
        <v/>
      </c>
      <c r="K38" s="260">
        <f>K8</f>
        <v/>
      </c>
      <c r="L38" s="260">
        <f>L8</f>
        <v/>
      </c>
      <c r="M38" s="260">
        <f>M8</f>
        <v/>
      </c>
      <c r="N38" s="260">
        <f>N8</f>
        <v/>
      </c>
      <c r="O38" s="260">
        <f>O8</f>
        <v/>
      </c>
      <c r="P38" s="260">
        <f>P8</f>
        <v/>
      </c>
      <c r="Q38" s="260">
        <f>Q8</f>
        <v/>
      </c>
      <c r="R38" s="260">
        <f>R8</f>
        <v/>
      </c>
      <c r="S38" s="260">
        <f>S8</f>
        <v/>
      </c>
      <c r="T38" s="260">
        <f>T8</f>
        <v/>
      </c>
      <c r="U38" s="260">
        <f>U8</f>
        <v/>
      </c>
      <c r="V38" s="260">
        <f>V8</f>
        <v/>
      </c>
      <c r="W38" s="260">
        <f>W8</f>
        <v/>
      </c>
      <c r="X38" s="260">
        <f>X8</f>
        <v/>
      </c>
      <c r="Y38" s="260">
        <f>Y8</f>
        <v/>
      </c>
      <c r="Z38" s="260">
        <f>Z8</f>
        <v/>
      </c>
      <c r="AA38" s="260">
        <f>AA8</f>
        <v/>
      </c>
      <c r="AB38" s="260">
        <f>AB8</f>
        <v/>
      </c>
      <c r="AC38" s="260">
        <f>AC8</f>
        <v/>
      </c>
      <c r="AD38" s="260">
        <f>AD8</f>
        <v/>
      </c>
      <c r="AE38" s="260">
        <f>AE8</f>
        <v/>
      </c>
      <c r="AF38" s="260">
        <f>AF8</f>
        <v/>
      </c>
      <c r="AG38" s="260">
        <f>AG8</f>
        <v/>
      </c>
      <c r="AH38" s="260">
        <f>AH8</f>
        <v/>
      </c>
      <c r="AI38" s="260">
        <f>AI8</f>
        <v/>
      </c>
      <c r="AJ38" s="260">
        <f>AJ8</f>
        <v/>
      </c>
      <c r="AK38" s="260">
        <f>AK8</f>
        <v/>
      </c>
      <c r="AL38" s="260">
        <f>AL8</f>
        <v/>
      </c>
      <c r="AM38" s="260">
        <f>AM8</f>
        <v/>
      </c>
      <c r="AN38" s="260">
        <f>AN8</f>
        <v/>
      </c>
      <c r="AO38" s="260">
        <f>AO8</f>
        <v/>
      </c>
      <c r="AP38" s="260">
        <f>AP8</f>
        <v/>
      </c>
      <c r="AQ38" s="260">
        <f>AQ8</f>
        <v/>
      </c>
      <c r="AR38" s="260">
        <f>AR8</f>
        <v/>
      </c>
      <c r="AS38" s="260">
        <f>AS8</f>
        <v/>
      </c>
      <c r="AT38" s="260">
        <f>AT8</f>
        <v/>
      </c>
      <c r="AU38" s="260">
        <f>AU8</f>
        <v/>
      </c>
      <c r="AV38" s="260">
        <f>AV8</f>
        <v/>
      </c>
      <c r="AW38" s="260">
        <f>AW8</f>
        <v/>
      </c>
      <c r="AX38" s="260">
        <f>AX8</f>
        <v/>
      </c>
      <c r="AY38" s="260">
        <f>AY8</f>
        <v/>
      </c>
    </row>
    <row r="39" ht="17.25" customFormat="1" customHeight="1" s="85" thickBot="1" thickTop="1">
      <c r="A39" s="96" t="inlineStr">
        <is>
          <t>045B</t>
        </is>
      </c>
      <c r="B39" s="83" t="inlineStr">
        <is>
          <t>Unsecured Credit Card Loans</t>
        </is>
      </c>
      <c r="C39" s="336" t="inlineStr">
        <is>
          <t>Unsecured Credit Card Loans</t>
        </is>
      </c>
      <c r="D39" s="862" t="n"/>
      <c r="E39" s="862" t="n"/>
      <c r="F39" s="862" t="n"/>
      <c r="G39" s="862" t="n"/>
      <c r="H39" s="862" t="n"/>
      <c r="I39" s="862" t="n"/>
      <c r="J39" s="862" t="n"/>
      <c r="K39" s="862" t="n"/>
      <c r="L39" s="862" t="n"/>
      <c r="M39" s="862" t="n"/>
      <c r="N39" s="862" t="n"/>
      <c r="O39" s="862" t="n"/>
      <c r="P39" s="862" t="n"/>
      <c r="Q39" s="862" t="n"/>
      <c r="R39" s="862" t="n"/>
      <c r="S39" s="862" t="n"/>
      <c r="T39" s="862" t="n"/>
      <c r="U39" s="862" t="n"/>
      <c r="V39" s="862" t="n"/>
      <c r="W39" s="862" t="n"/>
      <c r="X39" s="862" t="n"/>
      <c r="Y39" s="862" t="n"/>
      <c r="Z39" s="862" t="n"/>
      <c r="AA39" s="862" t="n"/>
      <c r="AB39" s="862" t="n"/>
      <c r="AC39" s="862" t="n"/>
      <c r="AD39" s="862" t="n"/>
      <c r="AE39" s="862" t="n"/>
      <c r="AF39" s="862" t="n"/>
      <c r="AG39" s="862" t="n"/>
      <c r="AH39" s="862" t="n"/>
      <c r="AI39" s="862" t="n"/>
      <c r="AJ39" s="863" t="n"/>
      <c r="AK39" s="863" t="n"/>
      <c r="AL39" s="863" t="n"/>
      <c r="AM39" s="863" t="n"/>
      <c r="AN39" s="863" t="n"/>
      <c r="AO39" s="863" t="n"/>
      <c r="AP39" s="863" t="n"/>
      <c r="AQ39" s="863" t="n"/>
      <c r="AR39" s="863" t="n"/>
      <c r="AS39" s="863" t="n"/>
      <c r="AT39" s="863" t="n"/>
      <c r="AU39" s="863" t="n"/>
      <c r="AV39" s="863" t="n"/>
      <c r="AW39" s="863" t="n"/>
      <c r="AX39" s="863" t="n"/>
      <c r="AY39" s="863" t="n"/>
    </row>
    <row r="40" ht="17.25" customFormat="1" customHeight="1" s="86" thickBot="1" thickTop="1">
      <c r="A40" s="96" t="inlineStr">
        <is>
          <t>130B</t>
        </is>
      </c>
      <c r="B40" s="83" t="inlineStr">
        <is>
          <t>Payday Alternative Loans</t>
        </is>
      </c>
      <c r="C40" s="336" t="inlineStr">
        <is>
          <t>Payday Alternative Loans</t>
        </is>
      </c>
      <c r="D40" s="862" t="n"/>
      <c r="E40" s="862" t="n"/>
      <c r="F40" s="862" t="n"/>
      <c r="G40" s="862" t="n"/>
      <c r="H40" s="862" t="n"/>
      <c r="I40" s="862" t="n"/>
      <c r="J40" s="862" t="n"/>
      <c r="K40" s="862" t="n"/>
      <c r="L40" s="862" t="n"/>
      <c r="M40" s="862" t="n"/>
      <c r="N40" s="862" t="n"/>
      <c r="O40" s="862" t="n"/>
      <c r="P40" s="862" t="n"/>
      <c r="Q40" s="862" t="n"/>
      <c r="R40" s="862" t="n"/>
      <c r="S40" s="862" t="n"/>
      <c r="T40" s="862" t="n"/>
      <c r="U40" s="862" t="n"/>
      <c r="V40" s="862" t="n"/>
      <c r="W40" s="862" t="n"/>
      <c r="X40" s="862" t="n"/>
      <c r="Y40" s="862" t="n"/>
      <c r="Z40" s="862" t="n"/>
      <c r="AA40" s="862" t="n"/>
      <c r="AB40" s="862" t="n"/>
      <c r="AC40" s="862" t="n"/>
      <c r="AD40" s="862" t="n"/>
      <c r="AE40" s="862" t="n"/>
      <c r="AF40" s="862" t="n"/>
      <c r="AG40" s="862" t="n"/>
      <c r="AH40" s="862" t="n"/>
      <c r="AI40" s="862" t="n"/>
      <c r="AJ40" s="863" t="n"/>
      <c r="AK40" s="863" t="n"/>
      <c r="AL40" s="863" t="n"/>
      <c r="AM40" s="863" t="n"/>
      <c r="AN40" s="863" t="n"/>
      <c r="AO40" s="863" t="n"/>
      <c r="AP40" s="863" t="n"/>
      <c r="AQ40" s="863" t="n"/>
      <c r="AR40" s="863" t="n"/>
      <c r="AS40" s="863" t="n"/>
      <c r="AT40" s="863" t="n"/>
      <c r="AU40" s="863" t="n"/>
      <c r="AV40" s="863" t="n"/>
      <c r="AW40" s="863" t="n"/>
      <c r="AX40" s="863" t="n"/>
      <c r="AY40" s="863" t="n"/>
    </row>
    <row r="41" ht="15.75" customFormat="1" customHeight="1" s="85" thickBot="1" thickTop="1">
      <c r="A41" s="96" t="inlineStr">
        <is>
          <t>041T</t>
        </is>
      </c>
      <c r="B41" s="83" t="inlineStr">
        <is>
          <t>Non-Federally Guaranteed Student Loans</t>
        </is>
      </c>
      <c r="C41" s="336" t="inlineStr">
        <is>
          <t>Non-Federally Guaranteed Student Loans</t>
        </is>
      </c>
      <c r="D41" s="862" t="n"/>
      <c r="E41" s="862" t="n"/>
      <c r="F41" s="862" t="n"/>
      <c r="G41" s="862" t="n"/>
      <c r="H41" s="862" t="n"/>
      <c r="I41" s="862" t="n"/>
      <c r="J41" s="862" t="n"/>
      <c r="K41" s="862" t="n"/>
      <c r="L41" s="862" t="n"/>
      <c r="M41" s="862" t="n"/>
      <c r="N41" s="862" t="n"/>
      <c r="O41" s="862" t="n"/>
      <c r="P41" s="862" t="n"/>
      <c r="Q41" s="862" t="n"/>
      <c r="R41" s="862" t="n"/>
      <c r="S41" s="862" t="n"/>
      <c r="T41" s="862" t="n"/>
      <c r="U41" s="862" t="n"/>
      <c r="V41" s="862" t="n"/>
      <c r="W41" s="862" t="n"/>
      <c r="X41" s="862" t="n"/>
      <c r="Y41" s="862" t="n"/>
      <c r="Z41" s="862" t="n"/>
      <c r="AA41" s="862" t="n"/>
      <c r="AB41" s="862" t="n"/>
      <c r="AC41" s="862" t="n"/>
      <c r="AD41" s="862" t="n"/>
      <c r="AE41" s="862" t="n"/>
      <c r="AF41" s="862" t="n"/>
      <c r="AG41" s="862" t="n"/>
      <c r="AH41" s="862" t="n"/>
      <c r="AI41" s="862" t="n"/>
      <c r="AJ41" s="863" t="n"/>
      <c r="AK41" s="863" t="n"/>
      <c r="AL41" s="863" t="n"/>
      <c r="AM41" s="863" t="n"/>
      <c r="AN41" s="863" t="n"/>
      <c r="AO41" s="863" t="n"/>
      <c r="AP41" s="863" t="n"/>
      <c r="AQ41" s="863" t="n"/>
      <c r="AR41" s="863" t="n"/>
      <c r="AS41" s="863" t="n"/>
      <c r="AT41" s="863" t="n"/>
      <c r="AU41" s="863" t="n"/>
      <c r="AV41" s="863" t="n"/>
      <c r="AW41" s="863" t="n"/>
      <c r="AX41" s="863" t="n"/>
      <c r="AY41" s="863" t="n"/>
    </row>
    <row r="42" ht="17.25" customFormat="1" customHeight="1" s="85" thickBot="1" thickTop="1">
      <c r="A42" s="96" t="inlineStr">
        <is>
          <t>041C1</t>
        </is>
      </c>
      <c r="B42" s="83" t="inlineStr">
        <is>
          <t>New Vehicle Loans</t>
        </is>
      </c>
      <c r="C42" s="336" t="inlineStr">
        <is>
          <t>New Vehicle Loans</t>
        </is>
      </c>
      <c r="D42" s="862" t="n"/>
      <c r="E42" s="862" t="n"/>
      <c r="F42" s="862" t="n"/>
      <c r="G42" s="862" t="n"/>
      <c r="H42" s="862" t="n"/>
      <c r="I42" s="862" t="n"/>
      <c r="J42" s="862" t="n"/>
      <c r="K42" s="862" t="n"/>
      <c r="L42" s="862" t="n"/>
      <c r="M42" s="862" t="n"/>
      <c r="N42" s="862" t="n"/>
      <c r="O42" s="862" t="n"/>
      <c r="P42" s="862" t="n"/>
      <c r="Q42" s="862" t="n"/>
      <c r="R42" s="862" t="n"/>
      <c r="S42" s="862" t="n"/>
      <c r="T42" s="862" t="n"/>
      <c r="U42" s="862" t="n"/>
      <c r="V42" s="862" t="n"/>
      <c r="W42" s="862" t="n"/>
      <c r="X42" s="862" t="n"/>
      <c r="Y42" s="862" t="n"/>
      <c r="Z42" s="862" t="n"/>
      <c r="AA42" s="862" t="n"/>
      <c r="AB42" s="862" t="n"/>
      <c r="AC42" s="862" t="n"/>
      <c r="AD42" s="862" t="n"/>
      <c r="AE42" s="862" t="n"/>
      <c r="AF42" s="862" t="n"/>
      <c r="AG42" s="862" t="n"/>
      <c r="AH42" s="862" t="n"/>
      <c r="AI42" s="862" t="n"/>
      <c r="AJ42" s="863" t="n"/>
      <c r="AK42" s="863" t="n"/>
      <c r="AL42" s="863" t="n"/>
      <c r="AM42" s="863" t="n"/>
      <c r="AN42" s="863" t="n"/>
      <c r="AO42" s="863" t="n"/>
      <c r="AP42" s="863" t="n"/>
      <c r="AQ42" s="863" t="n"/>
      <c r="AR42" s="863" t="n"/>
      <c r="AS42" s="863" t="n"/>
      <c r="AT42" s="863" t="n"/>
      <c r="AU42" s="863" t="n"/>
      <c r="AV42" s="863" t="n"/>
      <c r="AW42" s="863" t="n"/>
      <c r="AX42" s="863" t="n"/>
      <c r="AY42" s="863" t="n"/>
    </row>
    <row r="43" ht="17.25" customFormat="1" customHeight="1" s="85" thickBot="1" thickTop="1">
      <c r="A43" s="96" t="inlineStr">
        <is>
          <t>041C2</t>
        </is>
      </c>
      <c r="B43" s="83" t="inlineStr">
        <is>
          <t>Used Vehicle Loans</t>
        </is>
      </c>
      <c r="C43" s="336" t="inlineStr">
        <is>
          <t>Used Vehicle Loans</t>
        </is>
      </c>
      <c r="D43" s="862" t="n"/>
      <c r="E43" s="862" t="n"/>
      <c r="F43" s="862" t="n"/>
      <c r="G43" s="862" t="n"/>
      <c r="H43" s="862" t="n"/>
      <c r="I43" s="862" t="n"/>
      <c r="J43" s="862" t="n"/>
      <c r="K43" s="862" t="n"/>
      <c r="L43" s="862" t="n"/>
      <c r="M43" s="862" t="n"/>
      <c r="N43" s="862" t="n"/>
      <c r="O43" s="862" t="n"/>
      <c r="P43" s="862" t="n"/>
      <c r="Q43" s="862" t="n"/>
      <c r="R43" s="862" t="n"/>
      <c r="S43" s="862" t="n"/>
      <c r="T43" s="862" t="n"/>
      <c r="U43" s="862" t="n"/>
      <c r="V43" s="862" t="n"/>
      <c r="W43" s="862" t="n"/>
      <c r="X43" s="862" t="n"/>
      <c r="Y43" s="862" t="n"/>
      <c r="Z43" s="862" t="n"/>
      <c r="AA43" s="862" t="n"/>
      <c r="AB43" s="862" t="n"/>
      <c r="AC43" s="862" t="n"/>
      <c r="AD43" s="862" t="n"/>
      <c r="AE43" s="862" t="n"/>
      <c r="AF43" s="862" t="n"/>
      <c r="AG43" s="862" t="n"/>
      <c r="AH43" s="862" t="n"/>
      <c r="AI43" s="862" t="n"/>
      <c r="AJ43" s="863" t="n"/>
      <c r="AK43" s="863" t="n"/>
      <c r="AL43" s="863" t="n"/>
      <c r="AM43" s="863" t="n"/>
      <c r="AN43" s="863" t="n"/>
      <c r="AO43" s="863" t="n"/>
      <c r="AP43" s="863" t="n"/>
      <c r="AQ43" s="863" t="n"/>
      <c r="AR43" s="863" t="n"/>
      <c r="AS43" s="863" t="n"/>
      <c r="AT43" s="863" t="n"/>
      <c r="AU43" s="863" t="n"/>
      <c r="AV43" s="863" t="n"/>
      <c r="AW43" s="863" t="n"/>
      <c r="AX43" s="863" t="n"/>
      <c r="AY43" s="863" t="n"/>
    </row>
    <row r="44" ht="17.25" customFormat="1" customHeight="1" s="85" thickBot="1" thickTop="1">
      <c r="A44" s="96" t="inlineStr">
        <is>
          <t>713A</t>
        </is>
      </c>
      <c r="B44" s="83" t="inlineStr">
        <is>
          <t>Fixed Rate (incl. Hybrid/Balloon &gt; 5 yrs)</t>
        </is>
      </c>
      <c r="C44" s="336" t="inlineStr">
        <is>
          <t>Loans/Lines of Credit Secured by a First Lien on a single 1- to 4-Family Residential Property</t>
        </is>
      </c>
      <c r="D44" s="862" t="n"/>
      <c r="E44" s="862" t="n"/>
      <c r="F44" s="862" t="n"/>
      <c r="G44" s="862" t="n"/>
      <c r="H44" s="862" t="n"/>
      <c r="I44" s="862" t="n"/>
      <c r="J44" s="862" t="n"/>
      <c r="K44" s="862" t="n"/>
      <c r="L44" s="862" t="n"/>
      <c r="M44" s="862" t="n"/>
      <c r="N44" s="862" t="n"/>
      <c r="O44" s="862" t="n"/>
      <c r="P44" s="862" t="n"/>
      <c r="Q44" s="862" t="n"/>
      <c r="R44" s="862" t="n"/>
      <c r="S44" s="862" t="n"/>
      <c r="T44" s="862" t="n"/>
      <c r="U44" s="862" t="n"/>
      <c r="V44" s="862" t="n"/>
      <c r="W44" s="862" t="n"/>
      <c r="X44" s="862" t="n"/>
      <c r="Y44" s="862" t="n"/>
      <c r="Z44" s="862" t="n"/>
      <c r="AA44" s="862" t="n"/>
      <c r="AB44" s="862" t="n"/>
      <c r="AC44" s="862" t="n"/>
      <c r="AD44" s="862" t="n"/>
      <c r="AE44" s="862" t="n"/>
      <c r="AF44" s="862" t="n"/>
      <c r="AG44" s="862" t="n"/>
      <c r="AH44" s="862" t="n"/>
      <c r="AI44" s="862" t="n"/>
      <c r="AJ44" s="863" t="n"/>
      <c r="AK44" s="863" t="n"/>
      <c r="AL44" s="863" t="n"/>
      <c r="AM44" s="863" t="n"/>
      <c r="AN44" s="863" t="n"/>
      <c r="AO44" s="863" t="n"/>
      <c r="AP44" s="863" t="n"/>
      <c r="AQ44" s="863" t="n"/>
      <c r="AR44" s="863" t="n"/>
      <c r="AS44" s="863" t="n"/>
      <c r="AT44" s="863" t="n"/>
      <c r="AU44" s="863" t="n"/>
      <c r="AV44" s="863" t="n"/>
      <c r="AW44" s="863" t="n"/>
      <c r="AX44" s="863" t="n"/>
      <c r="AY44" s="863" t="n"/>
    </row>
    <row r="45" ht="17.25" customFormat="1" customHeight="1" s="85" thickBot="1" thickTop="1">
      <c r="A45" s="97" t="inlineStr">
        <is>
          <t>714A</t>
        </is>
      </c>
      <c r="B45" s="83" t="inlineStr">
        <is>
          <t>Adjustable Rate (incl. Hybrid/Balloon 5 yrs or less)</t>
        </is>
      </c>
      <c r="C45" s="336" t="inlineStr">
        <is>
          <t>Loans/Lines of Credit Secured by a First Lien on a single 1- to 4-Family Residential Property</t>
        </is>
      </c>
      <c r="D45" s="862" t="n"/>
      <c r="E45" s="862" t="n"/>
      <c r="F45" s="862" t="n"/>
      <c r="G45" s="862" t="n"/>
      <c r="H45" s="862" t="n"/>
      <c r="I45" s="862" t="n"/>
      <c r="J45" s="862" t="n"/>
      <c r="K45" s="862" t="n"/>
      <c r="L45" s="862" t="n"/>
      <c r="M45" s="862" t="n"/>
      <c r="N45" s="862" t="n"/>
      <c r="O45" s="862" t="n"/>
      <c r="P45" s="862" t="n"/>
      <c r="Q45" s="862" t="n"/>
      <c r="R45" s="862" t="n"/>
      <c r="S45" s="862" t="n"/>
      <c r="T45" s="862" t="n"/>
      <c r="U45" s="862" t="n"/>
      <c r="V45" s="862" t="n"/>
      <c r="W45" s="862" t="n"/>
      <c r="X45" s="862" t="n"/>
      <c r="Y45" s="862" t="n"/>
      <c r="Z45" s="862" t="n"/>
      <c r="AA45" s="862" t="n"/>
      <c r="AB45" s="862" t="n"/>
      <c r="AC45" s="862" t="n"/>
      <c r="AD45" s="862" t="n"/>
      <c r="AE45" s="862" t="n"/>
      <c r="AF45" s="862" t="n"/>
      <c r="AG45" s="862" t="n"/>
      <c r="AH45" s="862" t="n"/>
      <c r="AI45" s="862" t="n"/>
      <c r="AJ45" s="863" t="n"/>
      <c r="AK45" s="863" t="n"/>
      <c r="AL45" s="863" t="n"/>
      <c r="AM45" s="863" t="n"/>
      <c r="AN45" s="863" t="n"/>
      <c r="AO45" s="863" t="n"/>
      <c r="AP45" s="863" t="n"/>
      <c r="AQ45" s="863" t="n"/>
      <c r="AR45" s="863" t="n"/>
      <c r="AS45" s="863" t="n"/>
      <c r="AT45" s="863" t="n"/>
      <c r="AU45" s="863" t="n"/>
      <c r="AV45" s="863" t="n"/>
      <c r="AW45" s="863" t="n"/>
      <c r="AX45" s="863" t="n"/>
      <c r="AY45" s="863" t="n"/>
    </row>
    <row r="46" ht="17.25" customFormat="1" customHeight="1" s="85" thickBot="1" thickTop="1">
      <c r="A46" s="96" t="inlineStr">
        <is>
          <t>715A</t>
        </is>
      </c>
      <c r="B46" s="83" t="inlineStr">
        <is>
          <t>Fixed Rate/Hybrid/Balloon</t>
        </is>
      </c>
      <c r="C46" s="336" t="inlineStr">
        <is>
          <t>Loans/Lines of Credit Secured by a First Lien on a single 1- to 4-Family Residential Property</t>
        </is>
      </c>
      <c r="D46" s="862" t="n"/>
      <c r="E46" s="862" t="n"/>
      <c r="F46" s="862" t="n"/>
      <c r="G46" s="862" t="n"/>
      <c r="H46" s="862" t="n"/>
      <c r="I46" s="862" t="n"/>
      <c r="J46" s="862" t="n"/>
      <c r="K46" s="862" t="n"/>
      <c r="L46" s="862" t="n"/>
      <c r="M46" s="862" t="n"/>
      <c r="N46" s="862" t="n"/>
      <c r="O46" s="862" t="n"/>
      <c r="P46" s="862" t="n"/>
      <c r="Q46" s="862" t="n"/>
      <c r="R46" s="862" t="n"/>
      <c r="S46" s="862" t="n"/>
      <c r="T46" s="862" t="n"/>
      <c r="U46" s="862" t="n"/>
      <c r="V46" s="862" t="n"/>
      <c r="W46" s="862" t="n"/>
      <c r="X46" s="862" t="n"/>
      <c r="Y46" s="862" t="n"/>
      <c r="Z46" s="862" t="n"/>
      <c r="AA46" s="862" t="n"/>
      <c r="AB46" s="862" t="n"/>
      <c r="AC46" s="862" t="n"/>
      <c r="AD46" s="862" t="n"/>
      <c r="AE46" s="862" t="n"/>
      <c r="AF46" s="862" t="n"/>
      <c r="AG46" s="862" t="n"/>
      <c r="AH46" s="862" t="n"/>
      <c r="AI46" s="862" t="n"/>
      <c r="AJ46" s="863" t="n"/>
      <c r="AK46" s="863" t="n"/>
      <c r="AL46" s="863" t="n"/>
      <c r="AM46" s="863" t="n"/>
      <c r="AN46" s="863" t="n"/>
      <c r="AO46" s="863" t="n"/>
      <c r="AP46" s="863" t="n"/>
      <c r="AQ46" s="863" t="n"/>
      <c r="AR46" s="863" t="n"/>
      <c r="AS46" s="863" t="n"/>
      <c r="AT46" s="863" t="n"/>
      <c r="AU46" s="863" t="n"/>
      <c r="AV46" s="863" t="n"/>
      <c r="AW46" s="863" t="n"/>
      <c r="AX46" s="863" t="n"/>
      <c r="AY46" s="863" t="n"/>
    </row>
    <row r="47" ht="17.25" customFormat="1" customHeight="1" s="85" thickBot="1" thickTop="1">
      <c r="A47" s="96" t="inlineStr">
        <is>
          <t>716A</t>
        </is>
      </c>
      <c r="B47" s="83" t="inlineStr">
        <is>
          <t>Adjustable Rate</t>
        </is>
      </c>
      <c r="C47" s="336" t="inlineStr">
        <is>
          <t>Loans/Lines of Credit Secured by a First Lien on a single 1- to 4-Family Residential Property</t>
        </is>
      </c>
      <c r="D47" s="862" t="n"/>
      <c r="E47" s="862" t="n"/>
      <c r="F47" s="862" t="n"/>
      <c r="G47" s="862" t="n"/>
      <c r="H47" s="862" t="n"/>
      <c r="I47" s="862" t="n"/>
      <c r="J47" s="862" t="n"/>
      <c r="K47" s="862" t="n"/>
      <c r="L47" s="862" t="n"/>
      <c r="M47" s="862" t="n"/>
      <c r="N47" s="862" t="n"/>
      <c r="O47" s="862" t="n"/>
      <c r="P47" s="862" t="n"/>
      <c r="Q47" s="862" t="n"/>
      <c r="R47" s="862" t="n"/>
      <c r="S47" s="862" t="n"/>
      <c r="T47" s="862" t="n"/>
      <c r="U47" s="862" t="n"/>
      <c r="V47" s="862" t="n"/>
      <c r="W47" s="862" t="n"/>
      <c r="X47" s="862" t="n"/>
      <c r="Y47" s="862" t="n"/>
      <c r="Z47" s="862" t="n"/>
      <c r="AA47" s="862" t="n"/>
      <c r="AB47" s="862" t="n"/>
      <c r="AC47" s="862" t="n"/>
      <c r="AD47" s="862" t="n"/>
      <c r="AE47" s="862" t="n"/>
      <c r="AF47" s="862" t="n"/>
      <c r="AG47" s="862" t="n"/>
      <c r="AH47" s="862" t="n"/>
      <c r="AI47" s="862" t="n"/>
      <c r="AJ47" s="863" t="n"/>
      <c r="AK47" s="863" t="n"/>
      <c r="AL47" s="863" t="n"/>
      <c r="AM47" s="863" t="n"/>
      <c r="AN47" s="863" t="n"/>
      <c r="AO47" s="863" t="n"/>
      <c r="AP47" s="863" t="n"/>
      <c r="AQ47" s="863" t="n"/>
      <c r="AR47" s="863" t="n"/>
      <c r="AS47" s="863" t="n"/>
      <c r="AT47" s="863" t="n"/>
      <c r="AU47" s="863" t="n"/>
      <c r="AV47" s="863" t="n"/>
      <c r="AW47" s="863" t="n"/>
      <c r="AX47" s="863" t="n"/>
      <c r="AY47" s="863" t="n"/>
    </row>
    <row r="48" ht="17.25" customFormat="1" customHeight="1" s="85" thickBot="1" thickTop="1">
      <c r="A48" s="96" t="inlineStr">
        <is>
          <t>041D</t>
        </is>
      </c>
      <c r="B48" s="83" t="inlineStr">
        <is>
          <t>Leases Receivable</t>
        </is>
      </c>
      <c r="C48" s="336" t="inlineStr">
        <is>
          <t>Leases Receivable</t>
        </is>
      </c>
      <c r="D48" s="862" t="n"/>
      <c r="E48" s="862" t="n"/>
      <c r="F48" s="862" t="n"/>
      <c r="G48" s="862" t="n"/>
      <c r="H48" s="862" t="n"/>
      <c r="I48" s="862" t="n"/>
      <c r="J48" s="862" t="n"/>
      <c r="K48" s="862" t="n"/>
      <c r="L48" s="862" t="n"/>
      <c r="M48" s="862" t="n"/>
      <c r="N48" s="862" t="n"/>
      <c r="O48" s="862" t="n"/>
      <c r="P48" s="862" t="n"/>
      <c r="Q48" s="862" t="n"/>
      <c r="R48" s="862" t="n"/>
      <c r="S48" s="862" t="n"/>
      <c r="T48" s="862" t="n"/>
      <c r="U48" s="862" t="n"/>
      <c r="V48" s="862" t="n"/>
      <c r="W48" s="862" t="n"/>
      <c r="X48" s="862" t="n"/>
      <c r="Y48" s="862" t="n"/>
      <c r="Z48" s="862" t="n"/>
      <c r="AA48" s="862" t="n"/>
      <c r="AB48" s="862" t="n"/>
      <c r="AC48" s="862" t="n"/>
      <c r="AD48" s="862" t="n"/>
      <c r="AE48" s="862" t="n"/>
      <c r="AF48" s="862" t="n"/>
      <c r="AG48" s="862" t="n"/>
      <c r="AH48" s="862" t="n"/>
      <c r="AI48" s="862" t="n"/>
      <c r="AJ48" s="863" t="n"/>
      <c r="AK48" s="863" t="n"/>
      <c r="AL48" s="863" t="n"/>
      <c r="AM48" s="863" t="n"/>
      <c r="AN48" s="863" t="n"/>
      <c r="AO48" s="863" t="n"/>
      <c r="AP48" s="863" t="n"/>
      <c r="AQ48" s="863" t="n"/>
      <c r="AR48" s="863" t="n"/>
      <c r="AS48" s="863" t="n"/>
      <c r="AT48" s="863" t="n"/>
      <c r="AU48" s="863" t="n"/>
      <c r="AV48" s="863" t="n"/>
      <c r="AW48" s="863" t="n"/>
      <c r="AX48" s="863" t="n"/>
      <c r="AY48" s="863" t="n"/>
    </row>
    <row r="49" ht="17.25" customFormat="1" customHeight="1" s="85" thickBot="1" thickTop="1">
      <c r="A49" s="96" t="inlineStr">
        <is>
          <t>041C</t>
        </is>
      </c>
      <c r="B49" s="87" t="inlineStr">
        <is>
          <t>All Other Loans</t>
        </is>
      </c>
      <c r="C49" s="336" t="inlineStr">
        <is>
          <t>All Other Unsecured Loans/Lines of Credit</t>
        </is>
      </c>
      <c r="D49" s="866" t="n"/>
      <c r="E49" s="866" t="n"/>
      <c r="F49" s="866" t="n"/>
      <c r="G49" s="866" t="n"/>
      <c r="H49" s="866" t="n"/>
      <c r="I49" s="866" t="n"/>
      <c r="J49" s="866" t="n"/>
      <c r="K49" s="866" t="n"/>
      <c r="L49" s="866" t="n"/>
      <c r="M49" s="866" t="n"/>
      <c r="N49" s="866" t="n"/>
      <c r="O49" s="866" t="n"/>
      <c r="P49" s="866" t="n"/>
      <c r="Q49" s="866" t="n"/>
      <c r="R49" s="866" t="n"/>
      <c r="S49" s="866" t="n"/>
      <c r="T49" s="866" t="n"/>
      <c r="U49" s="866" t="n"/>
      <c r="V49" s="866" t="n"/>
      <c r="W49" s="866" t="n"/>
      <c r="X49" s="866" t="n"/>
      <c r="Y49" s="866" t="n"/>
      <c r="Z49" s="866" t="n"/>
      <c r="AA49" s="866" t="n"/>
      <c r="AB49" s="866" t="n"/>
      <c r="AC49" s="866" t="n"/>
      <c r="AD49" s="866" t="n"/>
      <c r="AE49" s="866" t="n"/>
      <c r="AF49" s="866" t="n"/>
      <c r="AG49" s="866" t="n"/>
      <c r="AH49" s="866" t="n"/>
      <c r="AI49" s="866" t="n"/>
      <c r="AJ49" s="867" t="n"/>
      <c r="AK49" s="867" t="n"/>
      <c r="AL49" s="867" t="n"/>
      <c r="AM49" s="867" t="n"/>
      <c r="AN49" s="867" t="n"/>
      <c r="AO49" s="867" t="n"/>
      <c r="AP49" s="867" t="n"/>
      <c r="AQ49" s="867" t="n"/>
      <c r="AR49" s="867" t="n"/>
      <c r="AS49" s="867" t="n"/>
      <c r="AT49" s="867" t="n"/>
      <c r="AU49" s="867" t="n"/>
      <c r="AV49" s="867" t="n"/>
      <c r="AW49" s="867" t="n"/>
      <c r="AX49" s="867" t="n"/>
      <c r="AY49" s="867" t="n"/>
    </row>
    <row r="50" ht="17.25" customFormat="1" customHeight="1" s="85" thickBot="1" thickTop="1">
      <c r="A50" s="96" t="inlineStr">
        <is>
          <t>045B</t>
        </is>
      </c>
      <c r="B50" s="83" t="inlineStr">
        <is>
          <t>Unsecured Credit Card Loans</t>
        </is>
      </c>
      <c r="C50" s="336" t="inlineStr">
        <is>
          <t>Unsecured Credit Card Loans</t>
        </is>
      </c>
      <c r="D50" s="863" t="n"/>
      <c r="E50" s="863" t="n"/>
      <c r="F50" s="863" t="n"/>
      <c r="G50" s="863" t="n"/>
      <c r="H50" s="863" t="n"/>
      <c r="I50" s="863" t="n"/>
      <c r="J50" s="863" t="n"/>
      <c r="K50" s="863" t="n"/>
      <c r="L50" s="863" t="n"/>
      <c r="M50" s="863" t="n"/>
      <c r="N50" s="863" t="n"/>
      <c r="O50" s="863" t="n"/>
      <c r="P50" s="863" t="n"/>
      <c r="Q50" s="863" t="n"/>
      <c r="R50" s="863" t="n"/>
      <c r="S50" s="863" t="n"/>
      <c r="T50" s="863" t="n"/>
      <c r="U50" s="863" t="n"/>
      <c r="V50" s="863" t="n"/>
      <c r="W50" s="863" t="n"/>
      <c r="X50" s="863" t="n"/>
      <c r="Y50" s="863" t="n"/>
      <c r="Z50" s="863" t="n"/>
      <c r="AA50" s="863" t="n"/>
      <c r="AB50" s="863" t="n"/>
      <c r="AC50" s="863" t="n"/>
      <c r="AD50" s="863" t="n"/>
      <c r="AE50" s="863" t="n"/>
      <c r="AF50" s="863" t="n"/>
      <c r="AG50" s="863" t="n"/>
      <c r="AH50" s="863" t="n"/>
      <c r="AI50" s="863" t="n"/>
      <c r="AJ50" s="862" t="n"/>
      <c r="AK50" s="862" t="n"/>
      <c r="AL50" s="862" t="n"/>
      <c r="AM50" s="862" t="n"/>
      <c r="AN50" s="862" t="n"/>
      <c r="AO50" s="862" t="n"/>
      <c r="AP50" s="862" t="n"/>
      <c r="AQ50" s="862" t="n"/>
      <c r="AR50" s="862" t="n"/>
      <c r="AS50" s="862" t="n"/>
      <c r="AT50" s="862" t="n"/>
      <c r="AU50" s="862" t="n"/>
      <c r="AV50" s="862" t="n"/>
      <c r="AW50" s="862" t="n"/>
      <c r="AX50" s="862" t="n"/>
      <c r="AY50" s="862" t="n"/>
    </row>
    <row r="51" ht="17.25" customFormat="1" customHeight="1" s="86" thickBot="1" thickTop="1">
      <c r="A51" s="96" t="inlineStr">
        <is>
          <t>130B</t>
        </is>
      </c>
      <c r="B51" s="83" t="inlineStr">
        <is>
          <t>Payday Alternative Loans (PALs loans) (FCU Only)</t>
        </is>
      </c>
      <c r="C51" s="336" t="inlineStr">
        <is>
          <t>Payday Alternative Loans</t>
        </is>
      </c>
      <c r="D51" s="863" t="n"/>
      <c r="E51" s="863" t="n"/>
      <c r="F51" s="863" t="n"/>
      <c r="G51" s="863" t="n"/>
      <c r="H51" s="863" t="n"/>
      <c r="I51" s="863" t="n"/>
      <c r="J51" s="863" t="n"/>
      <c r="K51" s="863" t="n"/>
      <c r="L51" s="863" t="n"/>
      <c r="M51" s="863" t="n"/>
      <c r="N51" s="863" t="n"/>
      <c r="O51" s="863" t="n"/>
      <c r="P51" s="863" t="n"/>
      <c r="Q51" s="863" t="n"/>
      <c r="R51" s="863" t="n"/>
      <c r="S51" s="863" t="n"/>
      <c r="T51" s="863" t="n"/>
      <c r="U51" s="863" t="n"/>
      <c r="V51" s="863" t="n"/>
      <c r="W51" s="863" t="n"/>
      <c r="X51" s="863" t="n"/>
      <c r="Y51" s="863" t="n"/>
      <c r="Z51" s="863" t="n"/>
      <c r="AA51" s="863" t="n"/>
      <c r="AB51" s="863" t="n"/>
      <c r="AC51" s="863" t="n"/>
      <c r="AD51" s="863" t="n"/>
      <c r="AE51" s="863" t="n"/>
      <c r="AF51" s="863" t="n"/>
      <c r="AG51" s="863" t="n"/>
      <c r="AH51" s="863" t="n"/>
      <c r="AI51" s="863" t="n"/>
      <c r="AJ51" s="862" t="n"/>
      <c r="AK51" s="862" t="n"/>
      <c r="AL51" s="862" t="n"/>
      <c r="AM51" s="862" t="n"/>
      <c r="AN51" s="862" t="n"/>
      <c r="AO51" s="862" t="n"/>
      <c r="AP51" s="862" t="n"/>
      <c r="AQ51" s="862" t="n"/>
      <c r="AR51" s="862" t="n"/>
      <c r="AS51" s="862" t="n"/>
      <c r="AT51" s="862" t="n"/>
      <c r="AU51" s="862" t="n"/>
      <c r="AV51" s="862" t="n"/>
      <c r="AW51" s="862" t="n"/>
      <c r="AX51" s="862" t="n"/>
      <c r="AY51" s="862" t="n"/>
    </row>
    <row r="52" ht="17.25" customFormat="1" customHeight="1" s="86" thickBot="1" thickTop="1">
      <c r="A52" s="96" t="inlineStr">
        <is>
          <t>041T</t>
        </is>
      </c>
      <c r="B52" s="83" t="inlineStr">
        <is>
          <t>Non-Federally Guaranteed Student Loans</t>
        </is>
      </c>
      <c r="C52" s="336" t="inlineStr">
        <is>
          <t>Non-Federally Guaranteed Student Loans</t>
        </is>
      </c>
      <c r="D52" s="863" t="n"/>
      <c r="E52" s="863" t="n"/>
      <c r="F52" s="863" t="n"/>
      <c r="G52" s="863" t="n"/>
      <c r="H52" s="863" t="n"/>
      <c r="I52" s="863" t="n"/>
      <c r="J52" s="863" t="n"/>
      <c r="K52" s="863" t="n"/>
      <c r="L52" s="863" t="n"/>
      <c r="M52" s="863" t="n"/>
      <c r="N52" s="863" t="n"/>
      <c r="O52" s="863" t="n"/>
      <c r="P52" s="863" t="n"/>
      <c r="Q52" s="863" t="n"/>
      <c r="R52" s="863" t="n"/>
      <c r="S52" s="863" t="n"/>
      <c r="T52" s="863" t="n"/>
      <c r="U52" s="863" t="n"/>
      <c r="V52" s="863" t="n"/>
      <c r="W52" s="863" t="n"/>
      <c r="X52" s="863" t="n"/>
      <c r="Y52" s="863" t="n"/>
      <c r="Z52" s="863" t="n"/>
      <c r="AA52" s="863" t="n"/>
      <c r="AB52" s="863" t="n"/>
      <c r="AC52" s="863" t="n"/>
      <c r="AD52" s="863" t="n"/>
      <c r="AE52" s="863" t="n"/>
      <c r="AF52" s="863" t="n"/>
      <c r="AG52" s="863" t="n"/>
      <c r="AH52" s="863" t="n"/>
      <c r="AI52" s="863" t="n"/>
      <c r="AJ52" s="862" t="n"/>
      <c r="AK52" s="862" t="n"/>
      <c r="AL52" s="862" t="n"/>
      <c r="AM52" s="862" t="n"/>
      <c r="AN52" s="862" t="n"/>
      <c r="AO52" s="862" t="n"/>
      <c r="AP52" s="862" t="n"/>
      <c r="AQ52" s="862" t="n"/>
      <c r="AR52" s="862" t="n"/>
      <c r="AS52" s="862" t="n"/>
      <c r="AT52" s="862" t="n"/>
      <c r="AU52" s="862" t="n"/>
      <c r="AV52" s="862" t="n"/>
      <c r="AW52" s="862" t="n"/>
      <c r="AX52" s="862" t="n"/>
      <c r="AY52" s="862" t="n"/>
    </row>
    <row r="53" ht="17.25" customFormat="1" customHeight="1" s="86" thickBot="1" thickTop="1">
      <c r="A53" s="96" t="inlineStr">
        <is>
          <t>DL0027</t>
        </is>
      </c>
      <c r="B53" s="83" t="inlineStr">
        <is>
          <t>All Other Unsecured Loans/Lines of Credit</t>
        </is>
      </c>
      <c r="C53" s="336" t="inlineStr">
        <is>
          <t>All Other Unsecured Loans/Lines of Credit</t>
        </is>
      </c>
      <c r="D53" s="863" t="n"/>
      <c r="E53" s="863" t="n"/>
      <c r="F53" s="863" t="n"/>
      <c r="G53" s="863" t="n"/>
      <c r="H53" s="863" t="n"/>
      <c r="I53" s="863" t="n"/>
      <c r="J53" s="863" t="n"/>
      <c r="K53" s="863" t="n"/>
      <c r="L53" s="863" t="n"/>
      <c r="M53" s="863" t="n"/>
      <c r="N53" s="863" t="n"/>
      <c r="O53" s="863" t="n"/>
      <c r="P53" s="863" t="n"/>
      <c r="Q53" s="863" t="n"/>
      <c r="R53" s="863" t="n"/>
      <c r="S53" s="863" t="n"/>
      <c r="T53" s="863" t="n"/>
      <c r="U53" s="863" t="n"/>
      <c r="V53" s="863" t="n"/>
      <c r="W53" s="863" t="n"/>
      <c r="X53" s="863" t="n"/>
      <c r="Y53" s="863" t="n"/>
      <c r="Z53" s="863" t="n"/>
      <c r="AA53" s="863" t="n"/>
      <c r="AB53" s="863" t="n"/>
      <c r="AC53" s="863" t="n"/>
      <c r="AD53" s="863" t="n"/>
      <c r="AE53" s="863" t="n"/>
      <c r="AF53" s="863" t="n"/>
      <c r="AG53" s="863" t="n"/>
      <c r="AH53" s="863" t="n"/>
      <c r="AI53" s="863" t="n"/>
      <c r="AJ53" s="862" t="n"/>
      <c r="AK53" s="862" t="n"/>
      <c r="AL53" s="862" t="n"/>
      <c r="AM53" s="862" t="n"/>
      <c r="AN53" s="862" t="n"/>
      <c r="AO53" s="862" t="n"/>
      <c r="AP53" s="862" t="n"/>
      <c r="AQ53" s="862" t="n"/>
      <c r="AR53" s="862" t="n"/>
      <c r="AS53" s="862" t="n"/>
      <c r="AT53" s="862" t="n"/>
      <c r="AU53" s="862" t="n"/>
      <c r="AV53" s="862" t="n"/>
      <c r="AW53" s="862" t="n"/>
      <c r="AX53" s="862" t="n"/>
      <c r="AY53" s="862" t="n"/>
    </row>
    <row r="54" ht="17.25" customFormat="1" customHeight="1" s="86" thickBot="1" thickTop="1">
      <c r="A54" s="96" t="inlineStr">
        <is>
          <t>041C1</t>
        </is>
      </c>
      <c r="B54" s="83" t="inlineStr">
        <is>
          <t>New Vehicle Loans</t>
        </is>
      </c>
      <c r="C54" s="336" t="inlineStr">
        <is>
          <t>New Vehicle Loans</t>
        </is>
      </c>
      <c r="D54" s="863" t="n"/>
      <c r="E54" s="863" t="n"/>
      <c r="F54" s="863" t="n"/>
      <c r="G54" s="863" t="n"/>
      <c r="H54" s="863" t="n"/>
      <c r="I54" s="863" t="n"/>
      <c r="J54" s="863" t="n"/>
      <c r="K54" s="863" t="n"/>
      <c r="L54" s="863" t="n"/>
      <c r="M54" s="863" t="n"/>
      <c r="N54" s="863" t="n"/>
      <c r="O54" s="863" t="n"/>
      <c r="P54" s="863" t="n"/>
      <c r="Q54" s="863" t="n"/>
      <c r="R54" s="863" t="n"/>
      <c r="S54" s="863" t="n"/>
      <c r="T54" s="863" t="n"/>
      <c r="U54" s="863" t="n"/>
      <c r="V54" s="863" t="n"/>
      <c r="W54" s="863" t="n"/>
      <c r="X54" s="863" t="n"/>
      <c r="Y54" s="863" t="n"/>
      <c r="Z54" s="863" t="n"/>
      <c r="AA54" s="863" t="n"/>
      <c r="AB54" s="863" t="n"/>
      <c r="AC54" s="863" t="n"/>
      <c r="AD54" s="863" t="n"/>
      <c r="AE54" s="863" t="n"/>
      <c r="AF54" s="863" t="n"/>
      <c r="AG54" s="863" t="n"/>
      <c r="AH54" s="863" t="n"/>
      <c r="AI54" s="863" t="n"/>
      <c r="AJ54" s="862" t="n"/>
      <c r="AK54" s="862" t="n"/>
      <c r="AL54" s="862" t="n"/>
      <c r="AM54" s="862" t="n"/>
      <c r="AN54" s="862" t="n"/>
      <c r="AO54" s="862" t="n"/>
      <c r="AP54" s="862" t="n"/>
      <c r="AQ54" s="862" t="n"/>
      <c r="AR54" s="862" t="n"/>
      <c r="AS54" s="862" t="n"/>
      <c r="AT54" s="862" t="n"/>
      <c r="AU54" s="862" t="n"/>
      <c r="AV54" s="862" t="n"/>
      <c r="AW54" s="862" t="n"/>
      <c r="AX54" s="862" t="n"/>
      <c r="AY54" s="862" t="n"/>
    </row>
    <row r="55" ht="17.25" customFormat="1" customHeight="1" s="86" thickBot="1" thickTop="1">
      <c r="A55" s="96" t="inlineStr">
        <is>
          <t>041C2</t>
        </is>
      </c>
      <c r="B55" s="83" t="inlineStr">
        <is>
          <t>Used Vehicle Loans</t>
        </is>
      </c>
      <c r="C55" s="336" t="inlineStr">
        <is>
          <t>Used Vehicle Loans</t>
        </is>
      </c>
      <c r="D55" s="863" t="n"/>
      <c r="E55" s="863" t="n"/>
      <c r="F55" s="863" t="n"/>
      <c r="G55" s="863" t="n"/>
      <c r="H55" s="863" t="n"/>
      <c r="I55" s="863" t="n"/>
      <c r="J55" s="863" t="n"/>
      <c r="K55" s="863" t="n"/>
      <c r="L55" s="863" t="n"/>
      <c r="M55" s="863" t="n"/>
      <c r="N55" s="863" t="n"/>
      <c r="O55" s="863" t="n"/>
      <c r="P55" s="863" t="n"/>
      <c r="Q55" s="863" t="n"/>
      <c r="R55" s="863" t="n"/>
      <c r="S55" s="863" t="n"/>
      <c r="T55" s="863" t="n"/>
      <c r="U55" s="863" t="n"/>
      <c r="V55" s="863" t="n"/>
      <c r="W55" s="863" t="n"/>
      <c r="X55" s="863" t="n"/>
      <c r="Y55" s="863" t="n"/>
      <c r="Z55" s="863" t="n"/>
      <c r="AA55" s="863" t="n"/>
      <c r="AB55" s="863" t="n"/>
      <c r="AC55" s="863" t="n"/>
      <c r="AD55" s="863" t="n"/>
      <c r="AE55" s="863" t="n"/>
      <c r="AF55" s="863" t="n"/>
      <c r="AG55" s="863" t="n"/>
      <c r="AH55" s="863" t="n"/>
      <c r="AI55" s="863" t="n"/>
      <c r="AJ55" s="862" t="n"/>
      <c r="AK55" s="862" t="n"/>
      <c r="AL55" s="862" t="n"/>
      <c r="AM55" s="862" t="n"/>
      <c r="AN55" s="862" t="n"/>
      <c r="AO55" s="862" t="n"/>
      <c r="AP55" s="862" t="n"/>
      <c r="AQ55" s="862" t="n"/>
      <c r="AR55" s="862" t="n"/>
      <c r="AS55" s="862" t="n"/>
      <c r="AT55" s="862" t="n"/>
      <c r="AU55" s="862" t="n"/>
      <c r="AV55" s="862" t="n"/>
      <c r="AW55" s="862" t="n"/>
      <c r="AX55" s="862" t="n"/>
      <c r="AY55" s="862" t="n"/>
    </row>
    <row r="56" ht="17.25" customFormat="1" customHeight="1" s="86" thickBot="1" thickTop="1">
      <c r="A56" s="96" t="inlineStr">
        <is>
          <t>041D</t>
        </is>
      </c>
      <c r="B56" s="83" t="inlineStr">
        <is>
          <t>Leases Receivable</t>
        </is>
      </c>
      <c r="C56" s="336" t="inlineStr">
        <is>
          <t>Leases Receivable</t>
        </is>
      </c>
      <c r="D56" s="863" t="n"/>
      <c r="E56" s="863" t="n"/>
      <c r="F56" s="863" t="n"/>
      <c r="G56" s="863" t="n"/>
      <c r="H56" s="863" t="n"/>
      <c r="I56" s="863" t="n"/>
      <c r="J56" s="863" t="n"/>
      <c r="K56" s="863" t="n"/>
      <c r="L56" s="863" t="n"/>
      <c r="M56" s="863" t="n"/>
      <c r="N56" s="863" t="n"/>
      <c r="O56" s="863" t="n"/>
      <c r="P56" s="863" t="n"/>
      <c r="Q56" s="863" t="n"/>
      <c r="R56" s="863" t="n"/>
      <c r="S56" s="863" t="n"/>
      <c r="T56" s="863" t="n"/>
      <c r="U56" s="863" t="n"/>
      <c r="V56" s="863" t="n"/>
      <c r="W56" s="863" t="n"/>
      <c r="X56" s="863" t="n"/>
      <c r="Y56" s="863" t="n"/>
      <c r="Z56" s="863" t="n"/>
      <c r="AA56" s="863" t="n"/>
      <c r="AB56" s="863" t="n"/>
      <c r="AC56" s="863" t="n"/>
      <c r="AD56" s="863" t="n"/>
      <c r="AE56" s="863" t="n"/>
      <c r="AF56" s="863" t="n"/>
      <c r="AG56" s="863" t="n"/>
      <c r="AH56" s="863" t="n"/>
      <c r="AI56" s="863" t="n"/>
      <c r="AJ56" s="862" t="n"/>
      <c r="AK56" s="862" t="n"/>
      <c r="AL56" s="862" t="n"/>
      <c r="AM56" s="862" t="n"/>
      <c r="AN56" s="862" t="n"/>
      <c r="AO56" s="862" t="n"/>
      <c r="AP56" s="862" t="n"/>
      <c r="AQ56" s="862" t="n"/>
      <c r="AR56" s="862" t="n"/>
      <c r="AS56" s="862" t="n"/>
      <c r="AT56" s="862" t="n"/>
      <c r="AU56" s="862" t="n"/>
      <c r="AV56" s="862" t="n"/>
      <c r="AW56" s="862" t="n"/>
      <c r="AX56" s="862" t="n"/>
      <c r="AY56" s="862" t="n"/>
    </row>
    <row r="57" ht="17.25" customFormat="1" customHeight="1" s="86" thickBot="1" thickTop="1">
      <c r="A57" s="96" t="inlineStr">
        <is>
          <t>DL0055</t>
        </is>
      </c>
      <c r="B57" s="83" t="inlineStr">
        <is>
          <t>All Other Secured Non-Real Estate Loans/Lines of Credit</t>
        </is>
      </c>
      <c r="C57" s="336" t="inlineStr">
        <is>
          <t>All Other Secured Non-Real Estate Loans/Lines of Credit</t>
        </is>
      </c>
      <c r="D57" s="863" t="n"/>
      <c r="E57" s="863" t="n"/>
      <c r="F57" s="863" t="n"/>
      <c r="G57" s="863" t="n"/>
      <c r="H57" s="863" t="n"/>
      <c r="I57" s="863" t="n"/>
      <c r="J57" s="863" t="n"/>
      <c r="K57" s="863" t="n"/>
      <c r="L57" s="863" t="n"/>
      <c r="M57" s="863" t="n"/>
      <c r="N57" s="863" t="n"/>
      <c r="O57" s="863" t="n"/>
      <c r="P57" s="863" t="n"/>
      <c r="Q57" s="863" t="n"/>
      <c r="R57" s="863" t="n"/>
      <c r="S57" s="863" t="n"/>
      <c r="T57" s="863" t="n"/>
      <c r="U57" s="863" t="n"/>
      <c r="V57" s="863" t="n"/>
      <c r="W57" s="863" t="n"/>
      <c r="X57" s="863" t="n"/>
      <c r="Y57" s="863" t="n"/>
      <c r="Z57" s="863" t="n"/>
      <c r="AA57" s="863" t="n"/>
      <c r="AB57" s="863" t="n"/>
      <c r="AC57" s="863" t="n"/>
      <c r="AD57" s="863" t="n"/>
      <c r="AE57" s="863" t="n"/>
      <c r="AF57" s="863" t="n"/>
      <c r="AG57" s="863" t="n"/>
      <c r="AH57" s="863" t="n"/>
      <c r="AI57" s="863" t="n"/>
      <c r="AJ57" s="862" t="n"/>
      <c r="AK57" s="862" t="n"/>
      <c r="AL57" s="862" t="n"/>
      <c r="AM57" s="862" t="n"/>
      <c r="AN57" s="862" t="n"/>
      <c r="AO57" s="862" t="n"/>
      <c r="AP57" s="862" t="n"/>
      <c r="AQ57" s="862" t="n"/>
      <c r="AR57" s="862" t="n"/>
      <c r="AS57" s="862" t="n"/>
      <c r="AT57" s="862" t="n"/>
      <c r="AU57" s="862" t="n"/>
      <c r="AV57" s="862" t="n"/>
      <c r="AW57" s="862" t="n"/>
      <c r="AX57" s="862" t="n"/>
      <c r="AY57" s="862" t="n"/>
    </row>
    <row r="58" ht="17.25" customFormat="1" customHeight="1" s="86" thickBot="1" thickTop="1">
      <c r="A58" s="96" t="inlineStr">
        <is>
          <t>DL0062</t>
        </is>
      </c>
      <c r="B58" s="83" t="inlineStr">
        <is>
          <t>Secured by 1st Lien on a single 1- to 4-Family Residential Property</t>
        </is>
      </c>
      <c r="C58" s="336" t="inlineStr">
        <is>
          <t>Loans/Lines of Credit Secured by a First Lien on a single 1- to 4-Family Residential Property</t>
        </is>
      </c>
      <c r="D58" s="863" t="n"/>
      <c r="E58" s="863" t="n"/>
      <c r="F58" s="863" t="n"/>
      <c r="G58" s="863" t="n"/>
      <c r="H58" s="863" t="n"/>
      <c r="I58" s="863" t="n"/>
      <c r="J58" s="863" t="n"/>
      <c r="K58" s="863" t="n"/>
      <c r="L58" s="863" t="n"/>
      <c r="M58" s="863" t="n"/>
      <c r="N58" s="863" t="n"/>
      <c r="O58" s="863" t="n"/>
      <c r="P58" s="863" t="n"/>
      <c r="Q58" s="863" t="n"/>
      <c r="R58" s="863" t="n"/>
      <c r="S58" s="863" t="n"/>
      <c r="T58" s="863" t="n"/>
      <c r="U58" s="863" t="n"/>
      <c r="V58" s="863" t="n"/>
      <c r="W58" s="863" t="n"/>
      <c r="X58" s="863" t="n"/>
      <c r="Y58" s="863" t="n"/>
      <c r="Z58" s="863" t="n"/>
      <c r="AA58" s="863" t="n"/>
      <c r="AB58" s="863" t="n"/>
      <c r="AC58" s="863" t="n"/>
      <c r="AD58" s="863" t="n"/>
      <c r="AE58" s="863" t="n"/>
      <c r="AF58" s="863" t="n"/>
      <c r="AG58" s="863" t="n"/>
      <c r="AH58" s="863" t="n"/>
      <c r="AI58" s="863" t="n"/>
      <c r="AJ58" s="862" t="n"/>
      <c r="AK58" s="862" t="n"/>
      <c r="AL58" s="862" t="n"/>
      <c r="AM58" s="862" t="n"/>
      <c r="AN58" s="862" t="n"/>
      <c r="AO58" s="862" t="n"/>
      <c r="AP58" s="862" t="n"/>
      <c r="AQ58" s="862" t="n"/>
      <c r="AR58" s="862" t="n"/>
      <c r="AS58" s="862" t="n"/>
      <c r="AT58" s="862" t="n"/>
      <c r="AU58" s="862" t="n"/>
      <c r="AV58" s="862" t="n"/>
      <c r="AW58" s="862" t="n"/>
      <c r="AX58" s="862" t="n"/>
      <c r="AY58" s="862" t="n"/>
    </row>
    <row r="59" ht="17.25" customFormat="1" customHeight="1" s="86" thickBot="1" thickTop="1">
      <c r="A59" s="96" t="inlineStr">
        <is>
          <t>DL0069</t>
        </is>
      </c>
      <c r="B59" s="83" t="inlineStr">
        <is>
          <t>Secured by Junior Lien on a single 1- to 4-Family Residential Property</t>
        </is>
      </c>
      <c r="C59" s="336" t="inlineStr">
        <is>
          <t>Loans/Lines of Credit Secured by a Junior Lien on a single 1- to 4-Family Residential Property</t>
        </is>
      </c>
      <c r="D59" s="863" t="n"/>
      <c r="E59" s="863" t="n"/>
      <c r="F59" s="863" t="n"/>
      <c r="G59" s="863" t="n"/>
      <c r="H59" s="863" t="n"/>
      <c r="I59" s="863" t="n"/>
      <c r="J59" s="863" t="n"/>
      <c r="K59" s="863" t="n"/>
      <c r="L59" s="863" t="n"/>
      <c r="M59" s="863" t="n"/>
      <c r="N59" s="863" t="n"/>
      <c r="O59" s="863" t="n"/>
      <c r="P59" s="863" t="n"/>
      <c r="Q59" s="863" t="n"/>
      <c r="R59" s="863" t="n"/>
      <c r="S59" s="863" t="n"/>
      <c r="T59" s="863" t="n"/>
      <c r="U59" s="863" t="n"/>
      <c r="V59" s="863" t="n"/>
      <c r="W59" s="863" t="n"/>
      <c r="X59" s="863" t="n"/>
      <c r="Y59" s="863" t="n"/>
      <c r="Z59" s="863" t="n"/>
      <c r="AA59" s="863" t="n"/>
      <c r="AB59" s="863" t="n"/>
      <c r="AC59" s="863" t="n"/>
      <c r="AD59" s="863" t="n"/>
      <c r="AE59" s="863" t="n"/>
      <c r="AF59" s="863" t="n"/>
      <c r="AG59" s="863" t="n"/>
      <c r="AH59" s="863" t="n"/>
      <c r="AI59" s="863" t="n"/>
      <c r="AJ59" s="862" t="n"/>
      <c r="AK59" s="862" t="n"/>
      <c r="AL59" s="862" t="n"/>
      <c r="AM59" s="862" t="n"/>
      <c r="AN59" s="862" t="n"/>
      <c r="AO59" s="862" t="n"/>
      <c r="AP59" s="862" t="n"/>
      <c r="AQ59" s="862" t="n"/>
      <c r="AR59" s="862" t="n"/>
      <c r="AS59" s="862" t="n"/>
      <c r="AT59" s="862" t="n"/>
      <c r="AU59" s="862" t="n"/>
      <c r="AV59" s="862" t="n"/>
      <c r="AW59" s="862" t="n"/>
      <c r="AX59" s="862" t="n"/>
      <c r="AY59" s="862" t="n"/>
    </row>
    <row r="60" ht="17.25" customFormat="1" customHeight="1" s="86" thickBot="1" thickTop="1">
      <c r="A60" s="96" t="inlineStr">
        <is>
          <t>DL0076</t>
        </is>
      </c>
      <c r="B60" s="83" t="inlineStr">
        <is>
          <t>All Other (Non-Commercial) Real Estate Loans/Lines of Credit</t>
        </is>
      </c>
      <c r="C60" s="336" t="inlineStr">
        <is>
          <t>All Other (Non-Commercial) Real Estate Loans/Lines of Credit</t>
        </is>
      </c>
      <c r="D60" s="863" t="n"/>
      <c r="E60" s="863" t="n"/>
      <c r="F60" s="863" t="n"/>
      <c r="G60" s="863" t="n"/>
      <c r="H60" s="863" t="n"/>
      <c r="I60" s="863" t="n"/>
      <c r="J60" s="863" t="n"/>
      <c r="K60" s="863" t="n"/>
      <c r="L60" s="863" t="n"/>
      <c r="M60" s="863" t="n"/>
      <c r="N60" s="863" t="n"/>
      <c r="O60" s="863" t="n"/>
      <c r="P60" s="863" t="n"/>
      <c r="Q60" s="863" t="n"/>
      <c r="R60" s="863" t="n"/>
      <c r="S60" s="863" t="n"/>
      <c r="T60" s="863" t="n"/>
      <c r="U60" s="863" t="n"/>
      <c r="V60" s="863" t="n"/>
      <c r="W60" s="863" t="n"/>
      <c r="X60" s="863" t="n"/>
      <c r="Y60" s="863" t="n"/>
      <c r="Z60" s="863" t="n"/>
      <c r="AA60" s="863" t="n"/>
      <c r="AB60" s="863" t="n"/>
      <c r="AC60" s="863" t="n"/>
      <c r="AD60" s="863" t="n"/>
      <c r="AE60" s="863" t="n"/>
      <c r="AF60" s="863" t="n"/>
      <c r="AG60" s="863" t="n"/>
      <c r="AH60" s="863" t="n"/>
      <c r="AI60" s="863" t="n"/>
      <c r="AJ60" s="862" t="n"/>
      <c r="AK60" s="862" t="n"/>
      <c r="AL60" s="862" t="n"/>
      <c r="AM60" s="862" t="n"/>
      <c r="AN60" s="862" t="n"/>
      <c r="AO60" s="862" t="n"/>
      <c r="AP60" s="862" t="n"/>
      <c r="AQ60" s="862" t="n"/>
      <c r="AR60" s="862" t="n"/>
      <c r="AS60" s="862" t="n"/>
      <c r="AT60" s="862" t="n"/>
      <c r="AU60" s="862" t="n"/>
      <c r="AV60" s="862" t="n"/>
      <c r="AW60" s="862" t="n"/>
      <c r="AX60" s="862" t="n"/>
      <c r="AY60" s="862" t="n"/>
    </row>
    <row r="61" ht="17.25" customFormat="1" customHeight="1" s="86" thickBot="1" thickTop="1">
      <c r="A61" s="96" t="inlineStr">
        <is>
          <t>DL0083</t>
        </is>
      </c>
      <c r="B61" s="83" t="inlineStr">
        <is>
          <t>Construction and Development Loans</t>
        </is>
      </c>
      <c r="C61" s="336" t="inlineStr">
        <is>
          <t>Commercial Loans/Lines of Credit Real Estate Secured</t>
        </is>
      </c>
      <c r="D61" s="863" t="n"/>
      <c r="E61" s="863" t="n"/>
      <c r="F61" s="863" t="n"/>
      <c r="G61" s="863" t="n"/>
      <c r="H61" s="863" t="n"/>
      <c r="I61" s="863" t="n"/>
      <c r="J61" s="863" t="n"/>
      <c r="K61" s="863" t="n"/>
      <c r="L61" s="863" t="n"/>
      <c r="M61" s="863" t="n"/>
      <c r="N61" s="863" t="n"/>
      <c r="O61" s="863" t="n"/>
      <c r="P61" s="863" t="n"/>
      <c r="Q61" s="863" t="n"/>
      <c r="R61" s="863" t="n"/>
      <c r="S61" s="863" t="n"/>
      <c r="T61" s="863" t="n"/>
      <c r="U61" s="863" t="n"/>
      <c r="V61" s="863" t="n"/>
      <c r="W61" s="863" t="n"/>
      <c r="X61" s="863" t="n"/>
      <c r="Y61" s="863" t="n"/>
      <c r="Z61" s="863" t="n"/>
      <c r="AA61" s="863" t="n"/>
      <c r="AB61" s="863" t="n"/>
      <c r="AC61" s="863" t="n"/>
      <c r="AD61" s="863" t="n"/>
      <c r="AE61" s="863" t="n"/>
      <c r="AF61" s="863" t="n"/>
      <c r="AG61" s="863" t="n"/>
      <c r="AH61" s="863" t="n"/>
      <c r="AI61" s="863" t="n"/>
      <c r="AJ61" s="862" t="n"/>
      <c r="AK61" s="862" t="n"/>
      <c r="AL61" s="862" t="n"/>
      <c r="AM61" s="862" t="n"/>
      <c r="AN61" s="862" t="n"/>
      <c r="AO61" s="862" t="n"/>
      <c r="AP61" s="862" t="n"/>
      <c r="AQ61" s="862" t="n"/>
      <c r="AR61" s="862" t="n"/>
      <c r="AS61" s="862" t="n"/>
      <c r="AT61" s="862" t="n"/>
      <c r="AU61" s="862" t="n"/>
      <c r="AV61" s="862" t="n"/>
      <c r="AW61" s="862" t="n"/>
      <c r="AX61" s="862" t="n"/>
      <c r="AY61" s="862" t="n"/>
    </row>
    <row r="62" ht="17.25" customFormat="1" customHeight="1" s="86" thickBot="1" thickTop="1">
      <c r="A62" s="96" t="inlineStr">
        <is>
          <t>DL0090</t>
        </is>
      </c>
      <c r="B62" s="83" t="inlineStr">
        <is>
          <t>Secured by Farmland</t>
        </is>
      </c>
      <c r="C62" s="336" t="inlineStr">
        <is>
          <t>Commercial Loans/Lines of Credit Real Estate Secured</t>
        </is>
      </c>
      <c r="D62" s="863" t="n"/>
      <c r="E62" s="863" t="n"/>
      <c r="F62" s="863" t="n"/>
      <c r="G62" s="863" t="n"/>
      <c r="H62" s="863" t="n"/>
      <c r="I62" s="863" t="n"/>
      <c r="J62" s="863" t="n"/>
      <c r="K62" s="863" t="n"/>
      <c r="L62" s="863" t="n"/>
      <c r="M62" s="863" t="n"/>
      <c r="N62" s="863" t="n"/>
      <c r="O62" s="863" t="n"/>
      <c r="P62" s="863" t="n"/>
      <c r="Q62" s="863" t="n"/>
      <c r="R62" s="863" t="n"/>
      <c r="S62" s="863" t="n"/>
      <c r="T62" s="863" t="n"/>
      <c r="U62" s="863" t="n"/>
      <c r="V62" s="863" t="n"/>
      <c r="W62" s="863" t="n"/>
      <c r="X62" s="863" t="n"/>
      <c r="Y62" s="863" t="n"/>
      <c r="Z62" s="863" t="n"/>
      <c r="AA62" s="863" t="n"/>
      <c r="AB62" s="863" t="n"/>
      <c r="AC62" s="863" t="n"/>
      <c r="AD62" s="863" t="n"/>
      <c r="AE62" s="863" t="n"/>
      <c r="AF62" s="863" t="n"/>
      <c r="AG62" s="863" t="n"/>
      <c r="AH62" s="863" t="n"/>
      <c r="AI62" s="863" t="n"/>
      <c r="AJ62" s="862" t="n"/>
      <c r="AK62" s="862" t="n"/>
      <c r="AL62" s="862" t="n"/>
      <c r="AM62" s="862" t="n"/>
      <c r="AN62" s="862" t="n"/>
      <c r="AO62" s="862" t="n"/>
      <c r="AP62" s="862" t="n"/>
      <c r="AQ62" s="862" t="n"/>
      <c r="AR62" s="862" t="n"/>
      <c r="AS62" s="862" t="n"/>
      <c r="AT62" s="862" t="n"/>
      <c r="AU62" s="862" t="n"/>
      <c r="AV62" s="862" t="n"/>
      <c r="AW62" s="862" t="n"/>
      <c r="AX62" s="862" t="n"/>
      <c r="AY62" s="862" t="n"/>
    </row>
    <row r="63" ht="17.25" customFormat="1" customHeight="1" s="86" thickBot="1" thickTop="1">
      <c r="A63" s="96" t="inlineStr">
        <is>
          <t>DL0097</t>
        </is>
      </c>
      <c r="B63" s="83" t="inlineStr">
        <is>
          <t>Secured by Multifamily</t>
        </is>
      </c>
      <c r="C63" s="336" t="inlineStr">
        <is>
          <t>Commercial Loans/Lines of Credit Real Estate Secured</t>
        </is>
      </c>
      <c r="D63" s="863" t="n"/>
      <c r="E63" s="863" t="n"/>
      <c r="F63" s="863" t="n"/>
      <c r="G63" s="863" t="n"/>
      <c r="H63" s="863" t="n"/>
      <c r="I63" s="863" t="n"/>
      <c r="J63" s="863" t="n"/>
      <c r="K63" s="863" t="n"/>
      <c r="L63" s="863" t="n"/>
      <c r="M63" s="863" t="n"/>
      <c r="N63" s="863" t="n"/>
      <c r="O63" s="863" t="n"/>
      <c r="P63" s="863" t="n"/>
      <c r="Q63" s="863" t="n"/>
      <c r="R63" s="863" t="n"/>
      <c r="S63" s="863" t="n"/>
      <c r="T63" s="863" t="n"/>
      <c r="U63" s="863" t="n"/>
      <c r="V63" s="863" t="n"/>
      <c r="W63" s="863" t="n"/>
      <c r="X63" s="863" t="n"/>
      <c r="Y63" s="863" t="n"/>
      <c r="Z63" s="863" t="n"/>
      <c r="AA63" s="863" t="n"/>
      <c r="AB63" s="863" t="n"/>
      <c r="AC63" s="863" t="n"/>
      <c r="AD63" s="863" t="n"/>
      <c r="AE63" s="863" t="n"/>
      <c r="AF63" s="863" t="n"/>
      <c r="AG63" s="863" t="n"/>
      <c r="AH63" s="863" t="n"/>
      <c r="AI63" s="863" t="n"/>
      <c r="AJ63" s="862" t="n"/>
      <c r="AK63" s="862" t="n"/>
      <c r="AL63" s="862" t="n"/>
      <c r="AM63" s="862" t="n"/>
      <c r="AN63" s="862" t="n"/>
      <c r="AO63" s="862" t="n"/>
      <c r="AP63" s="862" t="n"/>
      <c r="AQ63" s="862" t="n"/>
      <c r="AR63" s="862" t="n"/>
      <c r="AS63" s="862" t="n"/>
      <c r="AT63" s="862" t="n"/>
      <c r="AU63" s="862" t="n"/>
      <c r="AV63" s="862" t="n"/>
      <c r="AW63" s="862" t="n"/>
      <c r="AX63" s="862" t="n"/>
      <c r="AY63" s="862" t="n"/>
    </row>
    <row r="64" ht="17.25" customFormat="1" customHeight="1" s="86" thickBot="1" thickTop="1">
      <c r="A64" s="96" t="inlineStr">
        <is>
          <t>DL0104</t>
        </is>
      </c>
      <c r="B64" s="83" t="inlineStr">
        <is>
          <t>Secured by Owner Occupied, Non-Farm, Non-Residential Property</t>
        </is>
      </c>
      <c r="C64" s="336" t="inlineStr">
        <is>
          <t>Commercial Loans/Lines of Credit Not Real Estate Secured</t>
        </is>
      </c>
      <c r="D64" s="863" t="n"/>
      <c r="E64" s="863" t="n"/>
      <c r="F64" s="863" t="n"/>
      <c r="G64" s="863" t="n"/>
      <c r="H64" s="863" t="n"/>
      <c r="I64" s="863" t="n"/>
      <c r="J64" s="863" t="n"/>
      <c r="K64" s="863" t="n"/>
      <c r="L64" s="863" t="n"/>
      <c r="M64" s="863" t="n"/>
      <c r="N64" s="863" t="n"/>
      <c r="O64" s="863" t="n"/>
      <c r="P64" s="863" t="n"/>
      <c r="Q64" s="863" t="n"/>
      <c r="R64" s="863" t="n"/>
      <c r="S64" s="863" t="n"/>
      <c r="T64" s="863" t="n"/>
      <c r="U64" s="863" t="n"/>
      <c r="V64" s="863" t="n"/>
      <c r="W64" s="863" t="n"/>
      <c r="X64" s="863" t="n"/>
      <c r="Y64" s="863" t="n"/>
      <c r="Z64" s="863" t="n"/>
      <c r="AA64" s="863" t="n"/>
      <c r="AB64" s="863" t="n"/>
      <c r="AC64" s="863" t="n"/>
      <c r="AD64" s="863" t="n"/>
      <c r="AE64" s="863" t="n"/>
      <c r="AF64" s="863" t="n"/>
      <c r="AG64" s="863" t="n"/>
      <c r="AH64" s="863" t="n"/>
      <c r="AI64" s="863" t="n"/>
      <c r="AJ64" s="862" t="n"/>
      <c r="AK64" s="862" t="n"/>
      <c r="AL64" s="862" t="n"/>
      <c r="AM64" s="862" t="n"/>
      <c r="AN64" s="862" t="n"/>
      <c r="AO64" s="862" t="n"/>
      <c r="AP64" s="862" t="n"/>
      <c r="AQ64" s="862" t="n"/>
      <c r="AR64" s="862" t="n"/>
      <c r="AS64" s="862" t="n"/>
      <c r="AT64" s="862" t="n"/>
      <c r="AU64" s="862" t="n"/>
      <c r="AV64" s="862" t="n"/>
      <c r="AW64" s="862" t="n"/>
      <c r="AX64" s="862" t="n"/>
      <c r="AY64" s="862" t="n"/>
    </row>
    <row r="65" ht="17.25" customFormat="1" customHeight="1" s="86" thickBot="1" thickTop="1">
      <c r="A65" s="96" t="inlineStr">
        <is>
          <t>DL0111</t>
        </is>
      </c>
      <c r="B65" s="83" t="inlineStr">
        <is>
          <t>Secured by Non-Owner Occupied, Non-Farm, Non-Residential Property</t>
        </is>
      </c>
      <c r="C65" s="336" t="inlineStr">
        <is>
          <t>Commercial Loans/Lines of Credit Not Real Estate Secured</t>
        </is>
      </c>
      <c r="D65" s="863" t="n"/>
      <c r="E65" s="863" t="n"/>
      <c r="F65" s="863" t="n"/>
      <c r="G65" s="863" t="n"/>
      <c r="H65" s="863" t="n"/>
      <c r="I65" s="863" t="n"/>
      <c r="J65" s="863" t="n"/>
      <c r="K65" s="863" t="n"/>
      <c r="L65" s="863" t="n"/>
      <c r="M65" s="863" t="n"/>
      <c r="N65" s="863" t="n"/>
      <c r="O65" s="863" t="n"/>
      <c r="P65" s="863" t="n"/>
      <c r="Q65" s="863" t="n"/>
      <c r="R65" s="863" t="n"/>
      <c r="S65" s="863" t="n"/>
      <c r="T65" s="863" t="n"/>
      <c r="U65" s="863" t="n"/>
      <c r="V65" s="863" t="n"/>
      <c r="W65" s="863" t="n"/>
      <c r="X65" s="863" t="n"/>
      <c r="Y65" s="863" t="n"/>
      <c r="Z65" s="863" t="n"/>
      <c r="AA65" s="863" t="n"/>
      <c r="AB65" s="863" t="n"/>
      <c r="AC65" s="863" t="n"/>
      <c r="AD65" s="863" t="n"/>
      <c r="AE65" s="863" t="n"/>
      <c r="AF65" s="863" t="n"/>
      <c r="AG65" s="863" t="n"/>
      <c r="AH65" s="863" t="n"/>
      <c r="AI65" s="863" t="n"/>
      <c r="AJ65" s="862" t="n"/>
      <c r="AK65" s="862" t="n"/>
      <c r="AL65" s="862" t="n"/>
      <c r="AM65" s="862" t="n"/>
      <c r="AN65" s="862" t="n"/>
      <c r="AO65" s="862" t="n"/>
      <c r="AP65" s="862" t="n"/>
      <c r="AQ65" s="862" t="n"/>
      <c r="AR65" s="862" t="n"/>
      <c r="AS65" s="862" t="n"/>
      <c r="AT65" s="862" t="n"/>
      <c r="AU65" s="862" t="n"/>
      <c r="AV65" s="862" t="n"/>
      <c r="AW65" s="862" t="n"/>
      <c r="AX65" s="862" t="n"/>
      <c r="AY65" s="862" t="n"/>
    </row>
    <row r="66" ht="17.25" customFormat="1" customHeight="1" s="86" thickBot="1" thickTop="1">
      <c r="A66" s="96" t="inlineStr">
        <is>
          <t>DL0118</t>
        </is>
      </c>
      <c r="B66" s="83" t="inlineStr">
        <is>
          <t>Loans to finance agricultural production and other loans to farmers</t>
        </is>
      </c>
      <c r="C66" s="336" t="inlineStr">
        <is>
          <t>Commercial Loans/Lines of Credit Not Real Estate Secured</t>
        </is>
      </c>
      <c r="D66" s="863" t="n"/>
      <c r="E66" s="863" t="n"/>
      <c r="F66" s="863" t="n"/>
      <c r="G66" s="863" t="n"/>
      <c r="H66" s="863" t="n"/>
      <c r="I66" s="863" t="n"/>
      <c r="J66" s="863" t="n"/>
      <c r="K66" s="863" t="n"/>
      <c r="L66" s="863" t="n"/>
      <c r="M66" s="863" t="n"/>
      <c r="N66" s="863" t="n"/>
      <c r="O66" s="863" t="n"/>
      <c r="P66" s="863" t="n"/>
      <c r="Q66" s="863" t="n"/>
      <c r="R66" s="863" t="n"/>
      <c r="S66" s="863" t="n"/>
      <c r="T66" s="863" t="n"/>
      <c r="U66" s="863" t="n"/>
      <c r="V66" s="863" t="n"/>
      <c r="W66" s="863" t="n"/>
      <c r="X66" s="863" t="n"/>
      <c r="Y66" s="863" t="n"/>
      <c r="Z66" s="863" t="n"/>
      <c r="AA66" s="863" t="n"/>
      <c r="AB66" s="863" t="n"/>
      <c r="AC66" s="863" t="n"/>
      <c r="AD66" s="863" t="n"/>
      <c r="AE66" s="863" t="n"/>
      <c r="AF66" s="863" t="n"/>
      <c r="AG66" s="863" t="n"/>
      <c r="AH66" s="863" t="n"/>
      <c r="AI66" s="863" t="n"/>
      <c r="AJ66" s="862" t="n"/>
      <c r="AK66" s="862" t="n"/>
      <c r="AL66" s="862" t="n"/>
      <c r="AM66" s="862" t="n"/>
      <c r="AN66" s="862" t="n"/>
      <c r="AO66" s="862" t="n"/>
      <c r="AP66" s="862" t="n"/>
      <c r="AQ66" s="862" t="n"/>
      <c r="AR66" s="862" t="n"/>
      <c r="AS66" s="862" t="n"/>
      <c r="AT66" s="862" t="n"/>
      <c r="AU66" s="862" t="n"/>
      <c r="AV66" s="862" t="n"/>
      <c r="AW66" s="862" t="n"/>
      <c r="AX66" s="862" t="n"/>
      <c r="AY66" s="862" t="n"/>
    </row>
    <row r="67" ht="17.25" customFormat="1" customHeight="1" s="86" thickBot="1" thickTop="1">
      <c r="A67" s="96" t="inlineStr">
        <is>
          <t>DL0125</t>
        </is>
      </c>
      <c r="B67" s="83" t="inlineStr">
        <is>
          <t>Commercial and Industrial Loans</t>
        </is>
      </c>
      <c r="C67" s="336" t="inlineStr">
        <is>
          <t>Commercial Loans/Lines of Credit Real Estate Secured</t>
        </is>
      </c>
      <c r="D67" s="863" t="n"/>
      <c r="E67" s="863" t="n"/>
      <c r="F67" s="863" t="n"/>
      <c r="G67" s="863" t="n"/>
      <c r="H67" s="863" t="n"/>
      <c r="I67" s="863" t="n"/>
      <c r="J67" s="863" t="n"/>
      <c r="K67" s="863" t="n"/>
      <c r="L67" s="863" t="n"/>
      <c r="M67" s="863" t="n"/>
      <c r="N67" s="863" t="n"/>
      <c r="O67" s="863" t="n"/>
      <c r="P67" s="863" t="n"/>
      <c r="Q67" s="863" t="n"/>
      <c r="R67" s="863" t="n"/>
      <c r="S67" s="863" t="n"/>
      <c r="T67" s="863" t="n"/>
      <c r="U67" s="863" t="n"/>
      <c r="V67" s="863" t="n"/>
      <c r="W67" s="863" t="n"/>
      <c r="X67" s="863" t="n"/>
      <c r="Y67" s="863" t="n"/>
      <c r="Z67" s="863" t="n"/>
      <c r="AA67" s="863" t="n"/>
      <c r="AB67" s="863" t="n"/>
      <c r="AC67" s="863" t="n"/>
      <c r="AD67" s="863" t="n"/>
      <c r="AE67" s="863" t="n"/>
      <c r="AF67" s="863" t="n"/>
      <c r="AG67" s="863" t="n"/>
      <c r="AH67" s="863" t="n"/>
      <c r="AI67" s="863" t="n"/>
      <c r="AJ67" s="862" t="n"/>
      <c r="AK67" s="862" t="n"/>
      <c r="AL67" s="862" t="n"/>
      <c r="AM67" s="862" t="n"/>
      <c r="AN67" s="862" t="n"/>
      <c r="AO67" s="862" t="n"/>
      <c r="AP67" s="862" t="n"/>
      <c r="AQ67" s="862" t="n"/>
      <c r="AR67" s="862" t="n"/>
      <c r="AS67" s="862" t="n"/>
      <c r="AT67" s="862" t="n"/>
      <c r="AU67" s="862" t="n"/>
      <c r="AV67" s="862" t="n"/>
      <c r="AW67" s="862" t="n"/>
      <c r="AX67" s="862" t="n"/>
      <c r="AY67" s="862" t="n"/>
    </row>
    <row r="68" ht="17.25" customFormat="1" customHeight="1" s="86" thickBot="1" thickTop="1">
      <c r="A68" s="96" t="inlineStr">
        <is>
          <t>DL0132</t>
        </is>
      </c>
      <c r="B68" s="83" t="inlineStr">
        <is>
          <t>Unsecured Commercial Loans</t>
        </is>
      </c>
      <c r="C68" s="336" t="inlineStr">
        <is>
          <t>Commercial Loans/Lines of Credit Not Real Estate Secured</t>
        </is>
      </c>
      <c r="D68" s="863" t="n"/>
      <c r="E68" s="863" t="n"/>
      <c r="F68" s="863" t="n"/>
      <c r="G68" s="863" t="n"/>
      <c r="H68" s="863" t="n"/>
      <c r="I68" s="863" t="n"/>
      <c r="J68" s="863" t="n"/>
      <c r="K68" s="863" t="n"/>
      <c r="L68" s="863" t="n"/>
      <c r="M68" s="863" t="n"/>
      <c r="N68" s="863" t="n"/>
      <c r="O68" s="863" t="n"/>
      <c r="P68" s="863" t="n"/>
      <c r="Q68" s="863" t="n"/>
      <c r="R68" s="863" t="n"/>
      <c r="S68" s="863" t="n"/>
      <c r="T68" s="863" t="n"/>
      <c r="U68" s="863" t="n"/>
      <c r="V68" s="863" t="n"/>
      <c r="W68" s="863" t="n"/>
      <c r="X68" s="863" t="n"/>
      <c r="Y68" s="863" t="n"/>
      <c r="Z68" s="863" t="n"/>
      <c r="AA68" s="863" t="n"/>
      <c r="AB68" s="863" t="n"/>
      <c r="AC68" s="863" t="n"/>
      <c r="AD68" s="863" t="n"/>
      <c r="AE68" s="863" t="n"/>
      <c r="AF68" s="863" t="n"/>
      <c r="AG68" s="863" t="n"/>
      <c r="AH68" s="863" t="n"/>
      <c r="AI68" s="863" t="n"/>
      <c r="AJ68" s="862" t="n"/>
      <c r="AK68" s="862" t="n"/>
      <c r="AL68" s="862" t="n"/>
      <c r="AM68" s="862" t="n"/>
      <c r="AN68" s="862" t="n"/>
      <c r="AO68" s="862" t="n"/>
      <c r="AP68" s="862" t="n"/>
      <c r="AQ68" s="862" t="n"/>
      <c r="AR68" s="862" t="n"/>
      <c r="AS68" s="862" t="n"/>
      <c r="AT68" s="862" t="n"/>
      <c r="AU68" s="862" t="n"/>
      <c r="AV68" s="862" t="n"/>
      <c r="AW68" s="862" t="n"/>
      <c r="AX68" s="862" t="n"/>
      <c r="AY68" s="862" t="n"/>
    </row>
    <row r="69" ht="17.25" customFormat="1" customHeight="1" s="85" thickBot="1" thickTop="1">
      <c r="A69" s="96" t="inlineStr">
        <is>
          <t>DL0139</t>
        </is>
      </c>
      <c r="B69" s="87" t="inlineStr">
        <is>
          <t>Unsecured Revolving Lines of Credit for Commercial Purposes</t>
        </is>
      </c>
      <c r="C69" s="336" t="inlineStr">
        <is>
          <t>Commercial Loans/Lines of Credit Not Real Estate Secured</t>
        </is>
      </c>
      <c r="D69" s="867" t="n"/>
      <c r="E69" s="867" t="n"/>
      <c r="F69" s="867" t="n"/>
      <c r="G69" s="867" t="n"/>
      <c r="H69" s="867" t="n"/>
      <c r="I69" s="867" t="n"/>
      <c r="J69" s="867" t="n"/>
      <c r="K69" s="867" t="n"/>
      <c r="L69" s="867" t="n"/>
      <c r="M69" s="867" t="n"/>
      <c r="N69" s="867" t="n"/>
      <c r="O69" s="867" t="n"/>
      <c r="P69" s="867" t="n"/>
      <c r="Q69" s="867" t="n"/>
      <c r="R69" s="867" t="n"/>
      <c r="S69" s="867" t="n"/>
      <c r="T69" s="867" t="n"/>
      <c r="U69" s="867" t="n"/>
      <c r="V69" s="867" t="n"/>
      <c r="W69" s="867" t="n"/>
      <c r="X69" s="867" t="n"/>
      <c r="Y69" s="867" t="n"/>
      <c r="Z69" s="867" t="n"/>
      <c r="AA69" s="867" t="n"/>
      <c r="AB69" s="867" t="n"/>
      <c r="AC69" s="867" t="n"/>
      <c r="AD69" s="867" t="n"/>
      <c r="AE69" s="867" t="n"/>
      <c r="AF69" s="867" t="n"/>
      <c r="AG69" s="867" t="n"/>
      <c r="AH69" s="867" t="n"/>
      <c r="AI69" s="867" t="n"/>
      <c r="AJ69" s="866" t="n"/>
      <c r="AK69" s="866" t="n"/>
      <c r="AL69" s="866" t="n"/>
      <c r="AM69" s="866" t="n"/>
      <c r="AN69" s="866" t="n"/>
      <c r="AO69" s="866" t="n"/>
      <c r="AP69" s="866" t="n"/>
      <c r="AQ69" s="866" t="n"/>
      <c r="AR69" s="866" t="n"/>
      <c r="AS69" s="866" t="n"/>
      <c r="AT69" s="866" t="n"/>
      <c r="AU69" s="866" t="n"/>
      <c r="AV69" s="866" t="n"/>
      <c r="AW69" s="866" t="n"/>
      <c r="AX69" s="866" t="n"/>
      <c r="AY69" s="866" t="n"/>
    </row>
    <row r="70" ht="16.5" customFormat="1" customHeight="1" s="85" thickBot="1">
      <c r="A70" s="96" t="inlineStr">
        <is>
          <t>041B</t>
        </is>
      </c>
      <c r="B70" s="87" t="inlineStr">
        <is>
          <t>Total Loans</t>
        </is>
      </c>
      <c r="C70" s="328" t="n"/>
      <c r="D70" s="867">
        <f>SUM(D39:D49)</f>
        <v/>
      </c>
      <c r="E70" s="867">
        <f>SUM(E39:E49)</f>
        <v/>
      </c>
      <c r="F70" s="867">
        <f>SUM(F39:F49)</f>
        <v/>
      </c>
      <c r="G70" s="867">
        <f>SUM(G39:G49)</f>
        <v/>
      </c>
      <c r="H70" s="867">
        <f>SUM(H39:H49)</f>
        <v/>
      </c>
      <c r="I70" s="867">
        <f>SUM(I39:I49)</f>
        <v/>
      </c>
      <c r="J70" s="867">
        <f>SUM(J39:J49)</f>
        <v/>
      </c>
      <c r="K70" s="867">
        <f>SUM(K39:K49)</f>
        <v/>
      </c>
      <c r="L70" s="867">
        <f>SUM(L39:L49)</f>
        <v/>
      </c>
      <c r="M70" s="867">
        <f>SUM(M39:M49)</f>
        <v/>
      </c>
      <c r="N70" s="867">
        <f>SUM(N39:N49)</f>
        <v/>
      </c>
      <c r="O70" s="867">
        <f>SUM(O39:O49)</f>
        <v/>
      </c>
      <c r="P70" s="867">
        <f>SUM(P39:P49)</f>
        <v/>
      </c>
      <c r="Q70" s="867">
        <f>SUM(Q39:Q49)</f>
        <v/>
      </c>
      <c r="R70" s="867">
        <f>SUM(R39:R49)</f>
        <v/>
      </c>
      <c r="S70" s="867">
        <f>SUM(S39:S49)</f>
        <v/>
      </c>
      <c r="T70" s="867">
        <f>SUM(T39:T49)</f>
        <v/>
      </c>
      <c r="U70" s="867">
        <f>SUM(U39:U49)</f>
        <v/>
      </c>
      <c r="V70" s="867">
        <f>SUM(V39:V49)</f>
        <v/>
      </c>
      <c r="W70" s="867">
        <f>SUM(W39:W49)</f>
        <v/>
      </c>
      <c r="X70" s="867">
        <f>SUM(X39:X49)</f>
        <v/>
      </c>
      <c r="Y70" s="867">
        <f>SUM(Y39:Y49)</f>
        <v/>
      </c>
      <c r="Z70" s="867">
        <f>SUM(Z39:Z49)</f>
        <v/>
      </c>
      <c r="AA70" s="867">
        <f>SUM(AA39:AA49)</f>
        <v/>
      </c>
      <c r="AB70" s="867">
        <f>SUM(AB39:AB49)</f>
        <v/>
      </c>
      <c r="AC70" s="867">
        <f>SUM(AC39:AC49)</f>
        <v/>
      </c>
      <c r="AD70" s="867">
        <f>SUM(AD39:AD49)</f>
        <v/>
      </c>
      <c r="AE70" s="867">
        <f>SUM(AE39:AE49)</f>
        <v/>
      </c>
      <c r="AF70" s="867">
        <f>SUM(AF39:AF49)</f>
        <v/>
      </c>
      <c r="AG70" s="867">
        <f>SUM(AG39:AG49)</f>
        <v/>
      </c>
      <c r="AH70" s="867">
        <f>SUM(AH39:AH49)</f>
        <v/>
      </c>
      <c r="AI70" s="867">
        <f>SUM(AI39:AI69)</f>
        <v/>
      </c>
      <c r="AJ70" s="867">
        <f>SUM(AJ39:AJ69)</f>
        <v/>
      </c>
      <c r="AK70" s="867">
        <f>SUM(AK39:AK69)</f>
        <v/>
      </c>
      <c r="AL70" s="867">
        <f>SUM(AL39:AL69)</f>
        <v/>
      </c>
      <c r="AM70" s="867">
        <f>SUM(AM39:AM69)</f>
        <v/>
      </c>
      <c r="AN70" s="867">
        <f>SUM(AN39:AN69)</f>
        <v/>
      </c>
      <c r="AO70" s="867">
        <f>SUM(AO39:AO69)</f>
        <v/>
      </c>
      <c r="AP70" s="867">
        <f>SUM(AP39:AP69)</f>
        <v/>
      </c>
      <c r="AQ70" s="867">
        <f>SUM(AQ39:AQ69)</f>
        <v/>
      </c>
      <c r="AR70" s="867">
        <f>SUM(AR39:AR69)</f>
        <v/>
      </c>
      <c r="AS70" s="867">
        <f>SUM(AS39:AS69)</f>
        <v/>
      </c>
      <c r="AT70" s="867">
        <f>SUM(AT39:AT69)</f>
        <v/>
      </c>
      <c r="AU70" s="867">
        <f>SUM(AU39:AU69)</f>
        <v/>
      </c>
      <c r="AV70" s="867">
        <f>SUM(AV39:AV69)</f>
        <v/>
      </c>
      <c r="AW70" s="867">
        <f>SUM(AW39:AW69)</f>
        <v/>
      </c>
      <c r="AX70" s="867">
        <f>SUM(AX39:AX69)</f>
        <v/>
      </c>
      <c r="AY70" s="867">
        <f>SUM(AY39:AY69)</f>
        <v/>
      </c>
    </row>
    <row r="71" ht="15.75" customHeight="1" s="685" thickBot="1">
      <c r="B71" s="261" t="n"/>
      <c r="C71" s="261" t="n"/>
      <c r="D71" s="261" t="n"/>
      <c r="E71" s="261" t="n"/>
      <c r="F71" s="261" t="n"/>
      <c r="G71" s="261" t="n"/>
      <c r="H71" s="261" t="n"/>
      <c r="I71" s="261" t="n"/>
      <c r="J71" s="261" t="n"/>
      <c r="K71" s="261" t="n"/>
      <c r="L71" s="261" t="n"/>
      <c r="M71" s="261" t="n"/>
      <c r="N71" s="261" t="n"/>
      <c r="O71" s="261" t="n"/>
      <c r="P71" s="261" t="n"/>
      <c r="Q71" s="261" t="n"/>
      <c r="R71" s="261" t="n"/>
      <c r="S71" s="261" t="n"/>
      <c r="T71" s="261" t="n"/>
      <c r="U71" s="261" t="n"/>
      <c r="V71" s="261" t="n"/>
      <c r="W71" s="261" t="n"/>
      <c r="X71" s="261" t="n"/>
      <c r="Y71" s="261" t="n"/>
      <c r="Z71" s="261" t="n"/>
      <c r="AA71" s="261" t="n"/>
      <c r="AB71" s="261" t="n"/>
      <c r="AC71" s="261" t="n"/>
      <c r="AD71" s="261" t="n"/>
      <c r="AE71" s="261" t="n"/>
      <c r="AF71" s="261" t="n"/>
      <c r="AG71" s="261" t="n"/>
      <c r="AH71" s="261" t="n"/>
      <c r="AI71" s="261" t="n"/>
      <c r="AJ71" s="261" t="n"/>
      <c r="AK71" s="261" t="n"/>
      <c r="AL71" s="261" t="n"/>
      <c r="AM71" s="261" t="n"/>
      <c r="AN71" s="261" t="n"/>
      <c r="AO71" s="261" t="n"/>
      <c r="AP71" s="261" t="n"/>
      <c r="AQ71" s="261" t="n"/>
      <c r="AR71" s="261" t="n"/>
      <c r="AS71" s="261" t="n"/>
      <c r="AT71" s="261" t="n"/>
      <c r="AU71" s="261" t="n"/>
      <c r="AV71" s="261" t="n"/>
      <c r="AW71" s="261" t="n"/>
      <c r="AX71" s="261" t="n"/>
      <c r="AY71" s="261" t="n"/>
    </row>
    <row r="72" ht="13.5" customFormat="1" customHeight="1" s="699" thickBot="1">
      <c r="A72" s="95" t="n"/>
      <c r="B72" s="259" t="inlineStr">
        <is>
          <t>Charge offs</t>
        </is>
      </c>
      <c r="C72" s="329" t="n"/>
      <c r="D72" s="260">
        <f>D8</f>
        <v/>
      </c>
      <c r="E72" s="260">
        <f>E8</f>
        <v/>
      </c>
      <c r="F72" s="260">
        <f>F8</f>
        <v/>
      </c>
      <c r="G72" s="260">
        <f>G8</f>
        <v/>
      </c>
      <c r="H72" s="260">
        <f>H8</f>
        <v/>
      </c>
      <c r="I72" s="260">
        <f>I8</f>
        <v/>
      </c>
      <c r="J72" s="260">
        <f>J8</f>
        <v/>
      </c>
      <c r="K72" s="260">
        <f>K8</f>
        <v/>
      </c>
      <c r="L72" s="260">
        <f>L8</f>
        <v/>
      </c>
      <c r="M72" s="260">
        <f>M8</f>
        <v/>
      </c>
      <c r="N72" s="260">
        <f>N8</f>
        <v/>
      </c>
      <c r="O72" s="260">
        <f>O8</f>
        <v/>
      </c>
      <c r="P72" s="260">
        <f>P8</f>
        <v/>
      </c>
      <c r="Q72" s="260">
        <f>Q8</f>
        <v/>
      </c>
      <c r="R72" s="260">
        <f>R8</f>
        <v/>
      </c>
      <c r="S72" s="260">
        <f>S8</f>
        <v/>
      </c>
      <c r="T72" s="260">
        <f>T8</f>
        <v/>
      </c>
      <c r="U72" s="260">
        <f>U8</f>
        <v/>
      </c>
      <c r="V72" s="260">
        <f>V8</f>
        <v/>
      </c>
      <c r="W72" s="260">
        <f>W8</f>
        <v/>
      </c>
      <c r="X72" s="260">
        <f>X8</f>
        <v/>
      </c>
      <c r="Y72" s="260">
        <f>Y8</f>
        <v/>
      </c>
      <c r="Z72" s="260">
        <f>Z8</f>
        <v/>
      </c>
      <c r="AA72" s="260">
        <f>AA8</f>
        <v/>
      </c>
      <c r="AB72" s="260">
        <f>AB8</f>
        <v/>
      </c>
      <c r="AC72" s="260">
        <f>AC8</f>
        <v/>
      </c>
      <c r="AD72" s="260">
        <f>AD8</f>
        <v/>
      </c>
      <c r="AE72" s="260">
        <f>AE8</f>
        <v/>
      </c>
      <c r="AF72" s="260">
        <f>AF8</f>
        <v/>
      </c>
      <c r="AG72" s="260">
        <f>AG8</f>
        <v/>
      </c>
      <c r="AH72" s="260">
        <f>AH8</f>
        <v/>
      </c>
      <c r="AI72" s="260">
        <f>AI8</f>
        <v/>
      </c>
      <c r="AJ72" s="260">
        <f>AJ8</f>
        <v/>
      </c>
      <c r="AK72" s="260">
        <f>AK8</f>
        <v/>
      </c>
      <c r="AL72" s="260">
        <f>AL8</f>
        <v/>
      </c>
      <c r="AM72" s="260">
        <f>AM8</f>
        <v/>
      </c>
      <c r="AN72" s="260">
        <f>AN8</f>
        <v/>
      </c>
      <c r="AO72" s="260">
        <f>AO8</f>
        <v/>
      </c>
      <c r="AP72" s="260">
        <f>AP8</f>
        <v/>
      </c>
      <c r="AQ72" s="260">
        <f>AQ8</f>
        <v/>
      </c>
      <c r="AR72" s="260">
        <f>AR8</f>
        <v/>
      </c>
      <c r="AS72" s="260">
        <f>AS8</f>
        <v/>
      </c>
      <c r="AT72" s="260">
        <f>AT8</f>
        <v/>
      </c>
      <c r="AU72" s="260">
        <f>AU8</f>
        <v/>
      </c>
      <c r="AV72" s="260">
        <f>AV8</f>
        <v/>
      </c>
      <c r="AW72" s="260">
        <f>AW8</f>
        <v/>
      </c>
      <c r="AX72" s="260">
        <f>AX8</f>
        <v/>
      </c>
      <c r="AY72" s="260">
        <f>AY8</f>
        <v/>
      </c>
    </row>
    <row r="73" ht="17.25" customFormat="1" customHeight="1" s="85" thickBot="1" thickTop="1">
      <c r="A73" s="96" t="n">
        <v>680</v>
      </c>
      <c r="B73" s="83">
        <f>'Scale Calculation'!C9</f>
        <v/>
      </c>
      <c r="C73" s="336" t="inlineStr">
        <is>
          <t>Unsecured Credit Card Loans</t>
        </is>
      </c>
      <c r="D73" s="862" t="n"/>
      <c r="E73" s="862" t="n"/>
      <c r="F73" s="862" t="n"/>
      <c r="G73" s="862" t="n"/>
      <c r="H73" s="862" t="n"/>
      <c r="I73" s="862" t="n"/>
      <c r="J73" s="862" t="n"/>
      <c r="K73" s="862" t="n"/>
      <c r="L73" s="862" t="n"/>
      <c r="M73" s="862" t="n"/>
      <c r="N73" s="862" t="n"/>
      <c r="O73" s="862" t="n"/>
      <c r="P73" s="862" t="n"/>
      <c r="Q73" s="862" t="n"/>
      <c r="R73" s="862" t="n"/>
      <c r="S73" s="862" t="n"/>
      <c r="T73" s="862" t="n"/>
      <c r="U73" s="862" t="n"/>
      <c r="V73" s="862" t="n"/>
      <c r="W73" s="862" t="n"/>
      <c r="X73" s="862" t="n"/>
      <c r="Y73" s="862" t="n"/>
      <c r="Z73" s="862" t="n"/>
      <c r="AA73" s="862" t="n"/>
      <c r="AB73" s="862" t="n"/>
      <c r="AC73" s="862" t="n"/>
      <c r="AD73" s="862" t="n"/>
      <c r="AE73" s="862" t="n"/>
      <c r="AF73" s="862" t="n"/>
      <c r="AG73" s="862" t="n"/>
      <c r="AH73" s="862" t="n"/>
      <c r="AI73" s="862" t="n"/>
      <c r="AJ73" s="863" t="n"/>
      <c r="AK73" s="863" t="n"/>
      <c r="AL73" s="863" t="n"/>
      <c r="AM73" s="863" t="n"/>
      <c r="AN73" s="863" t="n"/>
      <c r="AO73" s="863" t="n"/>
      <c r="AP73" s="863" t="n"/>
      <c r="AQ73" s="863" t="n"/>
      <c r="AR73" s="863" t="n"/>
      <c r="AS73" s="863" t="n"/>
      <c r="AT73" s="863" t="n"/>
      <c r="AU73" s="863" t="n"/>
      <c r="AV73" s="863" t="n"/>
      <c r="AW73" s="863" t="n"/>
      <c r="AX73" s="863" t="n"/>
      <c r="AY73" s="863" t="n"/>
    </row>
    <row r="74" ht="17.25" customFormat="1" customHeight="1" s="86" thickBot="1" thickTop="1">
      <c r="A74" s="96" t="n">
        <v>136</v>
      </c>
      <c r="B74" s="83">
        <f>'Scale Calculation'!C10</f>
        <v/>
      </c>
      <c r="C74" s="336" t="inlineStr">
        <is>
          <t>Payday Alternative Loans</t>
        </is>
      </c>
      <c r="D74" s="862" t="n"/>
      <c r="E74" s="862" t="n"/>
      <c r="F74" s="862" t="n"/>
      <c r="G74" s="862" t="n"/>
      <c r="H74" s="862" t="n"/>
      <c r="I74" s="862" t="n"/>
      <c r="J74" s="862" t="n"/>
      <c r="K74" s="862" t="n"/>
      <c r="L74" s="862" t="n"/>
      <c r="M74" s="862" t="n"/>
      <c r="N74" s="862" t="n"/>
      <c r="O74" s="862" t="n"/>
      <c r="P74" s="862" t="n"/>
      <c r="Q74" s="862" t="n"/>
      <c r="R74" s="862" t="n"/>
      <c r="S74" s="862" t="n"/>
      <c r="T74" s="862" t="n"/>
      <c r="U74" s="862" t="n"/>
      <c r="V74" s="862" t="n"/>
      <c r="W74" s="862" t="n"/>
      <c r="X74" s="862" t="n"/>
      <c r="Y74" s="862" t="n"/>
      <c r="Z74" s="862" t="n"/>
      <c r="AA74" s="862" t="n"/>
      <c r="AB74" s="862" t="n"/>
      <c r="AC74" s="862" t="n"/>
      <c r="AD74" s="862" t="n"/>
      <c r="AE74" s="862" t="n"/>
      <c r="AF74" s="862" t="n"/>
      <c r="AG74" s="862" t="n"/>
      <c r="AH74" s="862" t="n"/>
      <c r="AI74" s="862" t="n"/>
      <c r="AJ74" s="863" t="n"/>
      <c r="AK74" s="863" t="n"/>
      <c r="AL74" s="863" t="n"/>
      <c r="AM74" s="863" t="n"/>
      <c r="AN74" s="863" t="n"/>
      <c r="AO74" s="863" t="n"/>
      <c r="AP74" s="863" t="n"/>
      <c r="AQ74" s="863" t="n"/>
      <c r="AR74" s="863" t="n"/>
      <c r="AS74" s="863" t="n"/>
      <c r="AT74" s="863" t="n"/>
      <c r="AU74" s="863" t="n"/>
      <c r="AV74" s="863" t="n"/>
      <c r="AW74" s="863" t="n"/>
      <c r="AX74" s="863" t="n"/>
      <c r="AY74" s="863" t="n"/>
    </row>
    <row r="75" ht="15.75" customFormat="1" customHeight="1" s="85" thickBot="1" thickTop="1">
      <c r="A75" s="96" t="inlineStr">
        <is>
          <t>550T</t>
        </is>
      </c>
      <c r="B75" s="83">
        <f>'Scale Calculation'!C11</f>
        <v/>
      </c>
      <c r="C75" s="336" t="inlineStr">
        <is>
          <t>Non-Federally Guaranteed Student Loans</t>
        </is>
      </c>
      <c r="D75" s="862" t="n"/>
      <c r="E75" s="862" t="n"/>
      <c r="F75" s="862" t="n"/>
      <c r="G75" s="862" t="n"/>
      <c r="H75" s="862" t="n"/>
      <c r="I75" s="862" t="n"/>
      <c r="J75" s="862" t="n"/>
      <c r="K75" s="862" t="n"/>
      <c r="L75" s="862" t="n"/>
      <c r="M75" s="862" t="n"/>
      <c r="N75" s="862" t="n"/>
      <c r="O75" s="862" t="n"/>
      <c r="P75" s="862" t="n"/>
      <c r="Q75" s="862" t="n"/>
      <c r="R75" s="862" t="n"/>
      <c r="S75" s="862" t="n"/>
      <c r="T75" s="862" t="n"/>
      <c r="U75" s="862" t="n"/>
      <c r="V75" s="862" t="n"/>
      <c r="W75" s="862" t="n"/>
      <c r="X75" s="862" t="n"/>
      <c r="Y75" s="862" t="n"/>
      <c r="Z75" s="862" t="n"/>
      <c r="AA75" s="862" t="n"/>
      <c r="AB75" s="862" t="n"/>
      <c r="AC75" s="862" t="n"/>
      <c r="AD75" s="862" t="n"/>
      <c r="AE75" s="862" t="n"/>
      <c r="AF75" s="862" t="n"/>
      <c r="AG75" s="862" t="n"/>
      <c r="AH75" s="862" t="n"/>
      <c r="AI75" s="862" t="n"/>
      <c r="AJ75" s="863" t="n"/>
      <c r="AK75" s="863" t="n"/>
      <c r="AL75" s="863" t="n"/>
      <c r="AM75" s="863" t="n"/>
      <c r="AN75" s="863" t="n"/>
      <c r="AO75" s="863" t="n"/>
      <c r="AP75" s="863" t="n"/>
      <c r="AQ75" s="863" t="n"/>
      <c r="AR75" s="863" t="n"/>
      <c r="AS75" s="863" t="n"/>
      <c r="AT75" s="863" t="n"/>
      <c r="AU75" s="863" t="n"/>
      <c r="AV75" s="863" t="n"/>
      <c r="AW75" s="863" t="n"/>
      <c r="AX75" s="863" t="n"/>
      <c r="AY75" s="863" t="n"/>
    </row>
    <row r="76" ht="17.25" customFormat="1" customHeight="1" s="85" thickBot="1" thickTop="1">
      <c r="A76" s="96" t="inlineStr">
        <is>
          <t>550C1</t>
        </is>
      </c>
      <c r="B76" s="83">
        <f>'Scale Calculation'!C13</f>
        <v/>
      </c>
      <c r="C76" s="336" t="inlineStr">
        <is>
          <t>New Vehicle Loans</t>
        </is>
      </c>
      <c r="D76" s="862" t="n"/>
      <c r="E76" s="862" t="n"/>
      <c r="F76" s="862" t="n"/>
      <c r="G76" s="862" t="n"/>
      <c r="H76" s="862" t="n"/>
      <c r="I76" s="862" t="n"/>
      <c r="J76" s="862" t="n"/>
      <c r="K76" s="862" t="n"/>
      <c r="L76" s="862" t="n"/>
      <c r="M76" s="862" t="n"/>
      <c r="N76" s="862" t="n"/>
      <c r="O76" s="862" t="n"/>
      <c r="P76" s="862" t="n"/>
      <c r="Q76" s="862" t="n"/>
      <c r="R76" s="862" t="n"/>
      <c r="S76" s="862" t="n"/>
      <c r="T76" s="862" t="n"/>
      <c r="U76" s="862" t="n"/>
      <c r="V76" s="862" t="n"/>
      <c r="W76" s="862" t="n"/>
      <c r="X76" s="862" t="n"/>
      <c r="Y76" s="862" t="n"/>
      <c r="Z76" s="862" t="n"/>
      <c r="AA76" s="862" t="n"/>
      <c r="AB76" s="862" t="n"/>
      <c r="AC76" s="862" t="n"/>
      <c r="AD76" s="862" t="n"/>
      <c r="AE76" s="862" t="n"/>
      <c r="AF76" s="862" t="n"/>
      <c r="AG76" s="862" t="n"/>
      <c r="AH76" s="862" t="n"/>
      <c r="AI76" s="862" t="n"/>
      <c r="AJ76" s="863" t="n"/>
      <c r="AK76" s="863" t="n"/>
      <c r="AL76" s="863" t="n"/>
      <c r="AM76" s="863" t="n"/>
      <c r="AN76" s="863" t="n"/>
      <c r="AO76" s="863" t="n"/>
      <c r="AP76" s="863" t="n"/>
      <c r="AQ76" s="863" t="n"/>
      <c r="AR76" s="863" t="n"/>
      <c r="AS76" s="863" t="n"/>
      <c r="AT76" s="863" t="n"/>
      <c r="AU76" s="863" t="n"/>
      <c r="AV76" s="863" t="n"/>
      <c r="AW76" s="863" t="n"/>
      <c r="AX76" s="863" t="n"/>
      <c r="AY76" s="863" t="n"/>
    </row>
    <row r="77" ht="17.25" customFormat="1" customHeight="1" s="85" thickBot="1" thickTop="1">
      <c r="A77" s="96" t="inlineStr">
        <is>
          <t>550C2</t>
        </is>
      </c>
      <c r="B77" s="83">
        <f>'Scale Calculation'!C14</f>
        <v/>
      </c>
      <c r="C77" s="336" t="inlineStr">
        <is>
          <t>Used Vehicle Loans</t>
        </is>
      </c>
      <c r="D77" s="862" t="n"/>
      <c r="E77" s="862" t="n"/>
      <c r="F77" s="862" t="n"/>
      <c r="G77" s="862" t="n"/>
      <c r="H77" s="862" t="n"/>
      <c r="I77" s="862" t="n"/>
      <c r="J77" s="862" t="n"/>
      <c r="K77" s="862" t="n"/>
      <c r="L77" s="862" t="n"/>
      <c r="M77" s="862" t="n"/>
      <c r="N77" s="862" t="n"/>
      <c r="O77" s="862" t="n"/>
      <c r="P77" s="862" t="n"/>
      <c r="Q77" s="862" t="n"/>
      <c r="R77" s="862" t="n"/>
      <c r="S77" s="862" t="n"/>
      <c r="T77" s="862" t="n"/>
      <c r="U77" s="862" t="n"/>
      <c r="V77" s="862" t="n"/>
      <c r="W77" s="862" t="n"/>
      <c r="X77" s="862" t="n"/>
      <c r="Y77" s="862" t="n"/>
      <c r="Z77" s="862" t="n"/>
      <c r="AA77" s="862" t="n"/>
      <c r="AB77" s="862" t="n"/>
      <c r="AC77" s="862" t="n"/>
      <c r="AD77" s="862" t="n"/>
      <c r="AE77" s="862" t="n"/>
      <c r="AF77" s="862" t="n"/>
      <c r="AG77" s="862" t="n"/>
      <c r="AH77" s="862" t="n"/>
      <c r="AI77" s="862" t="n"/>
      <c r="AJ77" s="863" t="n"/>
      <c r="AK77" s="863" t="n"/>
      <c r="AL77" s="863" t="n"/>
      <c r="AM77" s="863" t="n"/>
      <c r="AN77" s="863" t="n"/>
      <c r="AO77" s="863" t="n"/>
      <c r="AP77" s="863" t="n"/>
      <c r="AQ77" s="863" t="n"/>
      <c r="AR77" s="863" t="n"/>
      <c r="AS77" s="863" t="n"/>
      <c r="AT77" s="863" t="n"/>
      <c r="AU77" s="863" t="n"/>
      <c r="AV77" s="863" t="n"/>
      <c r="AW77" s="863" t="n"/>
      <c r="AX77" s="863" t="n"/>
      <c r="AY77" s="863" t="n"/>
    </row>
    <row r="78" ht="17.25" customFormat="1" customHeight="1" s="85" thickBot="1" thickTop="1">
      <c r="A78" s="96" t="inlineStr">
        <is>
          <t>548</t>
        </is>
      </c>
      <c r="B78" s="83">
        <f>'Scale Calculation'!C17</f>
        <v/>
      </c>
      <c r="C78" s="336" t="inlineStr">
        <is>
          <t>Loans/Lines of Credit Secured by a First Lien on a single 1- to 4-Family Residential Property</t>
        </is>
      </c>
      <c r="D78" s="862" t="n"/>
      <c r="E78" s="862" t="n"/>
      <c r="F78" s="862" t="n"/>
      <c r="G78" s="862" t="n"/>
      <c r="H78" s="862" t="n"/>
      <c r="I78" s="862" t="n"/>
      <c r="J78" s="862" t="n"/>
      <c r="K78" s="862" t="n"/>
      <c r="L78" s="862" t="n"/>
      <c r="M78" s="862" t="n"/>
      <c r="N78" s="862" t="n"/>
      <c r="O78" s="862" t="n"/>
      <c r="P78" s="862" t="n"/>
      <c r="Q78" s="862" t="n"/>
      <c r="R78" s="862" t="n"/>
      <c r="S78" s="862" t="n"/>
      <c r="T78" s="862" t="n"/>
      <c r="U78" s="862" t="n"/>
      <c r="V78" s="862" t="n"/>
      <c r="W78" s="862" t="n"/>
      <c r="X78" s="862" t="n"/>
      <c r="Y78" s="862" t="n"/>
      <c r="Z78" s="862" t="n"/>
      <c r="AA78" s="862" t="n"/>
      <c r="AB78" s="862" t="n"/>
      <c r="AC78" s="862" t="n"/>
      <c r="AD78" s="862" t="n"/>
      <c r="AE78" s="862" t="n"/>
      <c r="AF78" s="862" t="n"/>
      <c r="AG78" s="862" t="n"/>
      <c r="AH78" s="862" t="n"/>
      <c r="AI78" s="862" t="n"/>
      <c r="AJ78" s="863" t="n"/>
      <c r="AK78" s="863" t="n"/>
      <c r="AL78" s="863" t="n"/>
      <c r="AM78" s="863" t="n"/>
      <c r="AN78" s="863" t="n"/>
      <c r="AO78" s="863" t="n"/>
      <c r="AP78" s="863" t="n"/>
      <c r="AQ78" s="863" t="n"/>
      <c r="AR78" s="863" t="n"/>
      <c r="AS78" s="863" t="n"/>
      <c r="AT78" s="863" t="n"/>
      <c r="AU78" s="863" t="n"/>
      <c r="AV78" s="863" t="n"/>
      <c r="AW78" s="863" t="n"/>
      <c r="AX78" s="863" t="n"/>
      <c r="AY78" s="863" t="n"/>
    </row>
    <row r="79" ht="17.25" customFormat="1" customHeight="1" s="85" thickBot="1" thickTop="1">
      <c r="A79" s="96" t="inlineStr">
        <is>
          <t>549</t>
        </is>
      </c>
      <c r="B79" s="83">
        <f>'Scale Calculation'!C18</f>
        <v/>
      </c>
      <c r="C79" s="336" t="inlineStr">
        <is>
          <t>Loans/Lines of Credit Secured by a Junior Lien on a single 1- to 4-Family Residential Property</t>
        </is>
      </c>
      <c r="D79" s="862" t="n"/>
      <c r="E79" s="862" t="n"/>
      <c r="F79" s="862" t="n"/>
      <c r="G79" s="862" t="n"/>
      <c r="H79" s="862" t="n"/>
      <c r="I79" s="862" t="n"/>
      <c r="J79" s="862" t="n"/>
      <c r="K79" s="862" t="n"/>
      <c r="L79" s="862" t="n"/>
      <c r="M79" s="862" t="n"/>
      <c r="N79" s="862" t="n"/>
      <c r="O79" s="862" t="n"/>
      <c r="P79" s="862" t="n"/>
      <c r="Q79" s="862" t="n"/>
      <c r="R79" s="862" t="n"/>
      <c r="S79" s="862" t="n"/>
      <c r="T79" s="862" t="n"/>
      <c r="U79" s="862" t="n"/>
      <c r="V79" s="862" t="n"/>
      <c r="W79" s="862" t="n"/>
      <c r="X79" s="862" t="n"/>
      <c r="Y79" s="862" t="n"/>
      <c r="Z79" s="862" t="n"/>
      <c r="AA79" s="862" t="n"/>
      <c r="AB79" s="862" t="n"/>
      <c r="AC79" s="862" t="n"/>
      <c r="AD79" s="862" t="n"/>
      <c r="AE79" s="862" t="n"/>
      <c r="AF79" s="862" t="n"/>
      <c r="AG79" s="862" t="n"/>
      <c r="AH79" s="862" t="n"/>
      <c r="AI79" s="862" t="n"/>
      <c r="AJ79" s="863" t="n"/>
      <c r="AK79" s="863" t="n"/>
      <c r="AL79" s="863" t="n"/>
      <c r="AM79" s="863" t="n"/>
      <c r="AN79" s="863" t="n"/>
      <c r="AO79" s="863" t="n"/>
      <c r="AP79" s="863" t="n"/>
      <c r="AQ79" s="863" t="n"/>
      <c r="AR79" s="863" t="n"/>
      <c r="AS79" s="863" t="n"/>
      <c r="AT79" s="863" t="n"/>
      <c r="AU79" s="863" t="n"/>
      <c r="AV79" s="863" t="n"/>
      <c r="AW79" s="863" t="n"/>
      <c r="AX79" s="863" t="n"/>
      <c r="AY79" s="863" t="n"/>
    </row>
    <row r="80" ht="17.25" customFormat="1" customHeight="1" s="85" thickBot="1" thickTop="1">
      <c r="A80" s="96" t="inlineStr">
        <is>
          <t>550D</t>
        </is>
      </c>
      <c r="B80" s="83">
        <f>'Scale Calculation'!C15</f>
        <v/>
      </c>
      <c r="C80" s="336" t="inlineStr">
        <is>
          <t>Leases Receivable</t>
        </is>
      </c>
      <c r="D80" s="862" t="n"/>
      <c r="E80" s="862" t="n"/>
      <c r="F80" s="862" t="n"/>
      <c r="G80" s="862" t="n"/>
      <c r="H80" s="862" t="n"/>
      <c r="I80" s="862" t="n"/>
      <c r="J80" s="862" t="n"/>
      <c r="K80" s="862" t="n"/>
      <c r="L80" s="862" t="n"/>
      <c r="M80" s="862" t="n"/>
      <c r="N80" s="862" t="n"/>
      <c r="O80" s="862" t="n"/>
      <c r="P80" s="862" t="n"/>
      <c r="Q80" s="862" t="n"/>
      <c r="R80" s="862" t="n"/>
      <c r="S80" s="862" t="n"/>
      <c r="T80" s="862" t="n"/>
      <c r="U80" s="862" t="n"/>
      <c r="V80" s="862" t="n"/>
      <c r="W80" s="862" t="n"/>
      <c r="X80" s="862" t="n"/>
      <c r="Y80" s="862" t="n"/>
      <c r="Z80" s="862" t="n"/>
      <c r="AA80" s="862" t="n"/>
      <c r="AB80" s="862" t="n"/>
      <c r="AC80" s="862" t="n"/>
      <c r="AD80" s="862" t="n"/>
      <c r="AE80" s="862" t="n"/>
      <c r="AF80" s="862" t="n"/>
      <c r="AG80" s="862" t="n"/>
      <c r="AH80" s="862" t="n"/>
      <c r="AI80" s="862" t="n"/>
      <c r="AJ80" s="863" t="n"/>
      <c r="AK80" s="863" t="n"/>
      <c r="AL80" s="863" t="n"/>
      <c r="AM80" s="863" t="n"/>
      <c r="AN80" s="863" t="n"/>
      <c r="AO80" s="863" t="n"/>
      <c r="AP80" s="863" t="n"/>
      <c r="AQ80" s="863" t="n"/>
      <c r="AR80" s="863" t="n"/>
      <c r="AS80" s="863" t="n"/>
      <c r="AT80" s="863" t="n"/>
      <c r="AU80" s="863" t="n"/>
      <c r="AV80" s="863" t="n"/>
      <c r="AW80" s="863" t="n"/>
      <c r="AX80" s="863" t="n"/>
      <c r="AY80" s="863" t="n"/>
    </row>
    <row r="81" ht="17.25" customFormat="1" customHeight="1" s="85" thickBot="1" thickTop="1">
      <c r="A81" s="96" t="inlineStr">
        <is>
          <t>550C</t>
        </is>
      </c>
      <c r="B81" s="87" t="inlineStr">
        <is>
          <t>All Other Loans</t>
        </is>
      </c>
      <c r="C81" s="336" t="inlineStr">
        <is>
          <t>All Other Unsecured Loans/Lines of Credit</t>
        </is>
      </c>
      <c r="D81" s="866" t="n"/>
      <c r="E81" s="866" t="n"/>
      <c r="F81" s="866" t="n"/>
      <c r="G81" s="866" t="n"/>
      <c r="H81" s="866" t="n"/>
      <c r="I81" s="866" t="n"/>
      <c r="J81" s="866" t="n"/>
      <c r="K81" s="866" t="n"/>
      <c r="L81" s="866" t="n"/>
      <c r="M81" s="866" t="n"/>
      <c r="N81" s="866" t="n"/>
      <c r="O81" s="866" t="n"/>
      <c r="P81" s="866" t="n"/>
      <c r="Q81" s="866" t="n"/>
      <c r="R81" s="866" t="n"/>
      <c r="S81" s="866" t="n"/>
      <c r="T81" s="866" t="n"/>
      <c r="U81" s="866" t="n"/>
      <c r="V81" s="866" t="n"/>
      <c r="W81" s="866" t="n"/>
      <c r="X81" s="866" t="n"/>
      <c r="Y81" s="866" t="n"/>
      <c r="Z81" s="866" t="n"/>
      <c r="AA81" s="866" t="n"/>
      <c r="AB81" s="866" t="n"/>
      <c r="AC81" s="866" t="n"/>
      <c r="AD81" s="866" t="n"/>
      <c r="AE81" s="866" t="n"/>
      <c r="AF81" s="866" t="n"/>
      <c r="AG81" s="866" t="n"/>
      <c r="AH81" s="866" t="n"/>
      <c r="AI81" s="866" t="n"/>
      <c r="AJ81" s="867" t="n"/>
      <c r="AK81" s="867" t="n"/>
      <c r="AL81" s="867" t="n"/>
      <c r="AM81" s="867" t="n"/>
      <c r="AN81" s="867" t="n"/>
      <c r="AO81" s="867" t="n"/>
      <c r="AP81" s="867" t="n"/>
      <c r="AQ81" s="867" t="n"/>
      <c r="AR81" s="867" t="n"/>
      <c r="AS81" s="867" t="n"/>
      <c r="AT81" s="867" t="n"/>
      <c r="AU81" s="867" t="n"/>
      <c r="AV81" s="867" t="n"/>
      <c r="AW81" s="867" t="n"/>
      <c r="AX81" s="867" t="n"/>
      <c r="AY81" s="867" t="n"/>
    </row>
    <row r="82" ht="17.25" customFormat="1" customHeight="1" s="85" thickBot="1" thickTop="1">
      <c r="A82" s="96" t="inlineStr">
        <is>
          <t>680</t>
        </is>
      </c>
      <c r="B82" s="83" t="inlineStr">
        <is>
          <t>Unsecured Credit Card Loans</t>
        </is>
      </c>
      <c r="C82" s="336" t="inlineStr">
        <is>
          <t>Unsecured Credit Card Loans</t>
        </is>
      </c>
      <c r="D82" s="863" t="n"/>
      <c r="E82" s="863" t="n"/>
      <c r="F82" s="863" t="n"/>
      <c r="G82" s="863" t="n"/>
      <c r="H82" s="863" t="n"/>
      <c r="I82" s="863" t="n"/>
      <c r="J82" s="863" t="n"/>
      <c r="K82" s="863" t="n"/>
      <c r="L82" s="863" t="n"/>
      <c r="M82" s="863" t="n"/>
      <c r="N82" s="863" t="n"/>
      <c r="O82" s="863" t="n"/>
      <c r="P82" s="863" t="n"/>
      <c r="Q82" s="863" t="n"/>
      <c r="R82" s="863" t="n"/>
      <c r="S82" s="863" t="n"/>
      <c r="T82" s="863" t="n"/>
      <c r="U82" s="863" t="n"/>
      <c r="V82" s="863" t="n"/>
      <c r="W82" s="863" t="n"/>
      <c r="X82" s="863" t="n"/>
      <c r="Y82" s="863" t="n"/>
      <c r="Z82" s="863" t="n"/>
      <c r="AA82" s="863" t="n"/>
      <c r="AB82" s="863" t="n"/>
      <c r="AC82" s="863" t="n"/>
      <c r="AD82" s="863" t="n"/>
      <c r="AE82" s="863" t="n"/>
      <c r="AF82" s="863" t="n"/>
      <c r="AG82" s="863" t="n"/>
      <c r="AH82" s="863" t="n"/>
      <c r="AI82" s="863" t="n"/>
      <c r="AJ82" s="862" t="n"/>
      <c r="AK82" s="862" t="n"/>
      <c r="AL82" s="862" t="n"/>
      <c r="AM82" s="862" t="n"/>
      <c r="AN82" s="862" t="n"/>
      <c r="AO82" s="862" t="n"/>
      <c r="AP82" s="862" t="n"/>
      <c r="AQ82" s="862" t="n"/>
      <c r="AR82" s="862" t="n"/>
      <c r="AS82" s="862" t="n"/>
      <c r="AT82" s="862" t="n"/>
      <c r="AU82" s="862" t="n"/>
      <c r="AV82" s="862" t="n"/>
      <c r="AW82" s="862" t="n"/>
      <c r="AX82" s="862" t="n"/>
      <c r="AY82" s="862" t="n"/>
    </row>
    <row r="83" ht="17.25" customFormat="1" customHeight="1" s="86" thickBot="1" thickTop="1">
      <c r="A83" s="96" t="inlineStr">
        <is>
          <t>136</t>
        </is>
      </c>
      <c r="B83" s="83" t="inlineStr">
        <is>
          <t>Payday Alternative Loans (PALs loans) (FCU Only)</t>
        </is>
      </c>
      <c r="C83" s="336" t="inlineStr">
        <is>
          <t>Payday Alternative Loans</t>
        </is>
      </c>
      <c r="D83" s="863" t="n"/>
      <c r="E83" s="863" t="n"/>
      <c r="F83" s="863" t="n"/>
      <c r="G83" s="863" t="n"/>
      <c r="H83" s="863" t="n"/>
      <c r="I83" s="863" t="n"/>
      <c r="J83" s="863" t="n"/>
      <c r="K83" s="863" t="n"/>
      <c r="L83" s="863" t="n"/>
      <c r="M83" s="863" t="n"/>
      <c r="N83" s="863" t="n"/>
      <c r="O83" s="863" t="n"/>
      <c r="P83" s="863" t="n"/>
      <c r="Q83" s="863" t="n"/>
      <c r="R83" s="863" t="n"/>
      <c r="S83" s="863" t="n"/>
      <c r="T83" s="863" t="n"/>
      <c r="U83" s="863" t="n"/>
      <c r="V83" s="863" t="n"/>
      <c r="W83" s="863" t="n"/>
      <c r="X83" s="863" t="n"/>
      <c r="Y83" s="863" t="n"/>
      <c r="Z83" s="863" t="n"/>
      <c r="AA83" s="863" t="n"/>
      <c r="AB83" s="863" t="n"/>
      <c r="AC83" s="863" t="n"/>
      <c r="AD83" s="863" t="n"/>
      <c r="AE83" s="863" t="n"/>
      <c r="AF83" s="863" t="n"/>
      <c r="AG83" s="863" t="n"/>
      <c r="AH83" s="863" t="n"/>
      <c r="AI83" s="863" t="n"/>
      <c r="AJ83" s="862" t="n"/>
      <c r="AK83" s="862" t="n"/>
      <c r="AL83" s="862" t="n"/>
      <c r="AM83" s="862" t="n"/>
      <c r="AN83" s="862" t="n"/>
      <c r="AO83" s="862" t="n"/>
      <c r="AP83" s="862" t="n"/>
      <c r="AQ83" s="862" t="n"/>
      <c r="AR83" s="862" t="n"/>
      <c r="AS83" s="862" t="n"/>
      <c r="AT83" s="862" t="n"/>
      <c r="AU83" s="862" t="n"/>
      <c r="AV83" s="862" t="n"/>
      <c r="AW83" s="862" t="n"/>
      <c r="AX83" s="862" t="n"/>
      <c r="AY83" s="862" t="n"/>
    </row>
    <row r="84" ht="17.25" customFormat="1" customHeight="1" s="86" thickBot="1" thickTop="1">
      <c r="A84" s="96" t="inlineStr">
        <is>
          <t>550T</t>
        </is>
      </c>
      <c r="B84" s="83" t="inlineStr">
        <is>
          <t>Non-Federally Guaranteed Student Loans</t>
        </is>
      </c>
      <c r="C84" s="336" t="inlineStr">
        <is>
          <t>Non-Federally Guaranteed Student Loans</t>
        </is>
      </c>
      <c r="D84" s="863" t="n"/>
      <c r="E84" s="863" t="n"/>
      <c r="F84" s="863" t="n"/>
      <c r="G84" s="863" t="n"/>
      <c r="H84" s="863" t="n"/>
      <c r="I84" s="863" t="n"/>
      <c r="J84" s="863" t="n"/>
      <c r="K84" s="863" t="n"/>
      <c r="L84" s="863" t="n"/>
      <c r="M84" s="863" t="n"/>
      <c r="N84" s="863" t="n"/>
      <c r="O84" s="863" t="n"/>
      <c r="P84" s="863" t="n"/>
      <c r="Q84" s="863" t="n"/>
      <c r="R84" s="863" t="n"/>
      <c r="S84" s="863" t="n"/>
      <c r="T84" s="863" t="n"/>
      <c r="U84" s="863" t="n"/>
      <c r="V84" s="863" t="n"/>
      <c r="W84" s="863" t="n"/>
      <c r="X84" s="863" t="n"/>
      <c r="Y84" s="863" t="n"/>
      <c r="Z84" s="863" t="n"/>
      <c r="AA84" s="863" t="n"/>
      <c r="AB84" s="863" t="n"/>
      <c r="AC84" s="863" t="n"/>
      <c r="AD84" s="863" t="n"/>
      <c r="AE84" s="863" t="n"/>
      <c r="AF84" s="863" t="n"/>
      <c r="AG84" s="863" t="n"/>
      <c r="AH84" s="863" t="n"/>
      <c r="AI84" s="863" t="n"/>
      <c r="AJ84" s="862" t="n"/>
      <c r="AK84" s="862" t="n"/>
      <c r="AL84" s="862" t="n"/>
      <c r="AM84" s="862" t="n"/>
      <c r="AN84" s="862" t="n"/>
      <c r="AO84" s="862" t="n"/>
      <c r="AP84" s="862" t="n"/>
      <c r="AQ84" s="862" t="n"/>
      <c r="AR84" s="862" t="n"/>
      <c r="AS84" s="862" t="n"/>
      <c r="AT84" s="862" t="n"/>
      <c r="AU84" s="862" t="n"/>
      <c r="AV84" s="862" t="n"/>
      <c r="AW84" s="862" t="n"/>
      <c r="AX84" s="862" t="n"/>
      <c r="AY84" s="862" t="n"/>
    </row>
    <row r="85" ht="17.25" customFormat="1" customHeight="1" s="86" thickBot="1" thickTop="1">
      <c r="A85" s="96" t="inlineStr">
        <is>
          <t>CH0007</t>
        </is>
      </c>
      <c r="B85" s="83" t="inlineStr">
        <is>
          <t>All Other Unsecured Loans/Lines of Credit</t>
        </is>
      </c>
      <c r="C85" s="336" t="inlineStr">
        <is>
          <t>All Other Unsecured Loans/Lines of Credit</t>
        </is>
      </c>
      <c r="D85" s="863" t="n"/>
      <c r="E85" s="863" t="n"/>
      <c r="F85" s="863" t="n"/>
      <c r="G85" s="863" t="n"/>
      <c r="H85" s="863" t="n"/>
      <c r="I85" s="863" t="n"/>
      <c r="J85" s="863" t="n"/>
      <c r="K85" s="863" t="n"/>
      <c r="L85" s="863" t="n"/>
      <c r="M85" s="863" t="n"/>
      <c r="N85" s="863" t="n"/>
      <c r="O85" s="863" t="n"/>
      <c r="P85" s="863" t="n"/>
      <c r="Q85" s="863" t="n"/>
      <c r="R85" s="863" t="n"/>
      <c r="S85" s="863" t="n"/>
      <c r="T85" s="863" t="n"/>
      <c r="U85" s="863" t="n"/>
      <c r="V85" s="863" t="n"/>
      <c r="W85" s="863" t="n"/>
      <c r="X85" s="863" t="n"/>
      <c r="Y85" s="863" t="n"/>
      <c r="Z85" s="863" t="n"/>
      <c r="AA85" s="863" t="n"/>
      <c r="AB85" s="863" t="n"/>
      <c r="AC85" s="863" t="n"/>
      <c r="AD85" s="863" t="n"/>
      <c r="AE85" s="863" t="n"/>
      <c r="AF85" s="863" t="n"/>
      <c r="AG85" s="863" t="n"/>
      <c r="AH85" s="863" t="n"/>
      <c r="AI85" s="863" t="n"/>
      <c r="AJ85" s="862" t="n"/>
      <c r="AK85" s="862" t="n"/>
      <c r="AL85" s="862" t="n"/>
      <c r="AM85" s="862" t="n"/>
      <c r="AN85" s="862" t="n"/>
      <c r="AO85" s="862" t="n"/>
      <c r="AP85" s="862" t="n"/>
      <c r="AQ85" s="862" t="n"/>
      <c r="AR85" s="862" t="n"/>
      <c r="AS85" s="862" t="n"/>
      <c r="AT85" s="862" t="n"/>
      <c r="AU85" s="862" t="n"/>
      <c r="AV85" s="862" t="n"/>
      <c r="AW85" s="862" t="n"/>
      <c r="AX85" s="862" t="n"/>
      <c r="AY85" s="862" t="n"/>
    </row>
    <row r="86" ht="17.25" customFormat="1" customHeight="1" s="86" thickBot="1" thickTop="1">
      <c r="A86" s="96" t="inlineStr">
        <is>
          <t>550C1</t>
        </is>
      </c>
      <c r="B86" s="83" t="inlineStr">
        <is>
          <t>New Vehicle Loans</t>
        </is>
      </c>
      <c r="C86" s="336" t="inlineStr">
        <is>
          <t>New Vehicle Loans</t>
        </is>
      </c>
      <c r="D86" s="863" t="n"/>
      <c r="E86" s="863" t="n"/>
      <c r="F86" s="863" t="n"/>
      <c r="G86" s="863" t="n"/>
      <c r="H86" s="863" t="n"/>
      <c r="I86" s="863" t="n"/>
      <c r="J86" s="863" t="n"/>
      <c r="K86" s="863" t="n"/>
      <c r="L86" s="863" t="n"/>
      <c r="M86" s="863" t="n"/>
      <c r="N86" s="863" t="n"/>
      <c r="O86" s="863" t="n"/>
      <c r="P86" s="863" t="n"/>
      <c r="Q86" s="863" t="n"/>
      <c r="R86" s="863" t="n"/>
      <c r="S86" s="863" t="n"/>
      <c r="T86" s="863" t="n"/>
      <c r="U86" s="863" t="n"/>
      <c r="V86" s="863" t="n"/>
      <c r="W86" s="863" t="n"/>
      <c r="X86" s="863" t="n"/>
      <c r="Y86" s="863" t="n"/>
      <c r="Z86" s="863" t="n"/>
      <c r="AA86" s="863" t="n"/>
      <c r="AB86" s="863" t="n"/>
      <c r="AC86" s="863" t="n"/>
      <c r="AD86" s="863" t="n"/>
      <c r="AE86" s="863" t="n"/>
      <c r="AF86" s="863" t="n"/>
      <c r="AG86" s="863" t="n"/>
      <c r="AH86" s="863" t="n"/>
      <c r="AI86" s="863" t="n"/>
      <c r="AJ86" s="862" t="n"/>
      <c r="AK86" s="862" t="n"/>
      <c r="AL86" s="862" t="n"/>
      <c r="AM86" s="862" t="n"/>
      <c r="AN86" s="862" t="n"/>
      <c r="AO86" s="862" t="n"/>
      <c r="AP86" s="862" t="n"/>
      <c r="AQ86" s="862" t="n"/>
      <c r="AR86" s="862" t="n"/>
      <c r="AS86" s="862" t="n"/>
      <c r="AT86" s="862" t="n"/>
      <c r="AU86" s="862" t="n"/>
      <c r="AV86" s="862" t="n"/>
      <c r="AW86" s="862" t="n"/>
      <c r="AX86" s="862" t="n"/>
      <c r="AY86" s="862" t="n"/>
    </row>
    <row r="87" ht="17.25" customFormat="1" customHeight="1" s="86" thickBot="1" thickTop="1">
      <c r="A87" s="96" t="inlineStr">
        <is>
          <t>550C2</t>
        </is>
      </c>
      <c r="B87" s="83" t="inlineStr">
        <is>
          <t>Used Vehicle Loans</t>
        </is>
      </c>
      <c r="C87" s="336" t="inlineStr">
        <is>
          <t>Used Vehicle Loans</t>
        </is>
      </c>
      <c r="D87" s="863" t="n"/>
      <c r="E87" s="863" t="n"/>
      <c r="F87" s="863" t="n"/>
      <c r="G87" s="863" t="n"/>
      <c r="H87" s="863" t="n"/>
      <c r="I87" s="863" t="n"/>
      <c r="J87" s="863" t="n"/>
      <c r="K87" s="863" t="n"/>
      <c r="L87" s="863" t="n"/>
      <c r="M87" s="863" t="n"/>
      <c r="N87" s="863" t="n"/>
      <c r="O87" s="863" t="n"/>
      <c r="P87" s="863" t="n"/>
      <c r="Q87" s="863" t="n"/>
      <c r="R87" s="863" t="n"/>
      <c r="S87" s="863" t="n"/>
      <c r="T87" s="863" t="n"/>
      <c r="U87" s="863" t="n"/>
      <c r="V87" s="863" t="n"/>
      <c r="W87" s="863" t="n"/>
      <c r="X87" s="863" t="n"/>
      <c r="Y87" s="863" t="n"/>
      <c r="Z87" s="863" t="n"/>
      <c r="AA87" s="863" t="n"/>
      <c r="AB87" s="863" t="n"/>
      <c r="AC87" s="863" t="n"/>
      <c r="AD87" s="863" t="n"/>
      <c r="AE87" s="863" t="n"/>
      <c r="AF87" s="863" t="n"/>
      <c r="AG87" s="863" t="n"/>
      <c r="AH87" s="863" t="n"/>
      <c r="AI87" s="863" t="n"/>
      <c r="AJ87" s="862" t="n"/>
      <c r="AK87" s="862" t="n"/>
      <c r="AL87" s="862" t="n"/>
      <c r="AM87" s="862" t="n"/>
      <c r="AN87" s="862" t="n"/>
      <c r="AO87" s="862" t="n"/>
      <c r="AP87" s="862" t="n"/>
      <c r="AQ87" s="862" t="n"/>
      <c r="AR87" s="862" t="n"/>
      <c r="AS87" s="862" t="n"/>
      <c r="AT87" s="862" t="n"/>
      <c r="AU87" s="862" t="n"/>
      <c r="AV87" s="862" t="n"/>
      <c r="AW87" s="862" t="n"/>
      <c r="AX87" s="862" t="n"/>
      <c r="AY87" s="862" t="n"/>
    </row>
    <row r="88" ht="17.25" customFormat="1" customHeight="1" s="86" thickBot="1" thickTop="1">
      <c r="A88" s="96" t="inlineStr">
        <is>
          <t>550D</t>
        </is>
      </c>
      <c r="B88" s="83" t="inlineStr">
        <is>
          <t>Leases Receivable</t>
        </is>
      </c>
      <c r="C88" s="336" t="inlineStr">
        <is>
          <t>Leases Receivable</t>
        </is>
      </c>
      <c r="D88" s="863" t="n"/>
      <c r="E88" s="863" t="n"/>
      <c r="F88" s="863" t="n"/>
      <c r="G88" s="863" t="n"/>
      <c r="H88" s="863" t="n"/>
      <c r="I88" s="863" t="n"/>
      <c r="J88" s="863" t="n"/>
      <c r="K88" s="863" t="n"/>
      <c r="L88" s="863" t="n"/>
      <c r="M88" s="863" t="n"/>
      <c r="N88" s="863" t="n"/>
      <c r="O88" s="863" t="n"/>
      <c r="P88" s="863" t="n"/>
      <c r="Q88" s="863" t="n"/>
      <c r="R88" s="863" t="n"/>
      <c r="S88" s="863" t="n"/>
      <c r="T88" s="863" t="n"/>
      <c r="U88" s="863" t="n"/>
      <c r="V88" s="863" t="n"/>
      <c r="W88" s="863" t="n"/>
      <c r="X88" s="863" t="n"/>
      <c r="Y88" s="863" t="n"/>
      <c r="Z88" s="863" t="n"/>
      <c r="AA88" s="863" t="n"/>
      <c r="AB88" s="863" t="n"/>
      <c r="AC88" s="863" t="n"/>
      <c r="AD88" s="863" t="n"/>
      <c r="AE88" s="863" t="n"/>
      <c r="AF88" s="863" t="n"/>
      <c r="AG88" s="863" t="n"/>
      <c r="AH88" s="863" t="n"/>
      <c r="AI88" s="863" t="n"/>
      <c r="AJ88" s="862" t="n"/>
      <c r="AK88" s="862" t="n"/>
      <c r="AL88" s="862" t="n"/>
      <c r="AM88" s="862" t="n"/>
      <c r="AN88" s="862" t="n"/>
      <c r="AO88" s="862" t="n"/>
      <c r="AP88" s="862" t="n"/>
      <c r="AQ88" s="862" t="n"/>
      <c r="AR88" s="862" t="n"/>
      <c r="AS88" s="862" t="n"/>
      <c r="AT88" s="862" t="n"/>
      <c r="AU88" s="862" t="n"/>
      <c r="AV88" s="862" t="n"/>
      <c r="AW88" s="862" t="n"/>
      <c r="AX88" s="862" t="n"/>
      <c r="AY88" s="862" t="n"/>
    </row>
    <row r="89" ht="17.25" customFormat="1" customHeight="1" s="86" thickBot="1" thickTop="1">
      <c r="A89" s="96" t="inlineStr">
        <is>
          <t>CH0015</t>
        </is>
      </c>
      <c r="B89" s="83" t="inlineStr">
        <is>
          <t>All Other Secured Non-Real Estate Loans/Lines of Credit</t>
        </is>
      </c>
      <c r="C89" s="336" t="inlineStr">
        <is>
          <t>All Other Secured Non-Real Estate Loans/Lines of Credit</t>
        </is>
      </c>
      <c r="D89" s="863" t="n"/>
      <c r="E89" s="863" t="n"/>
      <c r="F89" s="863" t="n"/>
      <c r="G89" s="863" t="n"/>
      <c r="H89" s="863" t="n"/>
      <c r="I89" s="863" t="n"/>
      <c r="J89" s="863" t="n"/>
      <c r="K89" s="863" t="n"/>
      <c r="L89" s="863" t="n"/>
      <c r="M89" s="863" t="n"/>
      <c r="N89" s="863" t="n"/>
      <c r="O89" s="863" t="n"/>
      <c r="P89" s="863" t="n"/>
      <c r="Q89" s="863" t="n"/>
      <c r="R89" s="863" t="n"/>
      <c r="S89" s="863" t="n"/>
      <c r="T89" s="863" t="n"/>
      <c r="U89" s="863" t="n"/>
      <c r="V89" s="863" t="n"/>
      <c r="W89" s="863" t="n"/>
      <c r="X89" s="863" t="n"/>
      <c r="Y89" s="863" t="n"/>
      <c r="Z89" s="863" t="n"/>
      <c r="AA89" s="863" t="n"/>
      <c r="AB89" s="863" t="n"/>
      <c r="AC89" s="863" t="n"/>
      <c r="AD89" s="863" t="n"/>
      <c r="AE89" s="863" t="n"/>
      <c r="AF89" s="863" t="n"/>
      <c r="AG89" s="863" t="n"/>
      <c r="AH89" s="863" t="n"/>
      <c r="AI89" s="863" t="n"/>
      <c r="AJ89" s="862" t="n"/>
      <c r="AK89" s="862" t="n"/>
      <c r="AL89" s="862" t="n"/>
      <c r="AM89" s="862" t="n"/>
      <c r="AN89" s="862" t="n"/>
      <c r="AO89" s="862" t="n"/>
      <c r="AP89" s="862" t="n"/>
      <c r="AQ89" s="862" t="n"/>
      <c r="AR89" s="862" t="n"/>
      <c r="AS89" s="862" t="n"/>
      <c r="AT89" s="862" t="n"/>
      <c r="AU89" s="862" t="n"/>
      <c r="AV89" s="862" t="n"/>
      <c r="AW89" s="862" t="n"/>
      <c r="AX89" s="862" t="n"/>
      <c r="AY89" s="862" t="n"/>
    </row>
    <row r="90" ht="17.25" customFormat="1" customHeight="1" s="86" thickBot="1" thickTop="1">
      <c r="A90" s="96" t="inlineStr">
        <is>
          <t>CH0017</t>
        </is>
      </c>
      <c r="B90" s="83" t="inlineStr">
        <is>
          <t>Secured by 1st Lien on a single 1- to 4-Family Residential Property</t>
        </is>
      </c>
      <c r="C90" s="336" t="inlineStr">
        <is>
          <t>Loans/Lines of Credit Secured by a First Lien on a single 1- to 4-Family Residential Property</t>
        </is>
      </c>
      <c r="D90" s="863" t="n"/>
      <c r="E90" s="863" t="n"/>
      <c r="F90" s="863" t="n"/>
      <c r="G90" s="863" t="n"/>
      <c r="H90" s="863" t="n"/>
      <c r="I90" s="863" t="n"/>
      <c r="J90" s="863" t="n"/>
      <c r="K90" s="863" t="n"/>
      <c r="L90" s="863" t="n"/>
      <c r="M90" s="863" t="n"/>
      <c r="N90" s="863" t="n"/>
      <c r="O90" s="863" t="n"/>
      <c r="P90" s="863" t="n"/>
      <c r="Q90" s="863" t="n"/>
      <c r="R90" s="863" t="n"/>
      <c r="S90" s="863" t="n"/>
      <c r="T90" s="863" t="n"/>
      <c r="U90" s="863" t="n"/>
      <c r="V90" s="863" t="n"/>
      <c r="W90" s="863" t="n"/>
      <c r="X90" s="863" t="n"/>
      <c r="Y90" s="863" t="n"/>
      <c r="Z90" s="863" t="n"/>
      <c r="AA90" s="863" t="n"/>
      <c r="AB90" s="863" t="n"/>
      <c r="AC90" s="863" t="n"/>
      <c r="AD90" s="863" t="n"/>
      <c r="AE90" s="863" t="n"/>
      <c r="AF90" s="863" t="n"/>
      <c r="AG90" s="863" t="n"/>
      <c r="AH90" s="863" t="n"/>
      <c r="AI90" s="863" t="n"/>
      <c r="AJ90" s="862" t="n"/>
      <c r="AK90" s="862" t="n"/>
      <c r="AL90" s="862" t="n"/>
      <c r="AM90" s="862" t="n"/>
      <c r="AN90" s="862" t="n"/>
      <c r="AO90" s="862" t="n"/>
      <c r="AP90" s="862" t="n"/>
      <c r="AQ90" s="862" t="n"/>
      <c r="AR90" s="862" t="n"/>
      <c r="AS90" s="862" t="n"/>
      <c r="AT90" s="862" t="n"/>
      <c r="AU90" s="862" t="n"/>
      <c r="AV90" s="862" t="n"/>
      <c r="AW90" s="862" t="n"/>
      <c r="AX90" s="862" t="n"/>
      <c r="AY90" s="862" t="n"/>
    </row>
    <row r="91" ht="17.25" customFormat="1" customHeight="1" s="86" thickBot="1" thickTop="1">
      <c r="A91" s="96" t="inlineStr">
        <is>
          <t>CH0019</t>
        </is>
      </c>
      <c r="B91" s="83" t="inlineStr">
        <is>
          <t>Secured by Junior Lien on a single 1- to 4-Family Residential Property</t>
        </is>
      </c>
      <c r="C91" s="336" t="inlineStr">
        <is>
          <t>Loans/Lines of Credit Secured by a Junior Lien on a single 1- to 4-Family Residential Property</t>
        </is>
      </c>
      <c r="D91" s="863" t="n"/>
      <c r="E91" s="863" t="n"/>
      <c r="F91" s="863" t="n"/>
      <c r="G91" s="863" t="n"/>
      <c r="H91" s="863" t="n"/>
      <c r="I91" s="863" t="n"/>
      <c r="J91" s="863" t="n"/>
      <c r="K91" s="863" t="n"/>
      <c r="L91" s="863" t="n"/>
      <c r="M91" s="863" t="n"/>
      <c r="N91" s="863" t="n"/>
      <c r="O91" s="863" t="n"/>
      <c r="P91" s="863" t="n"/>
      <c r="Q91" s="863" t="n"/>
      <c r="R91" s="863" t="n"/>
      <c r="S91" s="863" t="n"/>
      <c r="T91" s="863" t="n"/>
      <c r="U91" s="863" t="n"/>
      <c r="V91" s="863" t="n"/>
      <c r="W91" s="863" t="n"/>
      <c r="X91" s="863" t="n"/>
      <c r="Y91" s="863" t="n"/>
      <c r="Z91" s="863" t="n"/>
      <c r="AA91" s="863" t="n"/>
      <c r="AB91" s="863" t="n"/>
      <c r="AC91" s="863" t="n"/>
      <c r="AD91" s="863" t="n"/>
      <c r="AE91" s="863" t="n"/>
      <c r="AF91" s="863" t="n"/>
      <c r="AG91" s="863" t="n"/>
      <c r="AH91" s="863" t="n"/>
      <c r="AI91" s="863" t="n"/>
      <c r="AJ91" s="862" t="n"/>
      <c r="AK91" s="862" t="n"/>
      <c r="AL91" s="862" t="n"/>
      <c r="AM91" s="862" t="n"/>
      <c r="AN91" s="862" t="n"/>
      <c r="AO91" s="862" t="n"/>
      <c r="AP91" s="862" t="n"/>
      <c r="AQ91" s="862" t="n"/>
      <c r="AR91" s="862" t="n"/>
      <c r="AS91" s="862" t="n"/>
      <c r="AT91" s="862" t="n"/>
      <c r="AU91" s="862" t="n"/>
      <c r="AV91" s="862" t="n"/>
      <c r="AW91" s="862" t="n"/>
      <c r="AX91" s="862" t="n"/>
      <c r="AY91" s="862" t="n"/>
    </row>
    <row r="92" ht="17.25" customFormat="1" customHeight="1" s="86" thickBot="1" thickTop="1">
      <c r="A92" s="96" t="inlineStr">
        <is>
          <t>CH0021</t>
        </is>
      </c>
      <c r="B92" s="83" t="inlineStr">
        <is>
          <t>All Other (Non-Commercial) Real Estate Loans/Lines of Credit</t>
        </is>
      </c>
      <c r="C92" s="336" t="inlineStr">
        <is>
          <t>All Other (Non-Commercial) Real Estate Loans/Lines of Credit</t>
        </is>
      </c>
      <c r="D92" s="863" t="n"/>
      <c r="E92" s="863" t="n"/>
      <c r="F92" s="863" t="n"/>
      <c r="G92" s="863" t="n"/>
      <c r="H92" s="863" t="n"/>
      <c r="I92" s="863" t="n"/>
      <c r="J92" s="863" t="n"/>
      <c r="K92" s="863" t="n"/>
      <c r="L92" s="863" t="n"/>
      <c r="M92" s="863" t="n"/>
      <c r="N92" s="863" t="n"/>
      <c r="O92" s="863" t="n"/>
      <c r="P92" s="863" t="n"/>
      <c r="Q92" s="863" t="n"/>
      <c r="R92" s="863" t="n"/>
      <c r="S92" s="863" t="n"/>
      <c r="T92" s="863" t="n"/>
      <c r="U92" s="863" t="n"/>
      <c r="V92" s="863" t="n"/>
      <c r="W92" s="863" t="n"/>
      <c r="X92" s="863" t="n"/>
      <c r="Y92" s="863" t="n"/>
      <c r="Z92" s="863" t="n"/>
      <c r="AA92" s="863" t="n"/>
      <c r="AB92" s="863" t="n"/>
      <c r="AC92" s="863" t="n"/>
      <c r="AD92" s="863" t="n"/>
      <c r="AE92" s="863" t="n"/>
      <c r="AF92" s="863" t="n"/>
      <c r="AG92" s="863" t="n"/>
      <c r="AH92" s="863" t="n"/>
      <c r="AI92" s="863" t="n"/>
      <c r="AJ92" s="862" t="n"/>
      <c r="AK92" s="862" t="n"/>
      <c r="AL92" s="862" t="n"/>
      <c r="AM92" s="862" t="n"/>
      <c r="AN92" s="862" t="n"/>
      <c r="AO92" s="862" t="n"/>
      <c r="AP92" s="862" t="n"/>
      <c r="AQ92" s="862" t="n"/>
      <c r="AR92" s="862" t="n"/>
      <c r="AS92" s="862" t="n"/>
      <c r="AT92" s="862" t="n"/>
      <c r="AU92" s="862" t="n"/>
      <c r="AV92" s="862" t="n"/>
      <c r="AW92" s="862" t="n"/>
      <c r="AX92" s="862" t="n"/>
      <c r="AY92" s="862" t="n"/>
    </row>
    <row r="93" ht="17.25" customFormat="1" customHeight="1" s="86" thickBot="1" thickTop="1">
      <c r="A93" s="96" t="inlineStr">
        <is>
          <t>CH0023</t>
        </is>
      </c>
      <c r="B93" s="83" t="inlineStr">
        <is>
          <t>Construction and Development Loans</t>
        </is>
      </c>
      <c r="C93" s="336" t="inlineStr">
        <is>
          <t>Commercial Loans/Lines of Credit Real Estate Secured</t>
        </is>
      </c>
      <c r="D93" s="863" t="n"/>
      <c r="E93" s="863" t="n"/>
      <c r="F93" s="863" t="n"/>
      <c r="G93" s="863" t="n"/>
      <c r="H93" s="863" t="n"/>
      <c r="I93" s="863" t="n"/>
      <c r="J93" s="863" t="n"/>
      <c r="K93" s="863" t="n"/>
      <c r="L93" s="863" t="n"/>
      <c r="M93" s="863" t="n"/>
      <c r="N93" s="863" t="n"/>
      <c r="O93" s="863" t="n"/>
      <c r="P93" s="863" t="n"/>
      <c r="Q93" s="863" t="n"/>
      <c r="R93" s="863" t="n"/>
      <c r="S93" s="863" t="n"/>
      <c r="T93" s="863" t="n"/>
      <c r="U93" s="863" t="n"/>
      <c r="V93" s="863" t="n"/>
      <c r="W93" s="863" t="n"/>
      <c r="X93" s="863" t="n"/>
      <c r="Y93" s="863" t="n"/>
      <c r="Z93" s="863" t="n"/>
      <c r="AA93" s="863" t="n"/>
      <c r="AB93" s="863" t="n"/>
      <c r="AC93" s="863" t="n"/>
      <c r="AD93" s="863" t="n"/>
      <c r="AE93" s="863" t="n"/>
      <c r="AF93" s="863" t="n"/>
      <c r="AG93" s="863" t="n"/>
      <c r="AH93" s="863" t="n"/>
      <c r="AI93" s="863" t="n"/>
      <c r="AJ93" s="862" t="n"/>
      <c r="AK93" s="862" t="n"/>
      <c r="AL93" s="862" t="n"/>
      <c r="AM93" s="862" t="n"/>
      <c r="AN93" s="862" t="n"/>
      <c r="AO93" s="862" t="n"/>
      <c r="AP93" s="862" t="n"/>
      <c r="AQ93" s="862" t="n"/>
      <c r="AR93" s="862" t="n"/>
      <c r="AS93" s="862" t="n"/>
      <c r="AT93" s="862" t="n"/>
      <c r="AU93" s="862" t="n"/>
      <c r="AV93" s="862" t="n"/>
      <c r="AW93" s="862" t="n"/>
      <c r="AX93" s="862" t="n"/>
      <c r="AY93" s="862" t="n"/>
    </row>
    <row r="94" ht="17.25" customFormat="1" customHeight="1" s="86" thickBot="1" thickTop="1">
      <c r="A94" s="96" t="inlineStr">
        <is>
          <t>CH0025</t>
        </is>
      </c>
      <c r="B94" s="83" t="inlineStr">
        <is>
          <t>Secured by Farmland</t>
        </is>
      </c>
      <c r="C94" s="336" t="inlineStr">
        <is>
          <t>Commercial Loans/Lines of Credit Real Estate Secured</t>
        </is>
      </c>
      <c r="D94" s="863" t="n"/>
      <c r="E94" s="863" t="n"/>
      <c r="F94" s="863" t="n"/>
      <c r="G94" s="863" t="n"/>
      <c r="H94" s="863" t="n"/>
      <c r="I94" s="863" t="n"/>
      <c r="J94" s="863" t="n"/>
      <c r="K94" s="863" t="n"/>
      <c r="L94" s="863" t="n"/>
      <c r="M94" s="863" t="n"/>
      <c r="N94" s="863" t="n"/>
      <c r="O94" s="863" t="n"/>
      <c r="P94" s="863" t="n"/>
      <c r="Q94" s="863" t="n"/>
      <c r="R94" s="863" t="n"/>
      <c r="S94" s="863" t="n"/>
      <c r="T94" s="863" t="n"/>
      <c r="U94" s="863" t="n"/>
      <c r="V94" s="863" t="n"/>
      <c r="W94" s="863" t="n"/>
      <c r="X94" s="863" t="n"/>
      <c r="Y94" s="863" t="n"/>
      <c r="Z94" s="863" t="n"/>
      <c r="AA94" s="863" t="n"/>
      <c r="AB94" s="863" t="n"/>
      <c r="AC94" s="863" t="n"/>
      <c r="AD94" s="863" t="n"/>
      <c r="AE94" s="863" t="n"/>
      <c r="AF94" s="863" t="n"/>
      <c r="AG94" s="863" t="n"/>
      <c r="AH94" s="863" t="n"/>
      <c r="AI94" s="863" t="n"/>
      <c r="AJ94" s="862" t="n"/>
      <c r="AK94" s="862" t="n"/>
      <c r="AL94" s="862" t="n"/>
      <c r="AM94" s="862" t="n"/>
      <c r="AN94" s="862" t="n"/>
      <c r="AO94" s="862" t="n"/>
      <c r="AP94" s="862" t="n"/>
      <c r="AQ94" s="862" t="n"/>
      <c r="AR94" s="862" t="n"/>
      <c r="AS94" s="862" t="n"/>
      <c r="AT94" s="862" t="n"/>
      <c r="AU94" s="862" t="n"/>
      <c r="AV94" s="862" t="n"/>
      <c r="AW94" s="862" t="n"/>
      <c r="AX94" s="862" t="n"/>
      <c r="AY94" s="862" t="n"/>
    </row>
    <row r="95" ht="17.25" customFormat="1" customHeight="1" s="86" thickBot="1" thickTop="1">
      <c r="A95" s="96" t="inlineStr">
        <is>
          <t>CH0027</t>
        </is>
      </c>
      <c r="B95" s="83" t="inlineStr">
        <is>
          <t>Secured by Multifamily</t>
        </is>
      </c>
      <c r="C95" s="336" t="inlineStr">
        <is>
          <t>Commercial Loans/Lines of Credit Real Estate Secured</t>
        </is>
      </c>
      <c r="D95" s="863" t="n"/>
      <c r="E95" s="863" t="n"/>
      <c r="F95" s="863" t="n"/>
      <c r="G95" s="863" t="n"/>
      <c r="H95" s="863" t="n"/>
      <c r="I95" s="863" t="n"/>
      <c r="J95" s="863" t="n"/>
      <c r="K95" s="863" t="n"/>
      <c r="L95" s="863" t="n"/>
      <c r="M95" s="863" t="n"/>
      <c r="N95" s="863" t="n"/>
      <c r="O95" s="863" t="n"/>
      <c r="P95" s="863" t="n"/>
      <c r="Q95" s="863" t="n"/>
      <c r="R95" s="863" t="n"/>
      <c r="S95" s="863" t="n"/>
      <c r="T95" s="863" t="n"/>
      <c r="U95" s="863" t="n"/>
      <c r="V95" s="863" t="n"/>
      <c r="W95" s="863" t="n"/>
      <c r="X95" s="863" t="n"/>
      <c r="Y95" s="863" t="n"/>
      <c r="Z95" s="863" t="n"/>
      <c r="AA95" s="863" t="n"/>
      <c r="AB95" s="863" t="n"/>
      <c r="AC95" s="863" t="n"/>
      <c r="AD95" s="863" t="n"/>
      <c r="AE95" s="863" t="n"/>
      <c r="AF95" s="863" t="n"/>
      <c r="AG95" s="863" t="n"/>
      <c r="AH95" s="863" t="n"/>
      <c r="AI95" s="863" t="n"/>
      <c r="AJ95" s="862" t="n"/>
      <c r="AK95" s="862" t="n"/>
      <c r="AL95" s="862" t="n"/>
      <c r="AM95" s="862" t="n"/>
      <c r="AN95" s="862" t="n"/>
      <c r="AO95" s="862" t="n"/>
      <c r="AP95" s="862" t="n"/>
      <c r="AQ95" s="862" t="n"/>
      <c r="AR95" s="862" t="n"/>
      <c r="AS95" s="862" t="n"/>
      <c r="AT95" s="862" t="n"/>
      <c r="AU95" s="862" t="n"/>
      <c r="AV95" s="862" t="n"/>
      <c r="AW95" s="862" t="n"/>
      <c r="AX95" s="862" t="n"/>
      <c r="AY95" s="862" t="n"/>
    </row>
    <row r="96" ht="17.25" customFormat="1" customHeight="1" s="86" thickBot="1" thickTop="1">
      <c r="A96" s="96" t="inlineStr">
        <is>
          <t>CH0029</t>
        </is>
      </c>
      <c r="B96" s="83" t="inlineStr">
        <is>
          <t>Secured by Owner Occupied, Non-Farm, Non-Residential Property</t>
        </is>
      </c>
      <c r="C96" s="336" t="inlineStr">
        <is>
          <t>Commercial Loans/Lines of Credit Not Real Estate Secured</t>
        </is>
      </c>
      <c r="D96" s="863" t="n"/>
      <c r="E96" s="863" t="n"/>
      <c r="F96" s="863" t="n"/>
      <c r="G96" s="863" t="n"/>
      <c r="H96" s="863" t="n"/>
      <c r="I96" s="863" t="n"/>
      <c r="J96" s="863" t="n"/>
      <c r="K96" s="863" t="n"/>
      <c r="L96" s="863" t="n"/>
      <c r="M96" s="863" t="n"/>
      <c r="N96" s="863" t="n"/>
      <c r="O96" s="863" t="n"/>
      <c r="P96" s="863" t="n"/>
      <c r="Q96" s="863" t="n"/>
      <c r="R96" s="863" t="n"/>
      <c r="S96" s="863" t="n"/>
      <c r="T96" s="863" t="n"/>
      <c r="U96" s="863" t="n"/>
      <c r="V96" s="863" t="n"/>
      <c r="W96" s="863" t="n"/>
      <c r="X96" s="863" t="n"/>
      <c r="Y96" s="863" t="n"/>
      <c r="Z96" s="863" t="n"/>
      <c r="AA96" s="863" t="n"/>
      <c r="AB96" s="863" t="n"/>
      <c r="AC96" s="863" t="n"/>
      <c r="AD96" s="863" t="n"/>
      <c r="AE96" s="863" t="n"/>
      <c r="AF96" s="863" t="n"/>
      <c r="AG96" s="863" t="n"/>
      <c r="AH96" s="863" t="n"/>
      <c r="AI96" s="863" t="n"/>
      <c r="AJ96" s="862" t="n"/>
      <c r="AK96" s="862" t="n"/>
      <c r="AL96" s="862" t="n"/>
      <c r="AM96" s="862" t="n"/>
      <c r="AN96" s="862" t="n"/>
      <c r="AO96" s="862" t="n"/>
      <c r="AP96" s="862" t="n"/>
      <c r="AQ96" s="862" t="n"/>
      <c r="AR96" s="862" t="n"/>
      <c r="AS96" s="862" t="n"/>
      <c r="AT96" s="862" t="n"/>
      <c r="AU96" s="862" t="n"/>
      <c r="AV96" s="862" t="n"/>
      <c r="AW96" s="862" t="n"/>
      <c r="AX96" s="862" t="n"/>
      <c r="AY96" s="862" t="n"/>
    </row>
    <row r="97" ht="17.25" customFormat="1" customHeight="1" s="86" thickBot="1" thickTop="1">
      <c r="A97" s="96" t="inlineStr">
        <is>
          <t>CH0031</t>
        </is>
      </c>
      <c r="B97" s="83" t="inlineStr">
        <is>
          <t>Secured by Non-Owner Occupied, Non-Farm, Non-Residential Property</t>
        </is>
      </c>
      <c r="C97" s="336" t="inlineStr">
        <is>
          <t>Commercial Loans/Lines of Credit Not Real Estate Secured</t>
        </is>
      </c>
      <c r="D97" s="863" t="n"/>
      <c r="E97" s="863" t="n"/>
      <c r="F97" s="863" t="n"/>
      <c r="G97" s="863" t="n"/>
      <c r="H97" s="863" t="n"/>
      <c r="I97" s="863" t="n"/>
      <c r="J97" s="863" t="n"/>
      <c r="K97" s="863" t="n"/>
      <c r="L97" s="863" t="n"/>
      <c r="M97" s="863" t="n"/>
      <c r="N97" s="863" t="n"/>
      <c r="O97" s="863" t="n"/>
      <c r="P97" s="863" t="n"/>
      <c r="Q97" s="863" t="n"/>
      <c r="R97" s="863" t="n"/>
      <c r="S97" s="863" t="n"/>
      <c r="T97" s="863" t="n"/>
      <c r="U97" s="863" t="n"/>
      <c r="V97" s="863" t="n"/>
      <c r="W97" s="863" t="n"/>
      <c r="X97" s="863" t="n"/>
      <c r="Y97" s="863" t="n"/>
      <c r="Z97" s="863" t="n"/>
      <c r="AA97" s="863" t="n"/>
      <c r="AB97" s="863" t="n"/>
      <c r="AC97" s="863" t="n"/>
      <c r="AD97" s="863" t="n"/>
      <c r="AE97" s="863" t="n"/>
      <c r="AF97" s="863" t="n"/>
      <c r="AG97" s="863" t="n"/>
      <c r="AH97" s="863" t="n"/>
      <c r="AI97" s="863" t="n"/>
      <c r="AJ97" s="862" t="n"/>
      <c r="AK97" s="862" t="n"/>
      <c r="AL97" s="862" t="n"/>
      <c r="AM97" s="862" t="n"/>
      <c r="AN97" s="862" t="n"/>
      <c r="AO97" s="862" t="n"/>
      <c r="AP97" s="862" t="n"/>
      <c r="AQ97" s="862" t="n"/>
      <c r="AR97" s="862" t="n"/>
      <c r="AS97" s="862" t="n"/>
      <c r="AT97" s="862" t="n"/>
      <c r="AU97" s="862" t="n"/>
      <c r="AV97" s="862" t="n"/>
      <c r="AW97" s="862" t="n"/>
      <c r="AX97" s="862" t="n"/>
      <c r="AY97" s="862" t="n"/>
    </row>
    <row r="98" ht="17.25" customFormat="1" customHeight="1" s="86" thickBot="1" thickTop="1">
      <c r="A98" s="96" t="inlineStr">
        <is>
          <t>CH0033</t>
        </is>
      </c>
      <c r="B98" s="83" t="inlineStr">
        <is>
          <t>Loans to finance agricultural production and other loans to farmers</t>
        </is>
      </c>
      <c r="C98" s="336" t="inlineStr">
        <is>
          <t>Commercial Loans/Lines of Credit Not Real Estate Secured</t>
        </is>
      </c>
      <c r="D98" s="863" t="n"/>
      <c r="E98" s="863" t="n"/>
      <c r="F98" s="863" t="n"/>
      <c r="G98" s="863" t="n"/>
      <c r="H98" s="863" t="n"/>
      <c r="I98" s="863" t="n"/>
      <c r="J98" s="863" t="n"/>
      <c r="K98" s="863" t="n"/>
      <c r="L98" s="863" t="n"/>
      <c r="M98" s="863" t="n"/>
      <c r="N98" s="863" t="n"/>
      <c r="O98" s="863" t="n"/>
      <c r="P98" s="863" t="n"/>
      <c r="Q98" s="863" t="n"/>
      <c r="R98" s="863" t="n"/>
      <c r="S98" s="863" t="n"/>
      <c r="T98" s="863" t="n"/>
      <c r="U98" s="863" t="n"/>
      <c r="V98" s="863" t="n"/>
      <c r="W98" s="863" t="n"/>
      <c r="X98" s="863" t="n"/>
      <c r="Y98" s="863" t="n"/>
      <c r="Z98" s="863" t="n"/>
      <c r="AA98" s="863" t="n"/>
      <c r="AB98" s="863" t="n"/>
      <c r="AC98" s="863" t="n"/>
      <c r="AD98" s="863" t="n"/>
      <c r="AE98" s="863" t="n"/>
      <c r="AF98" s="863" t="n"/>
      <c r="AG98" s="863" t="n"/>
      <c r="AH98" s="863" t="n"/>
      <c r="AI98" s="863" t="n"/>
      <c r="AJ98" s="862" t="n"/>
      <c r="AK98" s="862" t="n"/>
      <c r="AL98" s="862" t="n"/>
      <c r="AM98" s="862" t="n"/>
      <c r="AN98" s="862" t="n"/>
      <c r="AO98" s="862" t="n"/>
      <c r="AP98" s="862" t="n"/>
      <c r="AQ98" s="862" t="n"/>
      <c r="AR98" s="862" t="n"/>
      <c r="AS98" s="862" t="n"/>
      <c r="AT98" s="862" t="n"/>
      <c r="AU98" s="862" t="n"/>
      <c r="AV98" s="862" t="n"/>
      <c r="AW98" s="862" t="n"/>
      <c r="AX98" s="862" t="n"/>
      <c r="AY98" s="862" t="n"/>
    </row>
    <row r="99" ht="17.25" customFormat="1" customHeight="1" s="86" thickBot="1" thickTop="1">
      <c r="A99" s="96" t="inlineStr">
        <is>
          <t>CH0035</t>
        </is>
      </c>
      <c r="B99" s="83" t="inlineStr">
        <is>
          <t>Commercial and Industrial Loans</t>
        </is>
      </c>
      <c r="C99" s="336" t="inlineStr">
        <is>
          <t>Commercial Loans/Lines of Credit Real Estate Secured</t>
        </is>
      </c>
      <c r="D99" s="863" t="n"/>
      <c r="E99" s="863" t="n"/>
      <c r="F99" s="863" t="n"/>
      <c r="G99" s="863" t="n"/>
      <c r="H99" s="863" t="n"/>
      <c r="I99" s="863" t="n"/>
      <c r="J99" s="863" t="n"/>
      <c r="K99" s="863" t="n"/>
      <c r="L99" s="863" t="n"/>
      <c r="M99" s="863" t="n"/>
      <c r="N99" s="863" t="n"/>
      <c r="O99" s="863" t="n"/>
      <c r="P99" s="863" t="n"/>
      <c r="Q99" s="863" t="n"/>
      <c r="R99" s="863" t="n"/>
      <c r="S99" s="863" t="n"/>
      <c r="T99" s="863" t="n"/>
      <c r="U99" s="863" t="n"/>
      <c r="V99" s="863" t="n"/>
      <c r="W99" s="863" t="n"/>
      <c r="X99" s="863" t="n"/>
      <c r="Y99" s="863" t="n"/>
      <c r="Z99" s="863" t="n"/>
      <c r="AA99" s="863" t="n"/>
      <c r="AB99" s="863" t="n"/>
      <c r="AC99" s="863" t="n"/>
      <c r="AD99" s="863" t="n"/>
      <c r="AE99" s="863" t="n"/>
      <c r="AF99" s="863" t="n"/>
      <c r="AG99" s="863" t="n"/>
      <c r="AH99" s="863" t="n"/>
      <c r="AI99" s="863" t="n"/>
      <c r="AJ99" s="862" t="n"/>
      <c r="AK99" s="862" t="n"/>
      <c r="AL99" s="862" t="n"/>
      <c r="AM99" s="862" t="n"/>
      <c r="AN99" s="862" t="n"/>
      <c r="AO99" s="862" t="n"/>
      <c r="AP99" s="862" t="n"/>
      <c r="AQ99" s="862" t="n"/>
      <c r="AR99" s="862" t="n"/>
      <c r="AS99" s="862" t="n"/>
      <c r="AT99" s="862" t="n"/>
      <c r="AU99" s="862" t="n"/>
      <c r="AV99" s="862" t="n"/>
      <c r="AW99" s="862" t="n"/>
      <c r="AX99" s="862" t="n"/>
      <c r="AY99" s="862" t="n"/>
    </row>
    <row r="100" ht="17.25" customFormat="1" customHeight="1" s="86" thickBot="1" thickTop="1">
      <c r="A100" s="96" t="inlineStr">
        <is>
          <t>CH0037</t>
        </is>
      </c>
      <c r="B100" s="83" t="inlineStr">
        <is>
          <t>Unsecured Commercial Loans</t>
        </is>
      </c>
      <c r="C100" s="336" t="inlineStr">
        <is>
          <t>Commercial Loans/Lines of Credit Not Real Estate Secured</t>
        </is>
      </c>
      <c r="D100" s="863" t="n"/>
      <c r="E100" s="863" t="n"/>
      <c r="F100" s="863" t="n"/>
      <c r="G100" s="863" t="n"/>
      <c r="H100" s="863" t="n"/>
      <c r="I100" s="863" t="n"/>
      <c r="J100" s="863" t="n"/>
      <c r="K100" s="863" t="n"/>
      <c r="L100" s="863" t="n"/>
      <c r="M100" s="863" t="n"/>
      <c r="N100" s="863" t="n"/>
      <c r="O100" s="863" t="n"/>
      <c r="P100" s="863" t="n"/>
      <c r="Q100" s="863" t="n"/>
      <c r="R100" s="863" t="n"/>
      <c r="S100" s="863" t="n"/>
      <c r="T100" s="863" t="n"/>
      <c r="U100" s="863" t="n"/>
      <c r="V100" s="863" t="n"/>
      <c r="W100" s="863" t="n"/>
      <c r="X100" s="863" t="n"/>
      <c r="Y100" s="863" t="n"/>
      <c r="Z100" s="863" t="n"/>
      <c r="AA100" s="863" t="n"/>
      <c r="AB100" s="863" t="n"/>
      <c r="AC100" s="863" t="n"/>
      <c r="AD100" s="863" t="n"/>
      <c r="AE100" s="863" t="n"/>
      <c r="AF100" s="863" t="n"/>
      <c r="AG100" s="863" t="n"/>
      <c r="AH100" s="863" t="n"/>
      <c r="AI100" s="863" t="n"/>
      <c r="AJ100" s="862" t="n"/>
      <c r="AK100" s="862" t="n"/>
      <c r="AL100" s="862" t="n"/>
      <c r="AM100" s="862" t="n"/>
      <c r="AN100" s="862" t="n"/>
      <c r="AO100" s="862" t="n"/>
      <c r="AP100" s="862" t="n"/>
      <c r="AQ100" s="862" t="n"/>
      <c r="AR100" s="862" t="n"/>
      <c r="AS100" s="862" t="n"/>
      <c r="AT100" s="862" t="n"/>
      <c r="AU100" s="862" t="n"/>
      <c r="AV100" s="862" t="n"/>
      <c r="AW100" s="862" t="n"/>
      <c r="AX100" s="862" t="n"/>
      <c r="AY100" s="862" t="n"/>
    </row>
    <row r="101" ht="17.25" customFormat="1" customHeight="1" s="85" thickBot="1" thickTop="1">
      <c r="A101" s="96" t="inlineStr">
        <is>
          <t>CH0039</t>
        </is>
      </c>
      <c r="B101" s="87" t="inlineStr">
        <is>
          <t>Unsecured Revolving Lines of Credit for Commercial Purposes</t>
        </is>
      </c>
      <c r="C101" s="336" t="inlineStr">
        <is>
          <t>Commercial Loans/Lines of Credit Not Real Estate Secured</t>
        </is>
      </c>
      <c r="D101" s="867" t="n"/>
      <c r="E101" s="867" t="n"/>
      <c r="F101" s="867" t="n"/>
      <c r="G101" s="867" t="n"/>
      <c r="H101" s="867" t="n"/>
      <c r="I101" s="867" t="n"/>
      <c r="J101" s="867" t="n"/>
      <c r="K101" s="867" t="n"/>
      <c r="L101" s="867" t="n"/>
      <c r="M101" s="867" t="n"/>
      <c r="N101" s="867" t="n"/>
      <c r="O101" s="867" t="n"/>
      <c r="P101" s="867" t="n"/>
      <c r="Q101" s="867" t="n"/>
      <c r="R101" s="867" t="n"/>
      <c r="S101" s="867" t="n"/>
      <c r="T101" s="867" t="n"/>
      <c r="U101" s="867" t="n"/>
      <c r="V101" s="867" t="n"/>
      <c r="W101" s="867" t="n"/>
      <c r="X101" s="867" t="n"/>
      <c r="Y101" s="867" t="n"/>
      <c r="Z101" s="867" t="n"/>
      <c r="AA101" s="867" t="n"/>
      <c r="AB101" s="867" t="n"/>
      <c r="AC101" s="867" t="n"/>
      <c r="AD101" s="867" t="n"/>
      <c r="AE101" s="867" t="n"/>
      <c r="AF101" s="867" t="n"/>
      <c r="AG101" s="867" t="n"/>
      <c r="AH101" s="867" t="n"/>
      <c r="AI101" s="867" t="n"/>
      <c r="AJ101" s="866" t="n"/>
      <c r="AK101" s="866" t="n"/>
      <c r="AL101" s="866" t="n"/>
      <c r="AM101" s="866" t="n"/>
      <c r="AN101" s="866" t="n"/>
      <c r="AO101" s="866" t="n"/>
      <c r="AP101" s="866" t="n"/>
      <c r="AQ101" s="866" t="n"/>
      <c r="AR101" s="866" t="n"/>
      <c r="AS101" s="866" t="n"/>
      <c r="AT101" s="866" t="n"/>
      <c r="AU101" s="866" t="n"/>
      <c r="AV101" s="866" t="n"/>
      <c r="AW101" s="866" t="n"/>
      <c r="AX101" s="866" t="n"/>
      <c r="AY101" s="866" t="n"/>
    </row>
    <row r="102" ht="16.5" customFormat="1" customHeight="1" s="85" thickBot="1">
      <c r="A102" s="96" t="inlineStr">
        <is>
          <t>550</t>
        </is>
      </c>
      <c r="B102" s="87" t="inlineStr">
        <is>
          <t xml:space="preserve">Total Charge offs </t>
        </is>
      </c>
      <c r="C102" s="328" t="n"/>
      <c r="D102" s="867">
        <f>SUM(D73:D101)</f>
        <v/>
      </c>
      <c r="E102" s="867">
        <f>SUM(E73:E101)</f>
        <v/>
      </c>
      <c r="F102" s="867">
        <f>SUM(F73:F101)</f>
        <v/>
      </c>
      <c r="G102" s="867">
        <f>SUM(G73:G101)</f>
        <v/>
      </c>
      <c r="H102" s="867">
        <f>SUM(H73:H101)</f>
        <v/>
      </c>
      <c r="I102" s="867">
        <f>SUM(I73:I101)</f>
        <v/>
      </c>
      <c r="J102" s="867">
        <f>SUM(J73:J101)</f>
        <v/>
      </c>
      <c r="K102" s="867">
        <f>SUM(K73:K101)</f>
        <v/>
      </c>
      <c r="L102" s="867">
        <f>SUM(L73:L101)</f>
        <v/>
      </c>
      <c r="M102" s="867">
        <f>SUM(M73:M101)</f>
        <v/>
      </c>
      <c r="N102" s="867">
        <f>SUM(N73:N101)</f>
        <v/>
      </c>
      <c r="O102" s="867">
        <f>SUM(O73:O101)</f>
        <v/>
      </c>
      <c r="P102" s="867">
        <f>SUM(P73:P101)</f>
        <v/>
      </c>
      <c r="Q102" s="867">
        <f>SUM(Q73:Q101)</f>
        <v/>
      </c>
      <c r="R102" s="867">
        <f>SUM(R73:R101)</f>
        <v/>
      </c>
      <c r="S102" s="867">
        <f>SUM(S73:S101)</f>
        <v/>
      </c>
      <c r="T102" s="867">
        <f>SUM(T73:T101)</f>
        <v/>
      </c>
      <c r="U102" s="867">
        <f>SUM(U73:U101)</f>
        <v/>
      </c>
      <c r="V102" s="867">
        <f>SUM(V73:V101)</f>
        <v/>
      </c>
      <c r="W102" s="867">
        <f>SUM(W73:W101)</f>
        <v/>
      </c>
      <c r="X102" s="867">
        <f>SUM(X73:X101)</f>
        <v/>
      </c>
      <c r="Y102" s="867">
        <f>SUM(Y73:Y101)</f>
        <v/>
      </c>
      <c r="Z102" s="867">
        <f>SUM(Z73:Z101)</f>
        <v/>
      </c>
      <c r="AA102" s="867">
        <f>SUM(AA73:AA101)</f>
        <v/>
      </c>
      <c r="AB102" s="867">
        <f>SUM(AB73:AB101)</f>
        <v/>
      </c>
      <c r="AC102" s="867">
        <f>SUM(AC73:AC101)</f>
        <v/>
      </c>
      <c r="AD102" s="867">
        <f>SUM(AD73:AD101)</f>
        <v/>
      </c>
      <c r="AE102" s="867">
        <f>SUM(AE73:AE101)</f>
        <v/>
      </c>
      <c r="AF102" s="867">
        <f>SUM(AF73:AF101)</f>
        <v/>
      </c>
      <c r="AG102" s="867">
        <f>SUM(AG73:AG101)</f>
        <v/>
      </c>
      <c r="AH102" s="867">
        <f>SUM(AH73:AH101)</f>
        <v/>
      </c>
      <c r="AI102" s="867">
        <f>SUM(AI73:AI101)</f>
        <v/>
      </c>
      <c r="AJ102" s="867">
        <f>SUM(AJ73:AJ101)</f>
        <v/>
      </c>
      <c r="AK102" s="867">
        <f>SUM(AK73:AK101)</f>
        <v/>
      </c>
      <c r="AL102" s="867">
        <f>SUM(AL73:AL101)</f>
        <v/>
      </c>
      <c r="AM102" s="867">
        <f>SUM(AM73:AM101)</f>
        <v/>
      </c>
      <c r="AN102" s="867">
        <f>SUM(AN73:AN101)</f>
        <v/>
      </c>
      <c r="AO102" s="867">
        <f>SUM(AO73:AO101)</f>
        <v/>
      </c>
      <c r="AP102" s="867">
        <f>SUM(AP73:AP101)</f>
        <v/>
      </c>
      <c r="AQ102" s="867">
        <f>SUM(AQ73:AQ101)</f>
        <v/>
      </c>
      <c r="AR102" s="867">
        <f>SUM(AR73:AR101)</f>
        <v/>
      </c>
      <c r="AS102" s="867">
        <f>SUM(AS73:AS101)</f>
        <v/>
      </c>
      <c r="AT102" s="867">
        <f>SUM(AT73:AT101)</f>
        <v/>
      </c>
      <c r="AU102" s="867">
        <f>SUM(AU73:AU101)</f>
        <v/>
      </c>
      <c r="AV102" s="867">
        <f>SUM(AV73:AV101)</f>
        <v/>
      </c>
      <c r="AW102" s="867">
        <f>SUM(AW73:AW101)</f>
        <v/>
      </c>
      <c r="AX102" s="867">
        <f>SUM(AX73:AX101)</f>
        <v/>
      </c>
      <c r="AY102" s="867">
        <f>SUM(AY73:AY101)</f>
        <v/>
      </c>
    </row>
    <row r="103" ht="12.75" customFormat="1" customHeight="1" s="85">
      <c r="A103" s="96" t="n"/>
      <c r="B103" s="256" t="n"/>
      <c r="C103" s="256" t="n"/>
      <c r="D103" s="256" t="n"/>
      <c r="E103" s="256" t="n"/>
      <c r="F103" s="256" t="n"/>
      <c r="G103" s="256" t="n"/>
      <c r="H103" s="256" t="n"/>
      <c r="I103" s="256" t="n"/>
      <c r="J103" s="256" t="n"/>
      <c r="K103" s="256" t="n"/>
      <c r="L103" s="256" t="n"/>
      <c r="M103" s="256" t="n"/>
      <c r="N103" s="256" t="n"/>
      <c r="O103" s="256" t="n"/>
      <c r="P103" s="256" t="n"/>
      <c r="Q103" s="256" t="n"/>
      <c r="R103" s="256" t="n"/>
      <c r="S103" s="256" t="n"/>
      <c r="T103" s="256" t="n"/>
      <c r="U103" s="256" t="n"/>
      <c r="V103" s="256" t="n"/>
      <c r="W103" s="256" t="n"/>
      <c r="X103" s="256" t="n"/>
      <c r="Y103" s="256" t="n"/>
      <c r="Z103" s="256" t="n"/>
      <c r="AA103" s="256" t="n"/>
      <c r="AB103" s="256" t="n"/>
      <c r="AC103" s="256" t="n"/>
      <c r="AD103" s="256" t="n"/>
      <c r="AE103" s="256" t="n"/>
      <c r="AF103" s="256" t="n"/>
      <c r="AG103" s="256" t="n"/>
      <c r="AH103" s="256" t="n"/>
      <c r="AI103" s="256" t="n"/>
      <c r="AJ103" s="256" t="n"/>
      <c r="AK103" s="256" t="n"/>
      <c r="AL103" s="256" t="n"/>
      <c r="AM103" s="256" t="n"/>
      <c r="AN103" s="256" t="n"/>
      <c r="AO103" s="256" t="n"/>
      <c r="AP103" s="256" t="n"/>
      <c r="AQ103" s="256" t="n"/>
      <c r="AR103" s="256" t="n"/>
      <c r="AS103" s="256" t="n"/>
      <c r="AT103" s="256" t="n"/>
      <c r="AU103" s="256" t="n"/>
      <c r="AV103" s="256" t="n"/>
      <c r="AW103" s="256" t="n"/>
      <c r="AX103" s="256" t="n"/>
      <c r="AY103" s="256" t="n"/>
    </row>
    <row r="104" ht="13.5" customFormat="1" customHeight="1" s="85" thickBot="1">
      <c r="A104" s="96" t="n"/>
      <c r="B104" s="256" t="n"/>
      <c r="C104" s="256" t="n"/>
      <c r="D104" s="256" t="n"/>
      <c r="E104" s="256" t="n"/>
      <c r="F104" s="256" t="n"/>
      <c r="G104" s="256" t="n"/>
      <c r="H104" s="256" t="n"/>
      <c r="I104" s="256" t="n"/>
      <c r="J104" s="256" t="n"/>
      <c r="K104" s="256" t="n"/>
      <c r="L104" s="256" t="n"/>
      <c r="M104" s="256" t="n"/>
      <c r="N104" s="256" t="n"/>
      <c r="O104" s="256" t="n"/>
      <c r="P104" s="256" t="n"/>
      <c r="Q104" s="256" t="n"/>
      <c r="R104" s="256" t="n"/>
      <c r="S104" s="256" t="n"/>
      <c r="T104" s="256" t="n"/>
      <c r="U104" s="256" t="n"/>
      <c r="V104" s="256" t="n"/>
      <c r="W104" s="256" t="n"/>
      <c r="X104" s="256" t="n"/>
      <c r="Y104" s="256" t="n"/>
      <c r="Z104" s="256" t="n"/>
      <c r="AA104" s="256" t="n"/>
      <c r="AB104" s="256" t="n"/>
      <c r="AC104" s="256" t="n"/>
      <c r="AD104" s="256" t="n"/>
      <c r="AE104" s="256" t="n"/>
      <c r="AF104" s="256" t="n"/>
      <c r="AG104" s="256" t="n"/>
      <c r="AH104" s="256" t="n"/>
      <c r="AI104" s="256" t="n"/>
      <c r="AJ104" s="256" t="n"/>
      <c r="AK104" s="256" t="n"/>
      <c r="AL104" s="256" t="n"/>
      <c r="AM104" s="256" t="n"/>
      <c r="AN104" s="256" t="n"/>
      <c r="AO104" s="256" t="n"/>
      <c r="AP104" s="256" t="n"/>
      <c r="AQ104" s="256" t="n"/>
      <c r="AR104" s="256" t="n"/>
      <c r="AS104" s="256" t="n"/>
      <c r="AT104" s="256" t="n"/>
      <c r="AU104" s="256" t="n"/>
      <c r="AV104" s="256" t="n"/>
      <c r="AW104" s="256" t="n"/>
      <c r="AX104" s="256" t="n"/>
      <c r="AY104" s="256" t="n"/>
    </row>
    <row r="105" ht="13.5" customFormat="1" customHeight="1" s="85" thickBot="1">
      <c r="A105" s="96" t="n"/>
      <c r="B105" s="259" t="inlineStr">
        <is>
          <t>Recoveries</t>
        </is>
      </c>
      <c r="C105" s="329" t="n"/>
      <c r="D105" s="260">
        <f>D8</f>
        <v/>
      </c>
      <c r="E105" s="260">
        <f>E8</f>
        <v/>
      </c>
      <c r="F105" s="260">
        <f>F8</f>
        <v/>
      </c>
      <c r="G105" s="260">
        <f>G8</f>
        <v/>
      </c>
      <c r="H105" s="260">
        <f>H8</f>
        <v/>
      </c>
      <c r="I105" s="260">
        <f>I8</f>
        <v/>
      </c>
      <c r="J105" s="260">
        <f>J8</f>
        <v/>
      </c>
      <c r="K105" s="260">
        <f>K8</f>
        <v/>
      </c>
      <c r="L105" s="260">
        <f>L8</f>
        <v/>
      </c>
      <c r="M105" s="260">
        <f>M8</f>
        <v/>
      </c>
      <c r="N105" s="260">
        <f>N8</f>
        <v/>
      </c>
      <c r="O105" s="260">
        <f>O8</f>
        <v/>
      </c>
      <c r="P105" s="260">
        <f>P8</f>
        <v/>
      </c>
      <c r="Q105" s="260">
        <f>Q8</f>
        <v/>
      </c>
      <c r="R105" s="260">
        <f>R8</f>
        <v/>
      </c>
      <c r="S105" s="260">
        <f>S8</f>
        <v/>
      </c>
      <c r="T105" s="260">
        <f>T8</f>
        <v/>
      </c>
      <c r="U105" s="260">
        <f>U8</f>
        <v/>
      </c>
      <c r="V105" s="260">
        <f>V8</f>
        <v/>
      </c>
      <c r="W105" s="260">
        <f>W8</f>
        <v/>
      </c>
      <c r="X105" s="260">
        <f>X8</f>
        <v/>
      </c>
      <c r="Y105" s="260">
        <f>Y8</f>
        <v/>
      </c>
      <c r="Z105" s="260">
        <f>Z8</f>
        <v/>
      </c>
      <c r="AA105" s="260">
        <f>AA8</f>
        <v/>
      </c>
      <c r="AB105" s="260">
        <f>AB8</f>
        <v/>
      </c>
      <c r="AC105" s="260">
        <f>AC8</f>
        <v/>
      </c>
      <c r="AD105" s="260">
        <f>AD8</f>
        <v/>
      </c>
      <c r="AE105" s="260">
        <f>AE8</f>
        <v/>
      </c>
      <c r="AF105" s="260">
        <f>AF8</f>
        <v/>
      </c>
      <c r="AG105" s="260">
        <f>AG8</f>
        <v/>
      </c>
      <c r="AH105" s="260">
        <f>AH8</f>
        <v/>
      </c>
      <c r="AI105" s="260">
        <f>AI8</f>
        <v/>
      </c>
      <c r="AJ105" s="260">
        <f>AJ8</f>
        <v/>
      </c>
      <c r="AK105" s="260">
        <f>AK8</f>
        <v/>
      </c>
      <c r="AL105" s="260">
        <f>AL8</f>
        <v/>
      </c>
      <c r="AM105" s="260">
        <f>AM8</f>
        <v/>
      </c>
      <c r="AN105" s="260">
        <f>AN8</f>
        <v/>
      </c>
      <c r="AO105" s="260">
        <f>AO8</f>
        <v/>
      </c>
      <c r="AP105" s="260">
        <f>AP8</f>
        <v/>
      </c>
      <c r="AQ105" s="260">
        <f>AQ8</f>
        <v/>
      </c>
      <c r="AR105" s="260">
        <f>AR8</f>
        <v/>
      </c>
      <c r="AS105" s="260">
        <f>AS8</f>
        <v/>
      </c>
      <c r="AT105" s="260">
        <f>AT8</f>
        <v/>
      </c>
      <c r="AU105" s="260">
        <f>AU8</f>
        <v/>
      </c>
      <c r="AV105" s="260">
        <f>AV8</f>
        <v/>
      </c>
      <c r="AW105" s="260">
        <f>AW8</f>
        <v/>
      </c>
      <c r="AX105" s="260">
        <f>AX8</f>
        <v/>
      </c>
      <c r="AY105" s="260">
        <f>AY8</f>
        <v/>
      </c>
      <c r="BA105" s="91" t="n"/>
    </row>
    <row r="106" ht="17.25" customFormat="1" customHeight="1" s="85" thickBot="1" thickTop="1">
      <c r="A106" s="96" t="inlineStr">
        <is>
          <t>681</t>
        </is>
      </c>
      <c r="B106" s="83">
        <f>B73</f>
        <v/>
      </c>
      <c r="C106" s="336" t="inlineStr">
        <is>
          <t>Unsecured Credit Card Loans</t>
        </is>
      </c>
      <c r="D106" s="862" t="n"/>
      <c r="E106" s="862" t="n"/>
      <c r="F106" s="862" t="n"/>
      <c r="G106" s="862" t="n"/>
      <c r="H106" s="862" t="n"/>
      <c r="I106" s="862" t="n"/>
      <c r="J106" s="862" t="n"/>
      <c r="K106" s="862" t="n"/>
      <c r="L106" s="862" t="n"/>
      <c r="M106" s="862" t="n"/>
      <c r="N106" s="862" t="n"/>
      <c r="O106" s="862" t="n"/>
      <c r="P106" s="862" t="n"/>
      <c r="Q106" s="862" t="n"/>
      <c r="R106" s="862" t="n"/>
      <c r="S106" s="862" t="n"/>
      <c r="T106" s="862" t="n"/>
      <c r="U106" s="862" t="n"/>
      <c r="V106" s="862" t="n"/>
      <c r="W106" s="862" t="n"/>
      <c r="X106" s="862" t="n"/>
      <c r="Y106" s="862" t="n"/>
      <c r="Z106" s="862" t="n"/>
      <c r="AA106" s="862" t="n"/>
      <c r="AB106" s="862" t="n"/>
      <c r="AC106" s="862" t="n"/>
      <c r="AD106" s="862" t="n"/>
      <c r="AE106" s="862" t="n"/>
      <c r="AF106" s="862" t="n"/>
      <c r="AG106" s="862" t="n"/>
      <c r="AH106" s="862" t="n"/>
      <c r="AI106" s="862" t="n"/>
      <c r="AJ106" s="863" t="n"/>
      <c r="AK106" s="863" t="n"/>
      <c r="AL106" s="863" t="n"/>
      <c r="AM106" s="863" t="n"/>
      <c r="AN106" s="863" t="n"/>
      <c r="AO106" s="863" t="n"/>
      <c r="AP106" s="863" t="n"/>
      <c r="AQ106" s="863" t="n"/>
      <c r="AR106" s="863" t="n"/>
      <c r="AS106" s="863" t="n"/>
      <c r="AT106" s="863" t="n"/>
      <c r="AU106" s="863" t="n"/>
      <c r="AV106" s="863" t="n"/>
      <c r="AW106" s="863" t="n"/>
      <c r="AX106" s="863" t="n"/>
      <c r="AY106" s="863" t="n"/>
    </row>
    <row r="107" ht="17.25" customFormat="1" customHeight="1" s="85" thickBot="1" thickTop="1">
      <c r="A107" s="96" t="inlineStr">
        <is>
          <t>137</t>
        </is>
      </c>
      <c r="B107" s="83">
        <f>B74</f>
        <v/>
      </c>
      <c r="C107" s="336" t="inlineStr">
        <is>
          <t>Payday Alternative Loans</t>
        </is>
      </c>
      <c r="D107" s="862" t="n"/>
      <c r="E107" s="862" t="n"/>
      <c r="F107" s="862" t="n"/>
      <c r="G107" s="862" t="n"/>
      <c r="H107" s="862" t="n"/>
      <c r="I107" s="862" t="n"/>
      <c r="J107" s="862" t="n"/>
      <c r="K107" s="862" t="n"/>
      <c r="L107" s="862" t="n"/>
      <c r="M107" s="862" t="n"/>
      <c r="N107" s="862" t="n"/>
      <c r="O107" s="862" t="n"/>
      <c r="P107" s="862" t="n"/>
      <c r="Q107" s="862" t="n"/>
      <c r="R107" s="862" t="n"/>
      <c r="S107" s="862" t="n"/>
      <c r="T107" s="862" t="n"/>
      <c r="U107" s="862" t="n"/>
      <c r="V107" s="862" t="n"/>
      <c r="W107" s="862" t="n"/>
      <c r="X107" s="862" t="n"/>
      <c r="Y107" s="862" t="n"/>
      <c r="Z107" s="862" t="n"/>
      <c r="AA107" s="862" t="n"/>
      <c r="AB107" s="862" t="n"/>
      <c r="AC107" s="862" t="n"/>
      <c r="AD107" s="862" t="n"/>
      <c r="AE107" s="862" t="n"/>
      <c r="AF107" s="862" t="n"/>
      <c r="AG107" s="862" t="n"/>
      <c r="AH107" s="862" t="n"/>
      <c r="AI107" s="862" t="n"/>
      <c r="AJ107" s="863" t="n"/>
      <c r="AK107" s="863" t="n"/>
      <c r="AL107" s="863" t="n"/>
      <c r="AM107" s="863" t="n"/>
      <c r="AN107" s="863" t="n"/>
      <c r="AO107" s="863" t="n"/>
      <c r="AP107" s="863" t="n"/>
      <c r="AQ107" s="863" t="n"/>
      <c r="AR107" s="863" t="n"/>
      <c r="AS107" s="863" t="n"/>
      <c r="AT107" s="863" t="n"/>
      <c r="AU107" s="863" t="n"/>
      <c r="AV107" s="863" t="n"/>
      <c r="AW107" s="863" t="n"/>
      <c r="AX107" s="863" t="n"/>
      <c r="AY107" s="863" t="n"/>
    </row>
    <row r="108" ht="17.25" customFormat="1" customHeight="1" s="85" thickBot="1" thickTop="1">
      <c r="A108" s="96" t="inlineStr">
        <is>
          <t>551T</t>
        </is>
      </c>
      <c r="B108" s="83">
        <f>B75</f>
        <v/>
      </c>
      <c r="C108" s="336" t="inlineStr">
        <is>
          <t>Non-Federally Guaranteed Student Loans</t>
        </is>
      </c>
      <c r="D108" s="862" t="n"/>
      <c r="E108" s="862" t="n"/>
      <c r="F108" s="862" t="n"/>
      <c r="G108" s="862" t="n"/>
      <c r="H108" s="862" t="n"/>
      <c r="I108" s="862" t="n"/>
      <c r="J108" s="862" t="n"/>
      <c r="K108" s="862" t="n"/>
      <c r="L108" s="862" t="n"/>
      <c r="M108" s="862" t="n"/>
      <c r="N108" s="862" t="n"/>
      <c r="O108" s="862" t="n"/>
      <c r="P108" s="862" t="n"/>
      <c r="Q108" s="862" t="n"/>
      <c r="R108" s="862" t="n"/>
      <c r="S108" s="862" t="n"/>
      <c r="T108" s="862" t="n"/>
      <c r="U108" s="862" t="n"/>
      <c r="V108" s="862" t="n"/>
      <c r="W108" s="862" t="n"/>
      <c r="X108" s="862" t="n"/>
      <c r="Y108" s="862" t="n"/>
      <c r="Z108" s="862" t="n"/>
      <c r="AA108" s="862" t="n"/>
      <c r="AB108" s="862" t="n"/>
      <c r="AC108" s="862" t="n"/>
      <c r="AD108" s="862" t="n"/>
      <c r="AE108" s="862" t="n"/>
      <c r="AF108" s="862" t="n"/>
      <c r="AG108" s="862" t="n"/>
      <c r="AH108" s="862" t="n"/>
      <c r="AI108" s="862" t="n"/>
      <c r="AJ108" s="863" t="n"/>
      <c r="AK108" s="863" t="n"/>
      <c r="AL108" s="863" t="n"/>
      <c r="AM108" s="863" t="n"/>
      <c r="AN108" s="863" t="n"/>
      <c r="AO108" s="863" t="n"/>
      <c r="AP108" s="863" t="n"/>
      <c r="AQ108" s="863" t="n"/>
      <c r="AR108" s="863" t="n"/>
      <c r="AS108" s="863" t="n"/>
      <c r="AT108" s="863" t="n"/>
      <c r="AU108" s="863" t="n"/>
      <c r="AV108" s="863" t="n"/>
      <c r="AW108" s="863" t="n"/>
      <c r="AX108" s="863" t="n"/>
      <c r="AY108" s="863" t="n"/>
    </row>
    <row r="109" ht="17.25" customFormat="1" customHeight="1" s="85" thickBot="1" thickTop="1">
      <c r="A109" s="96" t="inlineStr">
        <is>
          <t>551C1</t>
        </is>
      </c>
      <c r="B109" s="83">
        <f>B76</f>
        <v/>
      </c>
      <c r="C109" s="336" t="inlineStr">
        <is>
          <t>New Vehicle Loans</t>
        </is>
      </c>
      <c r="D109" s="862" t="n"/>
      <c r="E109" s="862" t="n"/>
      <c r="F109" s="862" t="n"/>
      <c r="G109" s="862" t="n"/>
      <c r="H109" s="862" t="n"/>
      <c r="I109" s="862" t="n"/>
      <c r="J109" s="862" t="n"/>
      <c r="K109" s="862" t="n"/>
      <c r="L109" s="862" t="n"/>
      <c r="M109" s="862" t="n"/>
      <c r="N109" s="862" t="n"/>
      <c r="O109" s="862" t="n"/>
      <c r="P109" s="862" t="n"/>
      <c r="Q109" s="862" t="n"/>
      <c r="R109" s="862" t="n"/>
      <c r="S109" s="862" t="n"/>
      <c r="T109" s="862" t="n"/>
      <c r="U109" s="862" t="n"/>
      <c r="V109" s="862" t="n"/>
      <c r="W109" s="862" t="n"/>
      <c r="X109" s="862" t="n"/>
      <c r="Y109" s="862" t="n"/>
      <c r="Z109" s="862" t="n"/>
      <c r="AA109" s="862" t="n"/>
      <c r="AB109" s="862" t="n"/>
      <c r="AC109" s="862" t="n"/>
      <c r="AD109" s="862" t="n"/>
      <c r="AE109" s="862" t="n"/>
      <c r="AF109" s="862" t="n"/>
      <c r="AG109" s="862" t="n"/>
      <c r="AH109" s="862" t="n"/>
      <c r="AI109" s="862" t="n"/>
      <c r="AJ109" s="863" t="n"/>
      <c r="AK109" s="863" t="n"/>
      <c r="AL109" s="863" t="n"/>
      <c r="AM109" s="863" t="n"/>
      <c r="AN109" s="863" t="n"/>
      <c r="AO109" s="863" t="n"/>
      <c r="AP109" s="863" t="n"/>
      <c r="AQ109" s="863" t="n"/>
      <c r="AR109" s="863" t="n"/>
      <c r="AS109" s="863" t="n"/>
      <c r="AT109" s="863" t="n"/>
      <c r="AU109" s="863" t="n"/>
      <c r="AV109" s="863" t="n"/>
      <c r="AW109" s="863" t="n"/>
      <c r="AX109" s="863" t="n"/>
      <c r="AY109" s="863" t="n"/>
    </row>
    <row r="110" ht="17.25" customFormat="1" customHeight="1" s="85" thickBot="1" thickTop="1">
      <c r="A110" s="96" t="inlineStr">
        <is>
          <t>551C2</t>
        </is>
      </c>
      <c r="B110" s="83">
        <f>B77</f>
        <v/>
      </c>
      <c r="C110" s="336" t="inlineStr">
        <is>
          <t>Used Vehicle Loans</t>
        </is>
      </c>
      <c r="D110" s="862" t="n"/>
      <c r="E110" s="862" t="n"/>
      <c r="F110" s="862" t="n"/>
      <c r="G110" s="862" t="n"/>
      <c r="H110" s="862" t="n"/>
      <c r="I110" s="862" t="n"/>
      <c r="J110" s="862" t="n"/>
      <c r="K110" s="862" t="n"/>
      <c r="L110" s="862" t="n"/>
      <c r="M110" s="862" t="n"/>
      <c r="N110" s="862" t="n"/>
      <c r="O110" s="862" t="n"/>
      <c r="P110" s="862" t="n"/>
      <c r="Q110" s="862" t="n"/>
      <c r="R110" s="862" t="n"/>
      <c r="S110" s="862" t="n"/>
      <c r="T110" s="862" t="n"/>
      <c r="U110" s="862" t="n"/>
      <c r="V110" s="862" t="n"/>
      <c r="W110" s="862" t="n"/>
      <c r="X110" s="862" t="n"/>
      <c r="Y110" s="862" t="n"/>
      <c r="Z110" s="862" t="n"/>
      <c r="AA110" s="862" t="n"/>
      <c r="AB110" s="862" t="n"/>
      <c r="AC110" s="862" t="n"/>
      <c r="AD110" s="862" t="n"/>
      <c r="AE110" s="862" t="n"/>
      <c r="AF110" s="862" t="n"/>
      <c r="AG110" s="862" t="n"/>
      <c r="AH110" s="862" t="n"/>
      <c r="AI110" s="862" t="n"/>
      <c r="AJ110" s="863" t="n"/>
      <c r="AK110" s="863" t="n"/>
      <c r="AL110" s="863" t="n"/>
      <c r="AM110" s="863" t="n"/>
      <c r="AN110" s="863" t="n"/>
      <c r="AO110" s="863" t="n"/>
      <c r="AP110" s="863" t="n"/>
      <c r="AQ110" s="863" t="n"/>
      <c r="AR110" s="863" t="n"/>
      <c r="AS110" s="863" t="n"/>
      <c r="AT110" s="863" t="n"/>
      <c r="AU110" s="863" t="n"/>
      <c r="AV110" s="863" t="n"/>
      <c r="AW110" s="863" t="n"/>
      <c r="AX110" s="863" t="n"/>
      <c r="AY110" s="863" t="n"/>
    </row>
    <row r="111" ht="17.25" customFormat="1" customHeight="1" s="85" thickBot="1" thickTop="1">
      <c r="A111" s="96" t="inlineStr">
        <is>
          <t>607</t>
        </is>
      </c>
      <c r="B111" s="83">
        <f>B78</f>
        <v/>
      </c>
      <c r="C111" s="336" t="inlineStr">
        <is>
          <t>Loans/Lines of Credit Secured by a First Lien on a single 1- to 4-Family Residential Property</t>
        </is>
      </c>
      <c r="D111" s="862" t="n"/>
      <c r="E111" s="862" t="n"/>
      <c r="F111" s="862" t="n"/>
      <c r="G111" s="862" t="n"/>
      <c r="H111" s="862" t="n"/>
      <c r="I111" s="862" t="n"/>
      <c r="J111" s="862" t="n"/>
      <c r="K111" s="862" t="n"/>
      <c r="L111" s="862" t="n"/>
      <c r="M111" s="862" t="n"/>
      <c r="N111" s="862" t="n"/>
      <c r="O111" s="862" t="n"/>
      <c r="P111" s="862" t="n"/>
      <c r="Q111" s="862" t="n"/>
      <c r="R111" s="862" t="n"/>
      <c r="S111" s="862" t="n"/>
      <c r="T111" s="862" t="n"/>
      <c r="U111" s="862" t="n"/>
      <c r="V111" s="862" t="n"/>
      <c r="W111" s="862" t="n"/>
      <c r="X111" s="862" t="n"/>
      <c r="Y111" s="862" t="n"/>
      <c r="Z111" s="862" t="n"/>
      <c r="AA111" s="862" t="n"/>
      <c r="AB111" s="862" t="n"/>
      <c r="AC111" s="862" t="n"/>
      <c r="AD111" s="862" t="n"/>
      <c r="AE111" s="862" t="n"/>
      <c r="AF111" s="862" t="n"/>
      <c r="AG111" s="862" t="n"/>
      <c r="AH111" s="862" t="n"/>
      <c r="AI111" s="862" t="n"/>
      <c r="AJ111" s="863" t="n"/>
      <c r="AK111" s="863" t="n"/>
      <c r="AL111" s="863" t="n"/>
      <c r="AM111" s="863" t="n"/>
      <c r="AN111" s="863" t="n"/>
      <c r="AO111" s="863" t="n"/>
      <c r="AP111" s="863" t="n"/>
      <c r="AQ111" s="863" t="n"/>
      <c r="AR111" s="863" t="n"/>
      <c r="AS111" s="863" t="n"/>
      <c r="AT111" s="863" t="n"/>
      <c r="AU111" s="863" t="n"/>
      <c r="AV111" s="863" t="n"/>
      <c r="AW111" s="863" t="n"/>
      <c r="AX111" s="863" t="n"/>
      <c r="AY111" s="863" t="n"/>
    </row>
    <row r="112" ht="17.25" customFormat="1" customHeight="1" s="85" thickBot="1" thickTop="1">
      <c r="A112" s="96" t="inlineStr">
        <is>
          <t>608</t>
        </is>
      </c>
      <c r="B112" s="83">
        <f>B79</f>
        <v/>
      </c>
      <c r="C112" s="336" t="inlineStr">
        <is>
          <t>Loans/Lines of Credit Secured by a Junior Lien on a single 1- to 4-Family Residential Property</t>
        </is>
      </c>
      <c r="D112" s="862" t="n"/>
      <c r="E112" s="862" t="n"/>
      <c r="F112" s="862" t="n"/>
      <c r="G112" s="862" t="n"/>
      <c r="H112" s="862" t="n"/>
      <c r="I112" s="862" t="n"/>
      <c r="J112" s="862" t="n"/>
      <c r="K112" s="862" t="n"/>
      <c r="L112" s="862" t="n"/>
      <c r="M112" s="862" t="n"/>
      <c r="N112" s="862" t="n"/>
      <c r="O112" s="862" t="n"/>
      <c r="P112" s="862" t="n"/>
      <c r="Q112" s="862" t="n"/>
      <c r="R112" s="862" t="n"/>
      <c r="S112" s="862" t="n"/>
      <c r="T112" s="862" t="n"/>
      <c r="U112" s="862" t="n"/>
      <c r="V112" s="862" t="n"/>
      <c r="W112" s="862" t="n"/>
      <c r="X112" s="862" t="n"/>
      <c r="Y112" s="862" t="n"/>
      <c r="Z112" s="862" t="n"/>
      <c r="AA112" s="862" t="n"/>
      <c r="AB112" s="862" t="n"/>
      <c r="AC112" s="862" t="n"/>
      <c r="AD112" s="862" t="n"/>
      <c r="AE112" s="862" t="n"/>
      <c r="AF112" s="862" t="n"/>
      <c r="AG112" s="862" t="n"/>
      <c r="AH112" s="862" t="n"/>
      <c r="AI112" s="862" t="n"/>
      <c r="AJ112" s="863" t="n"/>
      <c r="AK112" s="863" t="n"/>
      <c r="AL112" s="863" t="n"/>
      <c r="AM112" s="863" t="n"/>
      <c r="AN112" s="863" t="n"/>
      <c r="AO112" s="863" t="n"/>
      <c r="AP112" s="863" t="n"/>
      <c r="AQ112" s="863" t="n"/>
      <c r="AR112" s="863" t="n"/>
      <c r="AS112" s="863" t="n"/>
      <c r="AT112" s="863" t="n"/>
      <c r="AU112" s="863" t="n"/>
      <c r="AV112" s="863" t="n"/>
      <c r="AW112" s="863" t="n"/>
      <c r="AX112" s="863" t="n"/>
      <c r="AY112" s="863" t="n"/>
    </row>
    <row r="113" ht="17.25" customFormat="1" customHeight="1" s="85" thickBot="1" thickTop="1">
      <c r="A113" s="96" t="inlineStr">
        <is>
          <t>551D</t>
        </is>
      </c>
      <c r="B113" s="83">
        <f>B80</f>
        <v/>
      </c>
      <c r="C113" s="336" t="inlineStr">
        <is>
          <t>Leases Receivable</t>
        </is>
      </c>
      <c r="D113" s="862" t="n"/>
      <c r="E113" s="862" t="n"/>
      <c r="F113" s="862" t="n"/>
      <c r="G113" s="862" t="n"/>
      <c r="H113" s="862" t="n"/>
      <c r="I113" s="862" t="n"/>
      <c r="J113" s="862" t="n"/>
      <c r="K113" s="862" t="n"/>
      <c r="L113" s="862" t="n"/>
      <c r="M113" s="862" t="n"/>
      <c r="N113" s="862" t="n"/>
      <c r="O113" s="862" t="n"/>
      <c r="P113" s="862" t="n"/>
      <c r="Q113" s="862" t="n"/>
      <c r="R113" s="862" t="n"/>
      <c r="S113" s="862" t="n"/>
      <c r="T113" s="862" t="n"/>
      <c r="U113" s="862" t="n"/>
      <c r="V113" s="862" t="n"/>
      <c r="W113" s="862" t="n"/>
      <c r="X113" s="862" t="n"/>
      <c r="Y113" s="862" t="n"/>
      <c r="Z113" s="862" t="n"/>
      <c r="AA113" s="862" t="n"/>
      <c r="AB113" s="862" t="n"/>
      <c r="AC113" s="862" t="n"/>
      <c r="AD113" s="862" t="n"/>
      <c r="AE113" s="862" t="n"/>
      <c r="AF113" s="862" t="n"/>
      <c r="AG113" s="862" t="n"/>
      <c r="AH113" s="862" t="n"/>
      <c r="AI113" s="862" t="n"/>
      <c r="AJ113" s="863" t="n"/>
      <c r="AK113" s="863" t="n"/>
      <c r="AL113" s="863" t="n"/>
      <c r="AM113" s="863" t="n"/>
      <c r="AN113" s="863" t="n"/>
      <c r="AO113" s="863" t="n"/>
      <c r="AP113" s="863" t="n"/>
      <c r="AQ113" s="863" t="n"/>
      <c r="AR113" s="863" t="n"/>
      <c r="AS113" s="863" t="n"/>
      <c r="AT113" s="863" t="n"/>
      <c r="AU113" s="863" t="n"/>
      <c r="AV113" s="863" t="n"/>
      <c r="AW113" s="863" t="n"/>
      <c r="AX113" s="863" t="n"/>
      <c r="AY113" s="863" t="n"/>
    </row>
    <row r="114" ht="17.25" customFormat="1" customHeight="1" s="85" thickBot="1" thickTop="1">
      <c r="A114" s="96" t="inlineStr">
        <is>
          <t>551C</t>
        </is>
      </c>
      <c r="B114" s="87">
        <f>B81</f>
        <v/>
      </c>
      <c r="C114" s="336" t="inlineStr">
        <is>
          <t>All Other Unsecured Loans/Lines of Credit</t>
        </is>
      </c>
      <c r="D114" s="866" t="n"/>
      <c r="E114" s="866" t="n"/>
      <c r="F114" s="866" t="n"/>
      <c r="G114" s="866" t="n"/>
      <c r="H114" s="866" t="n"/>
      <c r="I114" s="866" t="n"/>
      <c r="J114" s="866" t="n"/>
      <c r="K114" s="866" t="n"/>
      <c r="L114" s="866" t="n"/>
      <c r="M114" s="866" t="n"/>
      <c r="N114" s="866" t="n"/>
      <c r="O114" s="866" t="n"/>
      <c r="P114" s="866" t="n"/>
      <c r="Q114" s="866" t="n"/>
      <c r="R114" s="866" t="n"/>
      <c r="S114" s="866" t="n"/>
      <c r="T114" s="866" t="n"/>
      <c r="U114" s="866" t="n"/>
      <c r="V114" s="866" t="n"/>
      <c r="W114" s="866" t="n"/>
      <c r="X114" s="866" t="n"/>
      <c r="Y114" s="866" t="n"/>
      <c r="Z114" s="866" t="n"/>
      <c r="AA114" s="866" t="n"/>
      <c r="AB114" s="866" t="n"/>
      <c r="AC114" s="866" t="n"/>
      <c r="AD114" s="866" t="n"/>
      <c r="AE114" s="866" t="n"/>
      <c r="AF114" s="866" t="n"/>
      <c r="AG114" s="866" t="n"/>
      <c r="AH114" s="866" t="n"/>
      <c r="AI114" s="866" t="n"/>
      <c r="AJ114" s="867" t="n"/>
      <c r="AK114" s="867" t="n"/>
      <c r="AL114" s="867" t="n"/>
      <c r="AM114" s="867" t="n"/>
      <c r="AN114" s="867" t="n"/>
      <c r="AO114" s="867" t="n"/>
      <c r="AP114" s="867" t="n"/>
      <c r="AQ114" s="867" t="n"/>
      <c r="AR114" s="867" t="n"/>
      <c r="AS114" s="867" t="n"/>
      <c r="AT114" s="867" t="n"/>
      <c r="AU114" s="867" t="n"/>
      <c r="AV114" s="867" t="n"/>
      <c r="AW114" s="867" t="n"/>
      <c r="AX114" s="867" t="n"/>
      <c r="AY114" s="867" t="n"/>
    </row>
    <row r="115" ht="17.25" customFormat="1" customHeight="1" s="85" thickBot="1" thickTop="1">
      <c r="A115" s="96" t="inlineStr">
        <is>
          <t>681</t>
        </is>
      </c>
      <c r="B115" s="83" t="inlineStr">
        <is>
          <t>Unsecured Credit Card Loans</t>
        </is>
      </c>
      <c r="C115" s="336" t="inlineStr">
        <is>
          <t>Unsecured Credit Card Loans</t>
        </is>
      </c>
      <c r="D115" s="863" t="n"/>
      <c r="E115" s="863" t="n"/>
      <c r="F115" s="863" t="n"/>
      <c r="G115" s="863" t="n"/>
      <c r="H115" s="863" t="n"/>
      <c r="I115" s="863" t="n"/>
      <c r="J115" s="863" t="n"/>
      <c r="K115" s="863" t="n"/>
      <c r="L115" s="863" t="n"/>
      <c r="M115" s="863" t="n"/>
      <c r="N115" s="863" t="n"/>
      <c r="O115" s="863" t="n"/>
      <c r="P115" s="863" t="n"/>
      <c r="Q115" s="863" t="n"/>
      <c r="R115" s="863" t="n"/>
      <c r="S115" s="863" t="n"/>
      <c r="T115" s="863" t="n"/>
      <c r="U115" s="863" t="n"/>
      <c r="V115" s="863" t="n"/>
      <c r="W115" s="863" t="n"/>
      <c r="X115" s="863" t="n"/>
      <c r="Y115" s="863" t="n"/>
      <c r="Z115" s="863" t="n"/>
      <c r="AA115" s="863" t="n"/>
      <c r="AB115" s="863" t="n"/>
      <c r="AC115" s="863" t="n"/>
      <c r="AD115" s="863" t="n"/>
      <c r="AE115" s="863" t="n"/>
      <c r="AF115" s="863" t="n"/>
      <c r="AG115" s="863" t="n"/>
      <c r="AH115" s="863" t="n"/>
      <c r="AI115" s="863" t="n"/>
      <c r="AJ115" s="862" t="n"/>
      <c r="AK115" s="862" t="n"/>
      <c r="AL115" s="862" t="n"/>
      <c r="AM115" s="862" t="n"/>
      <c r="AN115" s="862" t="n"/>
      <c r="AO115" s="862" t="n"/>
      <c r="AP115" s="862" t="n"/>
      <c r="AQ115" s="862" t="n"/>
      <c r="AR115" s="862" t="n"/>
      <c r="AS115" s="862" t="n"/>
      <c r="AT115" s="862" t="n"/>
      <c r="AU115" s="862" t="n"/>
      <c r="AV115" s="862" t="n"/>
      <c r="AW115" s="862" t="n"/>
      <c r="AX115" s="862" t="n"/>
      <c r="AY115" s="862" t="n"/>
    </row>
    <row r="116" ht="17.25" customFormat="1" customHeight="1" s="86" thickBot="1" thickTop="1">
      <c r="A116" s="96" t="inlineStr">
        <is>
          <t>137</t>
        </is>
      </c>
      <c r="B116" s="83" t="inlineStr">
        <is>
          <t>Payday Alternative Loans (PALs loans) (FCU Only)</t>
        </is>
      </c>
      <c r="C116" s="336" t="inlineStr">
        <is>
          <t>Payday Alternative Loans</t>
        </is>
      </c>
      <c r="D116" s="863" t="n"/>
      <c r="E116" s="863" t="n"/>
      <c r="F116" s="863" t="n"/>
      <c r="G116" s="863" t="n"/>
      <c r="H116" s="863" t="n"/>
      <c r="I116" s="863" t="n"/>
      <c r="J116" s="863" t="n"/>
      <c r="K116" s="863" t="n"/>
      <c r="L116" s="863" t="n"/>
      <c r="M116" s="863" t="n"/>
      <c r="N116" s="863" t="n"/>
      <c r="O116" s="863" t="n"/>
      <c r="P116" s="863" t="n"/>
      <c r="Q116" s="863" t="n"/>
      <c r="R116" s="863" t="n"/>
      <c r="S116" s="863" t="n"/>
      <c r="T116" s="863" t="n"/>
      <c r="U116" s="863" t="n"/>
      <c r="V116" s="863" t="n"/>
      <c r="W116" s="863" t="n"/>
      <c r="X116" s="863" t="n"/>
      <c r="Y116" s="863" t="n"/>
      <c r="Z116" s="863" t="n"/>
      <c r="AA116" s="863" t="n"/>
      <c r="AB116" s="863" t="n"/>
      <c r="AC116" s="863" t="n"/>
      <c r="AD116" s="863" t="n"/>
      <c r="AE116" s="863" t="n"/>
      <c r="AF116" s="863" t="n"/>
      <c r="AG116" s="863" t="n"/>
      <c r="AH116" s="863" t="n"/>
      <c r="AI116" s="863" t="n"/>
      <c r="AJ116" s="862" t="n"/>
      <c r="AK116" s="862" t="n"/>
      <c r="AL116" s="862" t="n"/>
      <c r="AM116" s="862" t="n"/>
      <c r="AN116" s="862" t="n"/>
      <c r="AO116" s="862" t="n"/>
      <c r="AP116" s="862" t="n"/>
      <c r="AQ116" s="862" t="n"/>
      <c r="AR116" s="862" t="n"/>
      <c r="AS116" s="862" t="n"/>
      <c r="AT116" s="862" t="n"/>
      <c r="AU116" s="862" t="n"/>
      <c r="AV116" s="862" t="n"/>
      <c r="AW116" s="862" t="n"/>
      <c r="AX116" s="862" t="n"/>
      <c r="AY116" s="862" t="n"/>
    </row>
    <row r="117" ht="17.25" customFormat="1" customHeight="1" s="86" thickBot="1" thickTop="1">
      <c r="A117" s="96" t="inlineStr">
        <is>
          <t>551T</t>
        </is>
      </c>
      <c r="B117" s="83" t="inlineStr">
        <is>
          <t>Non-Federally Guaranteed Student Loans</t>
        </is>
      </c>
      <c r="C117" s="336" t="inlineStr">
        <is>
          <t>Non-Federally Guaranteed Student Loans</t>
        </is>
      </c>
      <c r="D117" s="863" t="n"/>
      <c r="E117" s="863" t="n"/>
      <c r="F117" s="863" t="n"/>
      <c r="G117" s="863" t="n"/>
      <c r="H117" s="863" t="n"/>
      <c r="I117" s="863" t="n"/>
      <c r="J117" s="863" t="n"/>
      <c r="K117" s="863" t="n"/>
      <c r="L117" s="863" t="n"/>
      <c r="M117" s="863" t="n"/>
      <c r="N117" s="863" t="n"/>
      <c r="O117" s="863" t="n"/>
      <c r="P117" s="863" t="n"/>
      <c r="Q117" s="863" t="n"/>
      <c r="R117" s="863" t="n"/>
      <c r="S117" s="863" t="n"/>
      <c r="T117" s="863" t="n"/>
      <c r="U117" s="863" t="n"/>
      <c r="V117" s="863" t="n"/>
      <c r="W117" s="863" t="n"/>
      <c r="X117" s="863" t="n"/>
      <c r="Y117" s="863" t="n"/>
      <c r="Z117" s="863" t="n"/>
      <c r="AA117" s="863" t="n"/>
      <c r="AB117" s="863" t="n"/>
      <c r="AC117" s="863" t="n"/>
      <c r="AD117" s="863" t="n"/>
      <c r="AE117" s="863" t="n"/>
      <c r="AF117" s="863" t="n"/>
      <c r="AG117" s="863" t="n"/>
      <c r="AH117" s="863" t="n"/>
      <c r="AI117" s="863" t="n"/>
      <c r="AJ117" s="862" t="n"/>
      <c r="AK117" s="862" t="n"/>
      <c r="AL117" s="862" t="n"/>
      <c r="AM117" s="862" t="n"/>
      <c r="AN117" s="862" t="n"/>
      <c r="AO117" s="862" t="n"/>
      <c r="AP117" s="862" t="n"/>
      <c r="AQ117" s="862" t="n"/>
      <c r="AR117" s="862" t="n"/>
      <c r="AS117" s="862" t="n"/>
      <c r="AT117" s="862" t="n"/>
      <c r="AU117" s="862" t="n"/>
      <c r="AV117" s="862" t="n"/>
      <c r="AW117" s="862" t="n"/>
      <c r="AX117" s="862" t="n"/>
      <c r="AY117" s="862" t="n"/>
    </row>
    <row r="118" ht="17.25" customFormat="1" customHeight="1" s="86" thickBot="1" thickTop="1">
      <c r="A118" s="96" t="inlineStr">
        <is>
          <t>CH0008</t>
        </is>
      </c>
      <c r="B118" s="83" t="inlineStr">
        <is>
          <t>All Other Unsecured Loans/Lines of Credit</t>
        </is>
      </c>
      <c r="C118" s="336" t="inlineStr">
        <is>
          <t>All Other Unsecured Loans/Lines of Credit</t>
        </is>
      </c>
      <c r="D118" s="863" t="n"/>
      <c r="E118" s="863" t="n"/>
      <c r="F118" s="863" t="n"/>
      <c r="G118" s="863" t="n"/>
      <c r="H118" s="863" t="n"/>
      <c r="I118" s="863" t="n"/>
      <c r="J118" s="863" t="n"/>
      <c r="K118" s="863" t="n"/>
      <c r="L118" s="863" t="n"/>
      <c r="M118" s="863" t="n"/>
      <c r="N118" s="863" t="n"/>
      <c r="O118" s="863" t="n"/>
      <c r="P118" s="863" t="n"/>
      <c r="Q118" s="863" t="n"/>
      <c r="R118" s="863" t="n"/>
      <c r="S118" s="863" t="n"/>
      <c r="T118" s="863" t="n"/>
      <c r="U118" s="863" t="n"/>
      <c r="V118" s="863" t="n"/>
      <c r="W118" s="863" t="n"/>
      <c r="X118" s="863" t="n"/>
      <c r="Y118" s="863" t="n"/>
      <c r="Z118" s="863" t="n"/>
      <c r="AA118" s="863" t="n"/>
      <c r="AB118" s="863" t="n"/>
      <c r="AC118" s="863" t="n"/>
      <c r="AD118" s="863" t="n"/>
      <c r="AE118" s="863" t="n"/>
      <c r="AF118" s="863" t="n"/>
      <c r="AG118" s="863" t="n"/>
      <c r="AH118" s="863" t="n"/>
      <c r="AI118" s="863" t="n"/>
      <c r="AJ118" s="862" t="n"/>
      <c r="AK118" s="862" t="n"/>
      <c r="AL118" s="862" t="n"/>
      <c r="AM118" s="862" t="n"/>
      <c r="AN118" s="862" t="n"/>
      <c r="AO118" s="862" t="n"/>
      <c r="AP118" s="862" t="n"/>
      <c r="AQ118" s="862" t="n"/>
      <c r="AR118" s="862" t="n"/>
      <c r="AS118" s="862" t="n"/>
      <c r="AT118" s="862" t="n"/>
      <c r="AU118" s="862" t="n"/>
      <c r="AV118" s="862" t="n"/>
      <c r="AW118" s="862" t="n"/>
      <c r="AX118" s="862" t="n"/>
      <c r="AY118" s="862" t="n"/>
    </row>
    <row r="119" ht="17.25" customFormat="1" customHeight="1" s="86" thickBot="1" thickTop="1">
      <c r="A119" s="96" t="inlineStr">
        <is>
          <t>551C1</t>
        </is>
      </c>
      <c r="B119" s="83" t="inlineStr">
        <is>
          <t>New Vehicle Loans</t>
        </is>
      </c>
      <c r="C119" s="336" t="inlineStr">
        <is>
          <t>New Vehicle Loans</t>
        </is>
      </c>
      <c r="D119" s="863" t="n"/>
      <c r="E119" s="863" t="n"/>
      <c r="F119" s="863" t="n"/>
      <c r="G119" s="863" t="n"/>
      <c r="H119" s="863" t="n"/>
      <c r="I119" s="863" t="n"/>
      <c r="J119" s="863" t="n"/>
      <c r="K119" s="863" t="n"/>
      <c r="L119" s="863" t="n"/>
      <c r="M119" s="863" t="n"/>
      <c r="N119" s="863" t="n"/>
      <c r="O119" s="863" t="n"/>
      <c r="P119" s="863" t="n"/>
      <c r="Q119" s="863" t="n"/>
      <c r="R119" s="863" t="n"/>
      <c r="S119" s="863" t="n"/>
      <c r="T119" s="863" t="n"/>
      <c r="U119" s="863" t="n"/>
      <c r="V119" s="863" t="n"/>
      <c r="W119" s="863" t="n"/>
      <c r="X119" s="863" t="n"/>
      <c r="Y119" s="863" t="n"/>
      <c r="Z119" s="863" t="n"/>
      <c r="AA119" s="863" t="n"/>
      <c r="AB119" s="863" t="n"/>
      <c r="AC119" s="863" t="n"/>
      <c r="AD119" s="863" t="n"/>
      <c r="AE119" s="863" t="n"/>
      <c r="AF119" s="863" t="n"/>
      <c r="AG119" s="863" t="n"/>
      <c r="AH119" s="863" t="n"/>
      <c r="AI119" s="863" t="n"/>
      <c r="AJ119" s="862" t="n"/>
      <c r="AK119" s="862" t="n"/>
      <c r="AL119" s="862" t="n"/>
      <c r="AM119" s="862" t="n"/>
      <c r="AN119" s="862" t="n"/>
      <c r="AO119" s="862" t="n"/>
      <c r="AP119" s="862" t="n"/>
      <c r="AQ119" s="862" t="n"/>
      <c r="AR119" s="862" t="n"/>
      <c r="AS119" s="862" t="n"/>
      <c r="AT119" s="862" t="n"/>
      <c r="AU119" s="862" t="n"/>
      <c r="AV119" s="862" t="n"/>
      <c r="AW119" s="862" t="n"/>
      <c r="AX119" s="862" t="n"/>
      <c r="AY119" s="862" t="n"/>
    </row>
    <row r="120" ht="17.25" customFormat="1" customHeight="1" s="86" thickBot="1" thickTop="1">
      <c r="A120" s="96" t="inlineStr">
        <is>
          <t>551C2</t>
        </is>
      </c>
      <c r="B120" s="83" t="inlineStr">
        <is>
          <t>Used Vehicle Loans</t>
        </is>
      </c>
      <c r="C120" s="336" t="inlineStr">
        <is>
          <t>Used Vehicle Loans</t>
        </is>
      </c>
      <c r="D120" s="863" t="n"/>
      <c r="E120" s="863" t="n"/>
      <c r="F120" s="863" t="n"/>
      <c r="G120" s="863" t="n"/>
      <c r="H120" s="863" t="n"/>
      <c r="I120" s="863" t="n"/>
      <c r="J120" s="863" t="n"/>
      <c r="K120" s="863" t="n"/>
      <c r="L120" s="863" t="n"/>
      <c r="M120" s="863" t="n"/>
      <c r="N120" s="863" t="n"/>
      <c r="O120" s="863" t="n"/>
      <c r="P120" s="863" t="n"/>
      <c r="Q120" s="863" t="n"/>
      <c r="R120" s="863" t="n"/>
      <c r="S120" s="863" t="n"/>
      <c r="T120" s="863" t="n"/>
      <c r="U120" s="863" t="n"/>
      <c r="V120" s="863" t="n"/>
      <c r="W120" s="863" t="n"/>
      <c r="X120" s="863" t="n"/>
      <c r="Y120" s="863" t="n"/>
      <c r="Z120" s="863" t="n"/>
      <c r="AA120" s="863" t="n"/>
      <c r="AB120" s="863" t="n"/>
      <c r="AC120" s="863" t="n"/>
      <c r="AD120" s="863" t="n"/>
      <c r="AE120" s="863" t="n"/>
      <c r="AF120" s="863" t="n"/>
      <c r="AG120" s="863" t="n"/>
      <c r="AH120" s="863" t="n"/>
      <c r="AI120" s="863" t="n"/>
      <c r="AJ120" s="862" t="n"/>
      <c r="AK120" s="862" t="n"/>
      <c r="AL120" s="862" t="n"/>
      <c r="AM120" s="862" t="n"/>
      <c r="AN120" s="862" t="n"/>
      <c r="AO120" s="862" t="n"/>
      <c r="AP120" s="862" t="n"/>
      <c r="AQ120" s="862" t="n"/>
      <c r="AR120" s="862" t="n"/>
      <c r="AS120" s="862" t="n"/>
      <c r="AT120" s="862" t="n"/>
      <c r="AU120" s="862" t="n"/>
      <c r="AV120" s="862" t="n"/>
      <c r="AW120" s="862" t="n"/>
      <c r="AX120" s="862" t="n"/>
      <c r="AY120" s="862" t="n"/>
    </row>
    <row r="121" ht="17.25" customFormat="1" customHeight="1" s="86" thickBot="1" thickTop="1">
      <c r="A121" s="96" t="inlineStr">
        <is>
          <t>551D</t>
        </is>
      </c>
      <c r="B121" s="83" t="inlineStr">
        <is>
          <t>Leases Receivable</t>
        </is>
      </c>
      <c r="C121" s="336" t="inlineStr">
        <is>
          <t>Leases Receivable</t>
        </is>
      </c>
      <c r="D121" s="863" t="n"/>
      <c r="E121" s="863" t="n"/>
      <c r="F121" s="863" t="n"/>
      <c r="G121" s="863" t="n"/>
      <c r="H121" s="863" t="n"/>
      <c r="I121" s="863" t="n"/>
      <c r="J121" s="863" t="n"/>
      <c r="K121" s="863" t="n"/>
      <c r="L121" s="863" t="n"/>
      <c r="M121" s="863" t="n"/>
      <c r="N121" s="863" t="n"/>
      <c r="O121" s="863" t="n"/>
      <c r="P121" s="863" t="n"/>
      <c r="Q121" s="863" t="n"/>
      <c r="R121" s="863" t="n"/>
      <c r="S121" s="863" t="n"/>
      <c r="T121" s="863" t="n"/>
      <c r="U121" s="863" t="n"/>
      <c r="V121" s="863" t="n"/>
      <c r="W121" s="863" t="n"/>
      <c r="X121" s="863" t="n"/>
      <c r="Y121" s="863" t="n"/>
      <c r="Z121" s="863" t="n"/>
      <c r="AA121" s="863" t="n"/>
      <c r="AB121" s="863" t="n"/>
      <c r="AC121" s="863" t="n"/>
      <c r="AD121" s="863" t="n"/>
      <c r="AE121" s="863" t="n"/>
      <c r="AF121" s="863" t="n"/>
      <c r="AG121" s="863" t="n"/>
      <c r="AH121" s="863" t="n"/>
      <c r="AI121" s="863" t="n"/>
      <c r="AJ121" s="862" t="n"/>
      <c r="AK121" s="862" t="n"/>
      <c r="AL121" s="862" t="n"/>
      <c r="AM121" s="862" t="n"/>
      <c r="AN121" s="862" t="n"/>
      <c r="AO121" s="862" t="n"/>
      <c r="AP121" s="862" t="n"/>
      <c r="AQ121" s="862" t="n"/>
      <c r="AR121" s="862" t="n"/>
      <c r="AS121" s="862" t="n"/>
      <c r="AT121" s="862" t="n"/>
      <c r="AU121" s="862" t="n"/>
      <c r="AV121" s="862" t="n"/>
      <c r="AW121" s="862" t="n"/>
      <c r="AX121" s="862" t="n"/>
      <c r="AY121" s="862" t="n"/>
    </row>
    <row r="122" ht="17.25" customFormat="1" customHeight="1" s="86" thickBot="1" thickTop="1">
      <c r="A122" s="96" t="inlineStr">
        <is>
          <t>CH0016</t>
        </is>
      </c>
      <c r="B122" s="83" t="inlineStr">
        <is>
          <t>All Other Secured Non-Real Estate Loans/Lines of Credit</t>
        </is>
      </c>
      <c r="C122" s="336" t="inlineStr">
        <is>
          <t>All Other Secured Non-Real Estate Loans/Lines of Credit</t>
        </is>
      </c>
      <c r="D122" s="863" t="n"/>
      <c r="E122" s="863" t="n"/>
      <c r="F122" s="863" t="n"/>
      <c r="G122" s="863" t="n"/>
      <c r="H122" s="863" t="n"/>
      <c r="I122" s="863" t="n"/>
      <c r="J122" s="863" t="n"/>
      <c r="K122" s="863" t="n"/>
      <c r="L122" s="863" t="n"/>
      <c r="M122" s="863" t="n"/>
      <c r="N122" s="863" t="n"/>
      <c r="O122" s="863" t="n"/>
      <c r="P122" s="863" t="n"/>
      <c r="Q122" s="863" t="n"/>
      <c r="R122" s="863" t="n"/>
      <c r="S122" s="863" t="n"/>
      <c r="T122" s="863" t="n"/>
      <c r="U122" s="863" t="n"/>
      <c r="V122" s="863" t="n"/>
      <c r="W122" s="863" t="n"/>
      <c r="X122" s="863" t="n"/>
      <c r="Y122" s="863" t="n"/>
      <c r="Z122" s="863" t="n"/>
      <c r="AA122" s="863" t="n"/>
      <c r="AB122" s="863" t="n"/>
      <c r="AC122" s="863" t="n"/>
      <c r="AD122" s="863" t="n"/>
      <c r="AE122" s="863" t="n"/>
      <c r="AF122" s="863" t="n"/>
      <c r="AG122" s="863" t="n"/>
      <c r="AH122" s="863" t="n"/>
      <c r="AI122" s="863" t="n"/>
      <c r="AJ122" s="862" t="n"/>
      <c r="AK122" s="862" t="n"/>
      <c r="AL122" s="862" t="n"/>
      <c r="AM122" s="862" t="n"/>
      <c r="AN122" s="862" t="n"/>
      <c r="AO122" s="862" t="n"/>
      <c r="AP122" s="862" t="n"/>
      <c r="AQ122" s="862" t="n"/>
      <c r="AR122" s="862" t="n"/>
      <c r="AS122" s="862" t="n"/>
      <c r="AT122" s="862" t="n"/>
      <c r="AU122" s="862" t="n"/>
      <c r="AV122" s="862" t="n"/>
      <c r="AW122" s="862" t="n"/>
      <c r="AX122" s="862" t="n"/>
      <c r="AY122" s="862" t="n"/>
    </row>
    <row r="123" ht="17.25" customFormat="1" customHeight="1" s="86" thickBot="1" thickTop="1">
      <c r="A123" s="96" t="inlineStr">
        <is>
          <t>CH0018</t>
        </is>
      </c>
      <c r="B123" s="83" t="inlineStr">
        <is>
          <t>Secured by 1st Lien on a single 1- to 4-Family Residential Property</t>
        </is>
      </c>
      <c r="C123" s="336" t="inlineStr">
        <is>
          <t>Loans/Lines of Credit Secured by a First Lien on a single 1- to 4-Family Residential Property</t>
        </is>
      </c>
      <c r="D123" s="863" t="n"/>
      <c r="E123" s="863" t="n"/>
      <c r="F123" s="863" t="n"/>
      <c r="G123" s="863" t="n"/>
      <c r="H123" s="863" t="n"/>
      <c r="I123" s="863" t="n"/>
      <c r="J123" s="863" t="n"/>
      <c r="K123" s="863" t="n"/>
      <c r="L123" s="863" t="n"/>
      <c r="M123" s="863" t="n"/>
      <c r="N123" s="863" t="n"/>
      <c r="O123" s="863" t="n"/>
      <c r="P123" s="863" t="n"/>
      <c r="Q123" s="863" t="n"/>
      <c r="R123" s="863" t="n"/>
      <c r="S123" s="863" t="n"/>
      <c r="T123" s="863" t="n"/>
      <c r="U123" s="863" t="n"/>
      <c r="V123" s="863" t="n"/>
      <c r="W123" s="863" t="n"/>
      <c r="X123" s="863" t="n"/>
      <c r="Y123" s="863" t="n"/>
      <c r="Z123" s="863" t="n"/>
      <c r="AA123" s="863" t="n"/>
      <c r="AB123" s="863" t="n"/>
      <c r="AC123" s="863" t="n"/>
      <c r="AD123" s="863" t="n"/>
      <c r="AE123" s="863" t="n"/>
      <c r="AF123" s="863" t="n"/>
      <c r="AG123" s="863" t="n"/>
      <c r="AH123" s="863" t="n"/>
      <c r="AI123" s="863" t="n"/>
      <c r="AJ123" s="862" t="n"/>
      <c r="AK123" s="862" t="n"/>
      <c r="AL123" s="862" t="n"/>
      <c r="AM123" s="862" t="n"/>
      <c r="AN123" s="862" t="n"/>
      <c r="AO123" s="862" t="n"/>
      <c r="AP123" s="862" t="n"/>
      <c r="AQ123" s="862" t="n"/>
      <c r="AR123" s="862" t="n"/>
      <c r="AS123" s="862" t="n"/>
      <c r="AT123" s="862" t="n"/>
      <c r="AU123" s="862" t="n"/>
      <c r="AV123" s="862" t="n"/>
      <c r="AW123" s="862" t="n"/>
      <c r="AX123" s="862" t="n"/>
      <c r="AY123" s="862" t="n"/>
    </row>
    <row r="124" ht="17.25" customFormat="1" customHeight="1" s="86" thickBot="1" thickTop="1">
      <c r="A124" s="96" t="inlineStr">
        <is>
          <t>CH0020</t>
        </is>
      </c>
      <c r="B124" s="83" t="inlineStr">
        <is>
          <t>Secured by Junior Lien on a single 1- to 4-Family Residential Property</t>
        </is>
      </c>
      <c r="C124" s="336" t="inlineStr">
        <is>
          <t>Loans/Lines of Credit Secured by a Junior Lien on a single 1- to 4-Family Residential Property</t>
        </is>
      </c>
      <c r="D124" s="863" t="n"/>
      <c r="E124" s="863" t="n"/>
      <c r="F124" s="863" t="n"/>
      <c r="G124" s="863" t="n"/>
      <c r="H124" s="863" t="n"/>
      <c r="I124" s="863" t="n"/>
      <c r="J124" s="863" t="n"/>
      <c r="K124" s="863" t="n"/>
      <c r="L124" s="863" t="n"/>
      <c r="M124" s="863" t="n"/>
      <c r="N124" s="863" t="n"/>
      <c r="O124" s="863" t="n"/>
      <c r="P124" s="863" t="n"/>
      <c r="Q124" s="863" t="n"/>
      <c r="R124" s="863" t="n"/>
      <c r="S124" s="863" t="n"/>
      <c r="T124" s="863" t="n"/>
      <c r="U124" s="863" t="n"/>
      <c r="V124" s="863" t="n"/>
      <c r="W124" s="863" t="n"/>
      <c r="X124" s="863" t="n"/>
      <c r="Y124" s="863" t="n"/>
      <c r="Z124" s="863" t="n"/>
      <c r="AA124" s="863" t="n"/>
      <c r="AB124" s="863" t="n"/>
      <c r="AC124" s="863" t="n"/>
      <c r="AD124" s="863" t="n"/>
      <c r="AE124" s="863" t="n"/>
      <c r="AF124" s="863" t="n"/>
      <c r="AG124" s="863" t="n"/>
      <c r="AH124" s="863" t="n"/>
      <c r="AI124" s="863" t="n"/>
      <c r="AJ124" s="862" t="n"/>
      <c r="AK124" s="862" t="n"/>
      <c r="AL124" s="862" t="n"/>
      <c r="AM124" s="862" t="n"/>
      <c r="AN124" s="862" t="n"/>
      <c r="AO124" s="862" t="n"/>
      <c r="AP124" s="862" t="n"/>
      <c r="AQ124" s="862" t="n"/>
      <c r="AR124" s="862" t="n"/>
      <c r="AS124" s="862" t="n"/>
      <c r="AT124" s="862" t="n"/>
      <c r="AU124" s="862" t="n"/>
      <c r="AV124" s="862" t="n"/>
      <c r="AW124" s="862" t="n"/>
      <c r="AX124" s="862" t="n"/>
      <c r="AY124" s="862" t="n"/>
    </row>
    <row r="125" ht="17.25" customFormat="1" customHeight="1" s="86" thickBot="1" thickTop="1">
      <c r="A125" s="96" t="inlineStr">
        <is>
          <t>CH0022</t>
        </is>
      </c>
      <c r="B125" s="83" t="inlineStr">
        <is>
          <t>All Other (Non-Commercial) Real Estate Loans/Lines of Credit</t>
        </is>
      </c>
      <c r="C125" s="336" t="inlineStr">
        <is>
          <t>All Other (Non-Commercial) Real Estate Loans/Lines of Credit</t>
        </is>
      </c>
      <c r="D125" s="863" t="n"/>
      <c r="E125" s="863" t="n"/>
      <c r="F125" s="863" t="n"/>
      <c r="G125" s="863" t="n"/>
      <c r="H125" s="863" t="n"/>
      <c r="I125" s="863" t="n"/>
      <c r="J125" s="863" t="n"/>
      <c r="K125" s="863" t="n"/>
      <c r="L125" s="863" t="n"/>
      <c r="M125" s="863" t="n"/>
      <c r="N125" s="863" t="n"/>
      <c r="O125" s="863" t="n"/>
      <c r="P125" s="863" t="n"/>
      <c r="Q125" s="863" t="n"/>
      <c r="R125" s="863" t="n"/>
      <c r="S125" s="863" t="n"/>
      <c r="T125" s="863" t="n"/>
      <c r="U125" s="863" t="n"/>
      <c r="V125" s="863" t="n"/>
      <c r="W125" s="863" t="n"/>
      <c r="X125" s="863" t="n"/>
      <c r="Y125" s="863" t="n"/>
      <c r="Z125" s="863" t="n"/>
      <c r="AA125" s="863" t="n"/>
      <c r="AB125" s="863" t="n"/>
      <c r="AC125" s="863" t="n"/>
      <c r="AD125" s="863" t="n"/>
      <c r="AE125" s="863" t="n"/>
      <c r="AF125" s="863" t="n"/>
      <c r="AG125" s="863" t="n"/>
      <c r="AH125" s="863" t="n"/>
      <c r="AI125" s="863" t="n"/>
      <c r="AJ125" s="862" t="n"/>
      <c r="AK125" s="862" t="n"/>
      <c r="AL125" s="862" t="n"/>
      <c r="AM125" s="862" t="n"/>
      <c r="AN125" s="862" t="n"/>
      <c r="AO125" s="862" t="n"/>
      <c r="AP125" s="862" t="n"/>
      <c r="AQ125" s="862" t="n"/>
      <c r="AR125" s="862" t="n"/>
      <c r="AS125" s="862" t="n"/>
      <c r="AT125" s="862" t="n"/>
      <c r="AU125" s="862" t="n"/>
      <c r="AV125" s="862" t="n"/>
      <c r="AW125" s="862" t="n"/>
      <c r="AX125" s="862" t="n"/>
      <c r="AY125" s="862" t="n"/>
    </row>
    <row r="126" ht="17.25" customFormat="1" customHeight="1" s="86" thickBot="1" thickTop="1">
      <c r="A126" s="96" t="inlineStr">
        <is>
          <t>CH0024</t>
        </is>
      </c>
      <c r="B126" s="83" t="inlineStr">
        <is>
          <t>Construction and Development Loans</t>
        </is>
      </c>
      <c r="C126" s="336" t="inlineStr">
        <is>
          <t>Commercial Loans/Lines of Credit Real Estate Secured</t>
        </is>
      </c>
      <c r="D126" s="863" t="n"/>
      <c r="E126" s="863" t="n"/>
      <c r="F126" s="863" t="n"/>
      <c r="G126" s="863" t="n"/>
      <c r="H126" s="863" t="n"/>
      <c r="I126" s="863" t="n"/>
      <c r="J126" s="863" t="n"/>
      <c r="K126" s="863" t="n"/>
      <c r="L126" s="863" t="n"/>
      <c r="M126" s="863" t="n"/>
      <c r="N126" s="863" t="n"/>
      <c r="O126" s="863" t="n"/>
      <c r="P126" s="863" t="n"/>
      <c r="Q126" s="863" t="n"/>
      <c r="R126" s="863" t="n"/>
      <c r="S126" s="863" t="n"/>
      <c r="T126" s="863" t="n"/>
      <c r="U126" s="863" t="n"/>
      <c r="V126" s="863" t="n"/>
      <c r="W126" s="863" t="n"/>
      <c r="X126" s="863" t="n"/>
      <c r="Y126" s="863" t="n"/>
      <c r="Z126" s="863" t="n"/>
      <c r="AA126" s="863" t="n"/>
      <c r="AB126" s="863" t="n"/>
      <c r="AC126" s="863" t="n"/>
      <c r="AD126" s="863" t="n"/>
      <c r="AE126" s="863" t="n"/>
      <c r="AF126" s="863" t="n"/>
      <c r="AG126" s="863" t="n"/>
      <c r="AH126" s="863" t="n"/>
      <c r="AI126" s="863" t="n"/>
      <c r="AJ126" s="862" t="n"/>
      <c r="AK126" s="862" t="n"/>
      <c r="AL126" s="862" t="n"/>
      <c r="AM126" s="862" t="n"/>
      <c r="AN126" s="862" t="n"/>
      <c r="AO126" s="862" t="n"/>
      <c r="AP126" s="862" t="n"/>
      <c r="AQ126" s="862" t="n"/>
      <c r="AR126" s="862" t="n"/>
      <c r="AS126" s="862" t="n"/>
      <c r="AT126" s="862" t="n"/>
      <c r="AU126" s="862" t="n"/>
      <c r="AV126" s="862" t="n"/>
      <c r="AW126" s="862" t="n"/>
      <c r="AX126" s="862" t="n"/>
      <c r="AY126" s="862" t="n"/>
    </row>
    <row r="127" ht="17.25" customFormat="1" customHeight="1" s="86" thickBot="1" thickTop="1">
      <c r="A127" s="96" t="inlineStr">
        <is>
          <t>CH0026</t>
        </is>
      </c>
      <c r="B127" s="83" t="inlineStr">
        <is>
          <t>Secured by Farmland</t>
        </is>
      </c>
      <c r="C127" s="336" t="inlineStr">
        <is>
          <t>Commercial Loans/Lines of Credit Real Estate Secured</t>
        </is>
      </c>
      <c r="D127" s="863" t="n"/>
      <c r="E127" s="863" t="n"/>
      <c r="F127" s="863" t="n"/>
      <c r="G127" s="863" t="n"/>
      <c r="H127" s="863" t="n"/>
      <c r="I127" s="863" t="n"/>
      <c r="J127" s="863" t="n"/>
      <c r="K127" s="863" t="n"/>
      <c r="L127" s="863" t="n"/>
      <c r="M127" s="863" t="n"/>
      <c r="N127" s="863" t="n"/>
      <c r="O127" s="863" t="n"/>
      <c r="P127" s="863" t="n"/>
      <c r="Q127" s="863" t="n"/>
      <c r="R127" s="863" t="n"/>
      <c r="S127" s="863" t="n"/>
      <c r="T127" s="863" t="n"/>
      <c r="U127" s="863" t="n"/>
      <c r="V127" s="863" t="n"/>
      <c r="W127" s="863" t="n"/>
      <c r="X127" s="863" t="n"/>
      <c r="Y127" s="863" t="n"/>
      <c r="Z127" s="863" t="n"/>
      <c r="AA127" s="863" t="n"/>
      <c r="AB127" s="863" t="n"/>
      <c r="AC127" s="863" t="n"/>
      <c r="AD127" s="863" t="n"/>
      <c r="AE127" s="863" t="n"/>
      <c r="AF127" s="863" t="n"/>
      <c r="AG127" s="863" t="n"/>
      <c r="AH127" s="863" t="n"/>
      <c r="AI127" s="863" t="n"/>
      <c r="AJ127" s="862" t="n"/>
      <c r="AK127" s="862" t="n"/>
      <c r="AL127" s="862" t="n"/>
      <c r="AM127" s="862" t="n"/>
      <c r="AN127" s="862" t="n"/>
      <c r="AO127" s="862" t="n"/>
      <c r="AP127" s="862" t="n"/>
      <c r="AQ127" s="862" t="n"/>
      <c r="AR127" s="862" t="n"/>
      <c r="AS127" s="862" t="n"/>
      <c r="AT127" s="862" t="n"/>
      <c r="AU127" s="862" t="n"/>
      <c r="AV127" s="862" t="n"/>
      <c r="AW127" s="862" t="n"/>
      <c r="AX127" s="862" t="n"/>
      <c r="AY127" s="862" t="n"/>
    </row>
    <row r="128" ht="17.25" customFormat="1" customHeight="1" s="86" thickBot="1" thickTop="1">
      <c r="A128" s="96" t="inlineStr">
        <is>
          <t>CH0028</t>
        </is>
      </c>
      <c r="B128" s="83" t="inlineStr">
        <is>
          <t>Secured by Multifamily</t>
        </is>
      </c>
      <c r="C128" s="336" t="inlineStr">
        <is>
          <t>Commercial Loans/Lines of Credit Real Estate Secured</t>
        </is>
      </c>
      <c r="D128" s="863" t="n"/>
      <c r="E128" s="863" t="n"/>
      <c r="F128" s="863" t="n"/>
      <c r="G128" s="863" t="n"/>
      <c r="H128" s="863" t="n"/>
      <c r="I128" s="863" t="n"/>
      <c r="J128" s="863" t="n"/>
      <c r="K128" s="863" t="n"/>
      <c r="L128" s="863" t="n"/>
      <c r="M128" s="863" t="n"/>
      <c r="N128" s="863" t="n"/>
      <c r="O128" s="863" t="n"/>
      <c r="P128" s="863" t="n"/>
      <c r="Q128" s="863" t="n"/>
      <c r="R128" s="863" t="n"/>
      <c r="S128" s="863" t="n"/>
      <c r="T128" s="863" t="n"/>
      <c r="U128" s="863" t="n"/>
      <c r="V128" s="863" t="n"/>
      <c r="W128" s="863" t="n"/>
      <c r="X128" s="863" t="n"/>
      <c r="Y128" s="863" t="n"/>
      <c r="Z128" s="863" t="n"/>
      <c r="AA128" s="863" t="n"/>
      <c r="AB128" s="863" t="n"/>
      <c r="AC128" s="863" t="n"/>
      <c r="AD128" s="863" t="n"/>
      <c r="AE128" s="863" t="n"/>
      <c r="AF128" s="863" t="n"/>
      <c r="AG128" s="863" t="n"/>
      <c r="AH128" s="863" t="n"/>
      <c r="AI128" s="863" t="n"/>
      <c r="AJ128" s="862" t="n"/>
      <c r="AK128" s="862" t="n"/>
      <c r="AL128" s="862" t="n"/>
      <c r="AM128" s="862" t="n"/>
      <c r="AN128" s="862" t="n"/>
      <c r="AO128" s="862" t="n"/>
      <c r="AP128" s="862" t="n"/>
      <c r="AQ128" s="862" t="n"/>
      <c r="AR128" s="862" t="n"/>
      <c r="AS128" s="862" t="n"/>
      <c r="AT128" s="862" t="n"/>
      <c r="AU128" s="862" t="n"/>
      <c r="AV128" s="862" t="n"/>
      <c r="AW128" s="862" t="n"/>
      <c r="AX128" s="862" t="n"/>
      <c r="AY128" s="862" t="n"/>
    </row>
    <row r="129" ht="17.25" customFormat="1" customHeight="1" s="86" thickBot="1" thickTop="1">
      <c r="A129" s="96" t="inlineStr">
        <is>
          <t>CH0030</t>
        </is>
      </c>
      <c r="B129" s="83" t="inlineStr">
        <is>
          <t>Secured by Owner Occupied, Non-Farm, Non-Residential Property</t>
        </is>
      </c>
      <c r="C129" s="336" t="inlineStr">
        <is>
          <t>Commercial Loans/Lines of Credit Not Real Estate Secured</t>
        </is>
      </c>
      <c r="D129" s="863" t="n"/>
      <c r="E129" s="863" t="n"/>
      <c r="F129" s="863" t="n"/>
      <c r="G129" s="863" t="n"/>
      <c r="H129" s="863" t="n"/>
      <c r="I129" s="863" t="n"/>
      <c r="J129" s="863" t="n"/>
      <c r="K129" s="863" t="n"/>
      <c r="L129" s="863" t="n"/>
      <c r="M129" s="863" t="n"/>
      <c r="N129" s="863" t="n"/>
      <c r="O129" s="863" t="n"/>
      <c r="P129" s="863" t="n"/>
      <c r="Q129" s="863" t="n"/>
      <c r="R129" s="863" t="n"/>
      <c r="S129" s="863" t="n"/>
      <c r="T129" s="863" t="n"/>
      <c r="U129" s="863" t="n"/>
      <c r="V129" s="863" t="n"/>
      <c r="W129" s="863" t="n"/>
      <c r="X129" s="863" t="n"/>
      <c r="Y129" s="863" t="n"/>
      <c r="Z129" s="863" t="n"/>
      <c r="AA129" s="863" t="n"/>
      <c r="AB129" s="863" t="n"/>
      <c r="AC129" s="863" t="n"/>
      <c r="AD129" s="863" t="n"/>
      <c r="AE129" s="863" t="n"/>
      <c r="AF129" s="863" t="n"/>
      <c r="AG129" s="863" t="n"/>
      <c r="AH129" s="863" t="n"/>
      <c r="AI129" s="863" t="n"/>
      <c r="AJ129" s="862" t="n"/>
      <c r="AK129" s="862" t="n"/>
      <c r="AL129" s="862" t="n"/>
      <c r="AM129" s="862" t="n"/>
      <c r="AN129" s="862" t="n"/>
      <c r="AO129" s="862" t="n"/>
      <c r="AP129" s="862" t="n"/>
      <c r="AQ129" s="862" t="n"/>
      <c r="AR129" s="862" t="n"/>
      <c r="AS129" s="862" t="n"/>
      <c r="AT129" s="862" t="n"/>
      <c r="AU129" s="862" t="n"/>
      <c r="AV129" s="862" t="n"/>
      <c r="AW129" s="862" t="n"/>
      <c r="AX129" s="862" t="n"/>
      <c r="AY129" s="862" t="n"/>
    </row>
    <row r="130" ht="17.25" customFormat="1" customHeight="1" s="86" thickBot="1" thickTop="1">
      <c r="A130" s="96" t="inlineStr">
        <is>
          <t>CH0032</t>
        </is>
      </c>
      <c r="B130" s="83" t="inlineStr">
        <is>
          <t>Secured by Non-Owner Occupied, Non-Farm, Non-Residential Property</t>
        </is>
      </c>
      <c r="C130" s="336" t="inlineStr">
        <is>
          <t>Commercial Loans/Lines of Credit Not Real Estate Secured</t>
        </is>
      </c>
      <c r="D130" s="863" t="n"/>
      <c r="E130" s="863" t="n"/>
      <c r="F130" s="863" t="n"/>
      <c r="G130" s="863" t="n"/>
      <c r="H130" s="863" t="n"/>
      <c r="I130" s="863" t="n"/>
      <c r="J130" s="863" t="n"/>
      <c r="K130" s="863" t="n"/>
      <c r="L130" s="863" t="n"/>
      <c r="M130" s="863" t="n"/>
      <c r="N130" s="863" t="n"/>
      <c r="O130" s="863" t="n"/>
      <c r="P130" s="863" t="n"/>
      <c r="Q130" s="863" t="n"/>
      <c r="R130" s="863" t="n"/>
      <c r="S130" s="863" t="n"/>
      <c r="T130" s="863" t="n"/>
      <c r="U130" s="863" t="n"/>
      <c r="V130" s="863" t="n"/>
      <c r="W130" s="863" t="n"/>
      <c r="X130" s="863" t="n"/>
      <c r="Y130" s="863" t="n"/>
      <c r="Z130" s="863" t="n"/>
      <c r="AA130" s="863" t="n"/>
      <c r="AB130" s="863" t="n"/>
      <c r="AC130" s="863" t="n"/>
      <c r="AD130" s="863" t="n"/>
      <c r="AE130" s="863" t="n"/>
      <c r="AF130" s="863" t="n"/>
      <c r="AG130" s="863" t="n"/>
      <c r="AH130" s="863" t="n"/>
      <c r="AI130" s="863" t="n"/>
      <c r="AJ130" s="862" t="n"/>
      <c r="AK130" s="862" t="n"/>
      <c r="AL130" s="862" t="n"/>
      <c r="AM130" s="862" t="n"/>
      <c r="AN130" s="862" t="n"/>
      <c r="AO130" s="862" t="n"/>
      <c r="AP130" s="862" t="n"/>
      <c r="AQ130" s="862" t="n"/>
      <c r="AR130" s="862" t="n"/>
      <c r="AS130" s="862" t="n"/>
      <c r="AT130" s="862" t="n"/>
      <c r="AU130" s="862" t="n"/>
      <c r="AV130" s="862" t="n"/>
      <c r="AW130" s="862" t="n"/>
      <c r="AX130" s="862" t="n"/>
      <c r="AY130" s="862" t="n"/>
    </row>
    <row r="131" ht="17.25" customFormat="1" customHeight="1" s="86" thickBot="1" thickTop="1">
      <c r="A131" s="96" t="inlineStr">
        <is>
          <t>CH0034</t>
        </is>
      </c>
      <c r="B131" s="83" t="inlineStr">
        <is>
          <t>Loans to finance agricultural production and other loans to farmers</t>
        </is>
      </c>
      <c r="C131" s="336" t="inlineStr">
        <is>
          <t>Commercial Loans/Lines of Credit Not Real Estate Secured</t>
        </is>
      </c>
      <c r="D131" s="863" t="n"/>
      <c r="E131" s="863" t="n"/>
      <c r="F131" s="863" t="n"/>
      <c r="G131" s="863" t="n"/>
      <c r="H131" s="863" t="n"/>
      <c r="I131" s="863" t="n"/>
      <c r="J131" s="863" t="n"/>
      <c r="K131" s="863" t="n"/>
      <c r="L131" s="863" t="n"/>
      <c r="M131" s="863" t="n"/>
      <c r="N131" s="863" t="n"/>
      <c r="O131" s="863" t="n"/>
      <c r="P131" s="863" t="n"/>
      <c r="Q131" s="863" t="n"/>
      <c r="R131" s="863" t="n"/>
      <c r="S131" s="863" t="n"/>
      <c r="T131" s="863" t="n"/>
      <c r="U131" s="863" t="n"/>
      <c r="V131" s="863" t="n"/>
      <c r="W131" s="863" t="n"/>
      <c r="X131" s="863" t="n"/>
      <c r="Y131" s="863" t="n"/>
      <c r="Z131" s="863" t="n"/>
      <c r="AA131" s="863" t="n"/>
      <c r="AB131" s="863" t="n"/>
      <c r="AC131" s="863" t="n"/>
      <c r="AD131" s="863" t="n"/>
      <c r="AE131" s="863" t="n"/>
      <c r="AF131" s="863" t="n"/>
      <c r="AG131" s="863" t="n"/>
      <c r="AH131" s="863" t="n"/>
      <c r="AI131" s="863" t="n"/>
      <c r="AJ131" s="862" t="n"/>
      <c r="AK131" s="862" t="n"/>
      <c r="AL131" s="862" t="n"/>
      <c r="AM131" s="862" t="n"/>
      <c r="AN131" s="862" t="n"/>
      <c r="AO131" s="862" t="n"/>
      <c r="AP131" s="862" t="n"/>
      <c r="AQ131" s="862" t="n"/>
      <c r="AR131" s="862" t="n"/>
      <c r="AS131" s="862" t="n"/>
      <c r="AT131" s="862" t="n"/>
      <c r="AU131" s="862" t="n"/>
      <c r="AV131" s="862" t="n"/>
      <c r="AW131" s="862" t="n"/>
      <c r="AX131" s="862" t="n"/>
      <c r="AY131" s="862" t="n"/>
    </row>
    <row r="132" ht="17.25" customFormat="1" customHeight="1" s="86" thickBot="1" thickTop="1">
      <c r="A132" s="96" t="inlineStr">
        <is>
          <t>CH0036</t>
        </is>
      </c>
      <c r="B132" s="83" t="inlineStr">
        <is>
          <t>Commercial and Industrial Loans</t>
        </is>
      </c>
      <c r="C132" s="336" t="inlineStr">
        <is>
          <t>Commercial Loans/Lines of Credit Real Estate Secured</t>
        </is>
      </c>
      <c r="D132" s="863" t="n"/>
      <c r="E132" s="863" t="n"/>
      <c r="F132" s="863" t="n"/>
      <c r="G132" s="863" t="n"/>
      <c r="H132" s="863" t="n"/>
      <c r="I132" s="863" t="n"/>
      <c r="J132" s="863" t="n"/>
      <c r="K132" s="863" t="n"/>
      <c r="L132" s="863" t="n"/>
      <c r="M132" s="863" t="n"/>
      <c r="N132" s="863" t="n"/>
      <c r="O132" s="863" t="n"/>
      <c r="P132" s="863" t="n"/>
      <c r="Q132" s="863" t="n"/>
      <c r="R132" s="863" t="n"/>
      <c r="S132" s="863" t="n"/>
      <c r="T132" s="863" t="n"/>
      <c r="U132" s="863" t="n"/>
      <c r="V132" s="863" t="n"/>
      <c r="W132" s="863" t="n"/>
      <c r="X132" s="863" t="n"/>
      <c r="Y132" s="863" t="n"/>
      <c r="Z132" s="863" t="n"/>
      <c r="AA132" s="863" t="n"/>
      <c r="AB132" s="863" t="n"/>
      <c r="AC132" s="863" t="n"/>
      <c r="AD132" s="863" t="n"/>
      <c r="AE132" s="863" t="n"/>
      <c r="AF132" s="863" t="n"/>
      <c r="AG132" s="863" t="n"/>
      <c r="AH132" s="863" t="n"/>
      <c r="AI132" s="863" t="n"/>
      <c r="AJ132" s="862" t="n"/>
      <c r="AK132" s="862" t="n"/>
      <c r="AL132" s="862" t="n"/>
      <c r="AM132" s="862" t="n"/>
      <c r="AN132" s="862" t="n"/>
      <c r="AO132" s="862" t="n"/>
      <c r="AP132" s="862" t="n"/>
      <c r="AQ132" s="862" t="n"/>
      <c r="AR132" s="862" t="n"/>
      <c r="AS132" s="862" t="n"/>
      <c r="AT132" s="862" t="n"/>
      <c r="AU132" s="862" t="n"/>
      <c r="AV132" s="862" t="n"/>
      <c r="AW132" s="862" t="n"/>
      <c r="AX132" s="862" t="n"/>
      <c r="AY132" s="862" t="n"/>
    </row>
    <row r="133" ht="17.25" customFormat="1" customHeight="1" s="86" thickBot="1" thickTop="1">
      <c r="A133" s="96" t="inlineStr">
        <is>
          <t>CH0038</t>
        </is>
      </c>
      <c r="B133" s="83" t="inlineStr">
        <is>
          <t>Unsecured Commercial Loans</t>
        </is>
      </c>
      <c r="C133" s="336" t="inlineStr">
        <is>
          <t>Commercial Loans/Lines of Credit Not Real Estate Secured</t>
        </is>
      </c>
      <c r="D133" s="863" t="n"/>
      <c r="E133" s="863" t="n"/>
      <c r="F133" s="863" t="n"/>
      <c r="G133" s="863" t="n"/>
      <c r="H133" s="863" t="n"/>
      <c r="I133" s="863" t="n"/>
      <c r="J133" s="863" t="n"/>
      <c r="K133" s="863" t="n"/>
      <c r="L133" s="863" t="n"/>
      <c r="M133" s="863" t="n"/>
      <c r="N133" s="863" t="n"/>
      <c r="O133" s="863" t="n"/>
      <c r="P133" s="863" t="n"/>
      <c r="Q133" s="863" t="n"/>
      <c r="R133" s="863" t="n"/>
      <c r="S133" s="863" t="n"/>
      <c r="T133" s="863" t="n"/>
      <c r="U133" s="863" t="n"/>
      <c r="V133" s="863" t="n"/>
      <c r="W133" s="863" t="n"/>
      <c r="X133" s="863" t="n"/>
      <c r="Y133" s="863" t="n"/>
      <c r="Z133" s="863" t="n"/>
      <c r="AA133" s="863" t="n"/>
      <c r="AB133" s="863" t="n"/>
      <c r="AC133" s="863" t="n"/>
      <c r="AD133" s="863" t="n"/>
      <c r="AE133" s="863" t="n"/>
      <c r="AF133" s="863" t="n"/>
      <c r="AG133" s="863" t="n"/>
      <c r="AH133" s="863" t="n"/>
      <c r="AI133" s="863" t="n"/>
      <c r="AJ133" s="862" t="n"/>
      <c r="AK133" s="862" t="n"/>
      <c r="AL133" s="862" t="n"/>
      <c r="AM133" s="862" t="n"/>
      <c r="AN133" s="862" t="n"/>
      <c r="AO133" s="862" t="n"/>
      <c r="AP133" s="862" t="n"/>
      <c r="AQ133" s="862" t="n"/>
      <c r="AR133" s="862" t="n"/>
      <c r="AS133" s="862" t="n"/>
      <c r="AT133" s="862" t="n"/>
      <c r="AU133" s="862" t="n"/>
      <c r="AV133" s="862" t="n"/>
      <c r="AW133" s="862" t="n"/>
      <c r="AX133" s="862" t="n"/>
      <c r="AY133" s="862" t="n"/>
    </row>
    <row r="134" ht="17.25" customFormat="1" customHeight="1" s="85" thickBot="1" thickTop="1">
      <c r="A134" s="96" t="inlineStr">
        <is>
          <t>CH0040</t>
        </is>
      </c>
      <c r="B134" s="87" t="inlineStr">
        <is>
          <t>Unsecured Revolving Lines of Credit for Commercial Purposes</t>
        </is>
      </c>
      <c r="C134" s="336" t="inlineStr">
        <is>
          <t>Commercial Loans/Lines of Credit Not Real Estate Secured</t>
        </is>
      </c>
      <c r="D134" s="867" t="n"/>
      <c r="E134" s="867" t="n"/>
      <c r="F134" s="867" t="n"/>
      <c r="G134" s="867" t="n"/>
      <c r="H134" s="867" t="n"/>
      <c r="I134" s="867" t="n"/>
      <c r="J134" s="867" t="n"/>
      <c r="K134" s="867" t="n"/>
      <c r="L134" s="867" t="n"/>
      <c r="M134" s="867" t="n"/>
      <c r="N134" s="867" t="n"/>
      <c r="O134" s="867" t="n"/>
      <c r="P134" s="867" t="n"/>
      <c r="Q134" s="867" t="n"/>
      <c r="R134" s="867" t="n"/>
      <c r="S134" s="867" t="n"/>
      <c r="T134" s="867" t="n"/>
      <c r="U134" s="867" t="n"/>
      <c r="V134" s="867" t="n"/>
      <c r="W134" s="867" t="n"/>
      <c r="X134" s="867" t="n"/>
      <c r="Y134" s="867" t="n"/>
      <c r="Z134" s="867" t="n"/>
      <c r="AA134" s="867" t="n"/>
      <c r="AB134" s="867" t="n"/>
      <c r="AC134" s="867" t="n"/>
      <c r="AD134" s="867" t="n"/>
      <c r="AE134" s="867" t="n"/>
      <c r="AF134" s="867" t="n"/>
      <c r="AG134" s="867" t="n"/>
      <c r="AH134" s="867" t="n"/>
      <c r="AI134" s="867" t="n"/>
      <c r="AJ134" s="866" t="n"/>
      <c r="AK134" s="866" t="n"/>
      <c r="AL134" s="866" t="n"/>
      <c r="AM134" s="866" t="n"/>
      <c r="AN134" s="866" t="n"/>
      <c r="AO134" s="866" t="n"/>
      <c r="AP134" s="866" t="n"/>
      <c r="AQ134" s="866" t="n"/>
      <c r="AR134" s="866" t="n"/>
      <c r="AS134" s="866" t="n"/>
      <c r="AT134" s="866" t="n"/>
      <c r="AU134" s="866" t="n"/>
      <c r="AV134" s="866" t="n"/>
      <c r="AW134" s="866" t="n"/>
      <c r="AX134" s="866" t="n"/>
      <c r="AY134" s="866" t="n"/>
    </row>
    <row r="135" ht="16.5" customFormat="1" customHeight="1" s="85" thickBot="1">
      <c r="A135" s="96" t="inlineStr">
        <is>
          <t>551</t>
        </is>
      </c>
      <c r="B135" s="87" t="inlineStr">
        <is>
          <t>Total Recoveries</t>
        </is>
      </c>
      <c r="C135" s="328" t="n"/>
      <c r="D135" s="867">
        <f>SUM(D106:D114)</f>
        <v/>
      </c>
      <c r="E135" s="867">
        <f>SUM(E106:E114)</f>
        <v/>
      </c>
      <c r="F135" s="867">
        <f>SUM(F106:F114)</f>
        <v/>
      </c>
      <c r="G135" s="867">
        <f>SUM(G106:G114)</f>
        <v/>
      </c>
      <c r="H135" s="867">
        <f>SUM(H106:H114)</f>
        <v/>
      </c>
      <c r="I135" s="867">
        <f>SUM(I106:I114)</f>
        <v/>
      </c>
      <c r="J135" s="867">
        <f>SUM(J106:J114)</f>
        <v/>
      </c>
      <c r="K135" s="867">
        <f>SUM(K106:K114)</f>
        <v/>
      </c>
      <c r="L135" s="867">
        <f>SUM(L106:L114)</f>
        <v/>
      </c>
      <c r="M135" s="867">
        <f>SUM(M106:M114)</f>
        <v/>
      </c>
      <c r="N135" s="867">
        <f>SUM(N106:N114)</f>
        <v/>
      </c>
      <c r="O135" s="867">
        <f>SUM(O106:O114)</f>
        <v/>
      </c>
      <c r="P135" s="867">
        <f>SUM(P106:P114)</f>
        <v/>
      </c>
      <c r="Q135" s="867">
        <f>SUM(Q106:Q114)</f>
        <v/>
      </c>
      <c r="R135" s="867">
        <f>SUM(R106:R114)</f>
        <v/>
      </c>
      <c r="S135" s="867">
        <f>SUM(S106:S114)</f>
        <v/>
      </c>
      <c r="T135" s="867">
        <f>SUM(T106:T114)</f>
        <v/>
      </c>
      <c r="U135" s="867">
        <f>SUM(U106:U114)</f>
        <v/>
      </c>
      <c r="V135" s="867">
        <f>SUM(V106:V114)</f>
        <v/>
      </c>
      <c r="W135" s="867">
        <f>SUM(W106:W114)</f>
        <v/>
      </c>
      <c r="X135" s="867">
        <f>SUM(X106:X114)</f>
        <v/>
      </c>
      <c r="Y135" s="867">
        <f>SUM(Y106:Y114)</f>
        <v/>
      </c>
      <c r="Z135" s="867">
        <f>SUM(Z106:Z114)</f>
        <v/>
      </c>
      <c r="AA135" s="867">
        <f>SUM(AA106:AA114)</f>
        <v/>
      </c>
      <c r="AB135" s="867">
        <f>SUM(AB106:AB114)</f>
        <v/>
      </c>
      <c r="AC135" s="867">
        <f>SUM(AC106:AC114)</f>
        <v/>
      </c>
      <c r="AD135" s="867">
        <f>SUM(AD106:AD114)</f>
        <v/>
      </c>
      <c r="AE135" s="867">
        <f>SUM(AE106:AE114)</f>
        <v/>
      </c>
      <c r="AF135" s="867">
        <f>SUM(AF106:AF114)</f>
        <v/>
      </c>
      <c r="AG135" s="867">
        <f>SUM(AG106:AG114)</f>
        <v/>
      </c>
      <c r="AH135" s="867">
        <f>SUM(AH106:AH114)</f>
        <v/>
      </c>
      <c r="AI135" s="867">
        <f>SUM(AI106:AI114)</f>
        <v/>
      </c>
      <c r="AJ135" s="867">
        <f>SUM(AJ106:AJ114)</f>
        <v/>
      </c>
      <c r="AK135" s="867">
        <f>SUM(AK106:AK134)</f>
        <v/>
      </c>
      <c r="AL135" s="867">
        <f>SUM(AL106:AL134)</f>
        <v/>
      </c>
      <c r="AM135" s="867">
        <f>SUM(AM106:AM134)</f>
        <v/>
      </c>
      <c r="AN135" s="867">
        <f>SUM(AN106:AN134)</f>
        <v/>
      </c>
      <c r="AO135" s="867">
        <f>SUM(AO106:AO134)</f>
        <v/>
      </c>
      <c r="AP135" s="867">
        <f>SUM(AP106:AP134)</f>
        <v/>
      </c>
      <c r="AQ135" s="867">
        <f>SUM(AQ106:AQ134)</f>
        <v/>
      </c>
      <c r="AR135" s="867">
        <f>SUM(AR106:AR134)</f>
        <v/>
      </c>
      <c r="AS135" s="867">
        <f>SUM(AS106:AS134)</f>
        <v/>
      </c>
      <c r="AT135" s="867">
        <f>SUM(AT106:AT134)</f>
        <v/>
      </c>
      <c r="AU135" s="867">
        <f>SUM(AU106:AU134)</f>
        <v/>
      </c>
      <c r="AV135" s="867">
        <f>SUM(AV106:AV134)</f>
        <v/>
      </c>
      <c r="AW135" s="867">
        <f>SUM(AW106:AW134)</f>
        <v/>
      </c>
      <c r="AX135" s="867">
        <f>SUM(AX106:AX134)</f>
        <v/>
      </c>
      <c r="AY135" s="867">
        <f>SUM(AY106:AY134)</f>
        <v/>
      </c>
    </row>
    <row r="136" ht="12.75" customFormat="1" customHeight="1" s="85">
      <c r="A136" s="96" t="n"/>
    </row>
    <row r="137" ht="15.75" customFormat="1" customHeight="1" s="85">
      <c r="A137" s="96" t="n"/>
      <c r="B137" s="83" t="inlineStr">
        <is>
          <t>State</t>
        </is>
      </c>
      <c r="C137" s="251" t="n"/>
      <c r="D137" s="863" t="n"/>
      <c r="E137" s="863" t="n"/>
      <c r="F137" s="863" t="n"/>
      <c r="G137" s="863" t="n"/>
      <c r="H137" s="863" t="n"/>
      <c r="I137" s="863" t="n"/>
      <c r="J137" s="863" t="n"/>
      <c r="K137" s="863" t="n"/>
      <c r="L137" s="863" t="n"/>
      <c r="M137" s="863" t="n"/>
      <c r="N137" s="863" t="n"/>
      <c r="O137" s="863" t="n"/>
      <c r="P137" s="863" t="n"/>
      <c r="Q137" s="863" t="n"/>
      <c r="R137" s="863" t="n"/>
      <c r="S137" s="863" t="n"/>
      <c r="T137" s="863" t="n"/>
      <c r="U137" s="863" t="n"/>
      <c r="V137" s="863" t="n"/>
      <c r="W137" s="863" t="n"/>
      <c r="X137" s="863" t="n"/>
      <c r="Y137" s="863" t="n"/>
      <c r="Z137" s="863" t="n"/>
      <c r="AA137" s="863" t="n"/>
      <c r="AB137" s="863" t="n"/>
      <c r="AC137" s="863" t="n"/>
      <c r="AD137" s="863" t="n"/>
      <c r="AE137" s="863" t="n"/>
      <c r="AF137" s="863" t="n"/>
      <c r="AG137" s="863" t="n"/>
      <c r="AH137" s="863" t="n"/>
      <c r="AI137" s="863" t="n"/>
      <c r="AJ137" s="863" t="n"/>
      <c r="AK137" s="863" t="n"/>
      <c r="AL137" s="863" t="n"/>
      <c r="AM137" s="863" t="n"/>
      <c r="AN137" s="863" t="n"/>
      <c r="AO137" s="863" t="n"/>
      <c r="AP137" s="863" t="n"/>
      <c r="AQ137" s="863" t="n"/>
      <c r="AR137" s="863" t="n"/>
      <c r="AS137" s="863" t="n"/>
      <c r="AT137" s="863" t="n"/>
      <c r="AU137" s="863" t="n"/>
      <c r="AV137" s="863" t="n"/>
      <c r="AW137" s="863">
        <f>A4</f>
        <v/>
      </c>
      <c r="AX137" s="863">
        <f>A4</f>
        <v/>
      </c>
      <c r="AY137" s="863">
        <f>B4</f>
        <v/>
      </c>
    </row>
    <row r="138" ht="16.5" customFormat="1" customHeight="1" s="85" thickBot="1">
      <c r="A138" s="96" t="n"/>
      <c r="B138" s="83" t="inlineStr">
        <is>
          <t>County</t>
        </is>
      </c>
      <c r="C138" s="251" t="n"/>
      <c r="D138" s="863" t="n"/>
      <c r="E138" s="863" t="n"/>
      <c r="F138" s="863" t="n"/>
      <c r="G138" s="863" t="n"/>
      <c r="H138" s="863" t="n"/>
      <c r="I138" s="863" t="n"/>
      <c r="J138" s="863" t="n"/>
      <c r="K138" s="863" t="n"/>
      <c r="L138" s="863" t="n"/>
      <c r="M138" s="863" t="n"/>
      <c r="N138" s="863" t="n"/>
      <c r="O138" s="863" t="n"/>
      <c r="P138" s="863" t="n"/>
      <c r="Q138" s="863" t="n"/>
      <c r="R138" s="863" t="n"/>
      <c r="S138" s="863" t="n"/>
      <c r="T138" s="863" t="n"/>
      <c r="U138" s="863" t="n"/>
      <c r="V138" s="863" t="n"/>
      <c r="W138" s="863" t="n"/>
      <c r="X138" s="863" t="n"/>
      <c r="Y138" s="863" t="n"/>
      <c r="Z138" s="863" t="n"/>
      <c r="AA138" s="863" t="n"/>
      <c r="AB138" s="863" t="n"/>
      <c r="AC138" s="863" t="n"/>
      <c r="AD138" s="863" t="n"/>
      <c r="AE138" s="863" t="n"/>
      <c r="AF138" s="863" t="n"/>
      <c r="AG138" s="863" t="n"/>
      <c r="AH138" s="863" t="n"/>
      <c r="AI138" s="863" t="n"/>
      <c r="AJ138" s="863" t="n"/>
      <c r="AK138" s="863" t="n"/>
      <c r="AL138" s="863" t="n"/>
      <c r="AM138" s="863" t="n"/>
      <c r="AN138" s="863" t="n"/>
      <c r="AO138" s="863" t="n"/>
      <c r="AP138" s="863" t="n"/>
      <c r="AQ138" s="863" t="n"/>
      <c r="AR138" s="863" t="n"/>
      <c r="AS138" s="863" t="n"/>
      <c r="AT138" s="863" t="n"/>
      <c r="AU138" s="863" t="n"/>
      <c r="AV138" s="863" t="n"/>
      <c r="AW138" s="863">
        <f>A5</f>
        <v/>
      </c>
      <c r="AX138" s="863">
        <f>A5</f>
        <v/>
      </c>
      <c r="AY138" s="863">
        <f>B5</f>
        <v/>
      </c>
    </row>
    <row r="139" ht="14.25" customFormat="1" customHeight="1" s="178" thickBot="1" thickTop="1">
      <c r="A139" s="177" t="n"/>
      <c r="B139" s="178" t="inlineStr">
        <is>
          <t>Unemployment Rate*</t>
        </is>
      </c>
      <c r="AW139" s="460" t="n">
        <v>0.023</v>
      </c>
      <c r="AX139" s="460" t="n">
        <v>0.023</v>
      </c>
      <c r="AY139" s="460" t="n">
        <v>0.023</v>
      </c>
      <c r="AZ139" s="178" t="inlineStr">
        <is>
          <t>BLS</t>
        </is>
      </c>
      <c r="BA139" s="340" t="inlineStr">
        <is>
          <t>http://www.bls.gov/lau/data.htm</t>
        </is>
      </c>
    </row>
    <row r="140" ht="14.25" customFormat="1" customHeight="1" s="85" thickBot="1" thickTop="1">
      <c r="A140" s="96" t="n"/>
      <c r="B140" s="85" t="inlineStr">
        <is>
          <t>Foreclosures per Person**</t>
        </is>
      </c>
      <c r="W140" s="871" t="n"/>
      <c r="X140" s="871" t="n"/>
      <c r="AW140" s="872" t="n">
        <v>4287</v>
      </c>
      <c r="AX140" s="872" t="n">
        <v>4287</v>
      </c>
      <c r="AY140" s="872" t="n">
        <v>4287</v>
      </c>
      <c r="AZ140" s="85" t="inlineStr">
        <is>
          <t>Sofi</t>
        </is>
      </c>
      <c r="BA140" s="339" t="inlineStr">
        <is>
          <t>https://www.sofi.com/learn/content/foreclosure-rates-for-50-states/</t>
        </is>
      </c>
    </row>
    <row r="141" ht="14.25" customFormat="1" customHeight="1" s="85" thickBot="1" thickTop="1">
      <c r="A141" s="96" t="n"/>
      <c r="B141" s="85" t="inlineStr">
        <is>
          <t>Bankruptcies***</t>
        </is>
      </c>
      <c r="W141" s="871" t="n"/>
      <c r="X141" s="871" t="n"/>
      <c r="AW141" s="872" t="n">
        <v>14292</v>
      </c>
      <c r="AX141" s="872" t="n">
        <v>14292</v>
      </c>
      <c r="AY141" s="872" t="n">
        <v>14292</v>
      </c>
      <c r="AZ141" s="85" t="inlineStr">
        <is>
          <t>EAFCR</t>
        </is>
      </c>
    </row>
    <row r="142" ht="14.25" customFormat="1" customHeight="1" s="85" thickBot="1" thickTop="1">
      <c r="A142" s="96" t="n"/>
      <c r="B142" s="257" t="inlineStr">
        <is>
          <t>Population***</t>
        </is>
      </c>
      <c r="C142" s="257" t="n"/>
      <c r="D142" s="257" t="n"/>
      <c r="E142" s="257" t="n"/>
      <c r="F142" s="257" t="n"/>
      <c r="G142" s="257" t="n"/>
      <c r="H142" s="257" t="n"/>
      <c r="I142" s="257" t="n"/>
      <c r="J142" s="257" t="n"/>
      <c r="K142" s="257" t="n"/>
      <c r="L142" s="257" t="n"/>
      <c r="M142" s="257" t="n"/>
      <c r="N142" s="257" t="n"/>
      <c r="O142" s="257" t="n"/>
      <c r="P142" s="257" t="n"/>
      <c r="Q142" s="257" t="n"/>
      <c r="R142" s="257" t="n"/>
      <c r="S142" s="257" t="n"/>
      <c r="T142" s="257" t="n"/>
      <c r="U142" s="257" t="n"/>
      <c r="V142" s="257" t="n"/>
      <c r="W142" s="873" t="n"/>
      <c r="X142" s="873" t="n"/>
      <c r="Y142" s="257" t="n"/>
      <c r="Z142" s="257" t="n"/>
      <c r="AA142" s="257" t="n"/>
      <c r="AB142" s="257" t="n"/>
      <c r="AC142" s="257" t="n"/>
      <c r="AD142" s="257" t="n"/>
      <c r="AE142" s="257" t="n"/>
      <c r="AF142" s="257" t="n"/>
      <c r="AG142" s="257" t="n"/>
      <c r="AH142" s="257" t="n"/>
      <c r="AI142" s="257" t="n"/>
      <c r="AJ142" s="257" t="n"/>
      <c r="AK142" s="257" t="n"/>
      <c r="AL142" s="257" t="n"/>
      <c r="AM142" s="257" t="n"/>
      <c r="AN142" s="257" t="n"/>
      <c r="AO142" s="257" t="n"/>
      <c r="AP142" s="257" t="n"/>
      <c r="AQ142" s="257" t="n"/>
      <c r="AR142" s="257" t="n"/>
      <c r="AS142" s="257" t="n"/>
      <c r="AT142" s="257" t="n"/>
      <c r="AU142" s="257" t="n"/>
      <c r="AV142" s="257" t="n"/>
      <c r="AW142" s="874" t="n">
        <v>19541453</v>
      </c>
      <c r="AX142" s="874" t="n">
        <v>19541453</v>
      </c>
      <c r="AY142" s="874" t="n">
        <v>19541453</v>
      </c>
    </row>
    <row r="143" ht="13.5" customFormat="1" customHeight="1" s="85" thickBot="1">
      <c r="A143" s="96" t="n"/>
      <c r="W143" s="871" t="n"/>
      <c r="X143" s="871" t="n"/>
    </row>
    <row r="144" ht="13.5" customFormat="1" customHeight="1" s="85" thickBot="1">
      <c r="A144" s="96" t="n"/>
      <c r="B144" s="259" t="inlineStr">
        <is>
          <t>Management Adustments</t>
        </is>
      </c>
      <c r="C144" s="329" t="n"/>
      <c r="D144" s="260">
        <f>D105</f>
        <v/>
      </c>
      <c r="E144" s="260">
        <f>E105</f>
        <v/>
      </c>
      <c r="F144" s="260">
        <f>F105</f>
        <v/>
      </c>
      <c r="G144" s="260">
        <f>G105</f>
        <v/>
      </c>
      <c r="H144" s="260">
        <f>H105</f>
        <v/>
      </c>
      <c r="I144" s="260">
        <f>I105</f>
        <v/>
      </c>
      <c r="J144" s="260">
        <f>J105</f>
        <v/>
      </c>
      <c r="K144" s="260">
        <f>K105</f>
        <v/>
      </c>
      <c r="L144" s="260">
        <f>L105</f>
        <v/>
      </c>
      <c r="M144" s="260">
        <f>M105</f>
        <v/>
      </c>
      <c r="N144" s="260">
        <f>N105</f>
        <v/>
      </c>
      <c r="O144" s="260">
        <f>O105</f>
        <v/>
      </c>
      <c r="P144" s="260">
        <f>P105</f>
        <v/>
      </c>
      <c r="Q144" s="260">
        <f>Q105</f>
        <v/>
      </c>
      <c r="R144" s="260">
        <f>R105</f>
        <v/>
      </c>
      <c r="S144" s="260">
        <f>S105</f>
        <v/>
      </c>
      <c r="T144" s="260">
        <f>T105</f>
        <v/>
      </c>
      <c r="U144" s="260">
        <f>U105</f>
        <v/>
      </c>
      <c r="V144" s="260">
        <f>V105</f>
        <v/>
      </c>
      <c r="W144" s="260">
        <f>W105</f>
        <v/>
      </c>
      <c r="X144" s="260">
        <f>X105</f>
        <v/>
      </c>
      <c r="Y144" s="260">
        <f>Y105</f>
        <v/>
      </c>
      <c r="Z144" s="260">
        <f>Z105</f>
        <v/>
      </c>
      <c r="AA144" s="260">
        <f>AA105</f>
        <v/>
      </c>
      <c r="AB144" s="260">
        <f>AB105</f>
        <v/>
      </c>
      <c r="AC144" s="260">
        <f>AC105</f>
        <v/>
      </c>
      <c r="AD144" s="260">
        <f>AD105</f>
        <v/>
      </c>
      <c r="AE144" s="260">
        <f>AE105</f>
        <v/>
      </c>
      <c r="AF144" s="260">
        <f>AF105</f>
        <v/>
      </c>
      <c r="AG144" s="260">
        <f>AG105</f>
        <v/>
      </c>
      <c r="AH144" s="260">
        <f>AH105</f>
        <v/>
      </c>
      <c r="AI144" s="260">
        <f>AI105</f>
        <v/>
      </c>
      <c r="AJ144" s="260">
        <f>AJ105</f>
        <v/>
      </c>
      <c r="AK144" s="260">
        <f>AK105</f>
        <v/>
      </c>
      <c r="AL144" s="260">
        <f>AL105</f>
        <v/>
      </c>
      <c r="AM144" s="260">
        <f>AM105</f>
        <v/>
      </c>
      <c r="AN144" s="260">
        <f>AN105</f>
        <v/>
      </c>
      <c r="AO144" s="260">
        <f>AO105</f>
        <v/>
      </c>
      <c r="AP144" s="260">
        <f>AP105</f>
        <v/>
      </c>
      <c r="AQ144" s="260">
        <f>AQ105</f>
        <v/>
      </c>
      <c r="AR144" s="260">
        <f>AR105</f>
        <v/>
      </c>
      <c r="AS144" s="260">
        <f>AS105</f>
        <v/>
      </c>
      <c r="AT144" s="260">
        <f>AT105</f>
        <v/>
      </c>
      <c r="AU144" s="260">
        <f>AU105</f>
        <v/>
      </c>
      <c r="AV144" s="260">
        <f>AV105</f>
        <v/>
      </c>
      <c r="AW144" s="260">
        <f>AW105</f>
        <v/>
      </c>
      <c r="AX144" s="260">
        <f>AX105</f>
        <v/>
      </c>
      <c r="AY144" s="260">
        <f>AY105</f>
        <v/>
      </c>
      <c r="BA144" s="91" t="n"/>
    </row>
    <row r="145" ht="15.75" customFormat="1" customHeight="1" s="85">
      <c r="A145" s="96" t="n"/>
      <c r="B145" s="83">
        <f>'Scale Calculation'!C9</f>
        <v/>
      </c>
      <c r="C145" s="253" t="n"/>
      <c r="D145" s="252" t="n"/>
      <c r="E145" s="252" t="n"/>
      <c r="F145" s="252" t="n"/>
      <c r="G145" s="252" t="n"/>
      <c r="H145" s="252" t="n"/>
      <c r="I145" s="252" t="n"/>
      <c r="J145" s="252" t="n"/>
      <c r="K145" s="252" t="n"/>
      <c r="L145" s="252" t="n"/>
      <c r="M145" s="252" t="n"/>
      <c r="N145" s="252" t="n"/>
      <c r="O145" s="252" t="n"/>
      <c r="P145" s="252" t="n"/>
      <c r="Q145" s="252" t="n"/>
      <c r="R145" s="252" t="n"/>
      <c r="S145" s="252" t="n"/>
      <c r="T145" s="252" t="n"/>
      <c r="U145" s="252" t="n"/>
      <c r="V145" s="252" t="n"/>
      <c r="W145" s="252" t="n"/>
      <c r="X145" s="252" t="n"/>
      <c r="Y145" s="252" t="n"/>
      <c r="Z145" s="252" t="n"/>
      <c r="AA145" s="252" t="n"/>
      <c r="AB145" s="252" t="n"/>
      <c r="AC145" s="252" t="n"/>
      <c r="AD145" s="252" t="n"/>
      <c r="AE145" s="252" t="n"/>
      <c r="AF145" s="252" t="n"/>
      <c r="AG145" s="252" t="n"/>
      <c r="AH145" s="252" t="n"/>
      <c r="AI145" s="252" t="n"/>
      <c r="AJ145" s="252" t="n"/>
      <c r="AK145" s="252" t="n"/>
      <c r="AL145" s="252">
        <f>'Management Adjustment'!$B$4</f>
        <v/>
      </c>
      <c r="AM145" s="252">
        <f>'Management Adjustment'!$B$4</f>
        <v/>
      </c>
      <c r="AN145" s="252">
        <f>'Management Adjustment'!$B$4</f>
        <v/>
      </c>
      <c r="AO145" s="252">
        <f>'Management Adjustment'!$B$4</f>
        <v/>
      </c>
      <c r="AP145" s="252">
        <f>'Management Adjustment'!$B$4</f>
        <v/>
      </c>
      <c r="AQ145" s="252">
        <f>'Management Adjustment'!$B$4</f>
        <v/>
      </c>
      <c r="AR145" s="252">
        <f>'Management Adjustment'!$B$4</f>
        <v/>
      </c>
      <c r="AS145" s="252">
        <f>'Management Adjustment'!$B$4</f>
        <v/>
      </c>
      <c r="AT145" s="252">
        <f>'Management Adjustment'!$B$4</f>
        <v/>
      </c>
      <c r="AU145" s="252">
        <f>'Management Adjustment'!$B$4</f>
        <v/>
      </c>
      <c r="AV145" s="252">
        <f>'Management Adjustment'!$B$4</f>
        <v/>
      </c>
      <c r="AW145" s="252">
        <f>'Management Adjustment'!$B$4</f>
        <v/>
      </c>
      <c r="AX145" s="252">
        <f>'Management Adjustment'!$B$4</f>
        <v/>
      </c>
      <c r="AY145" s="252">
        <f>'Management Adjustment'!$B$4</f>
        <v/>
      </c>
    </row>
    <row r="146" ht="15.75" customFormat="1" customHeight="1" s="85">
      <c r="A146" s="96" t="n"/>
      <c r="B146" s="83">
        <f>'Scale Calculation'!C10</f>
        <v/>
      </c>
      <c r="C146" s="331" t="n"/>
      <c r="D146" s="252" t="n"/>
      <c r="E146" s="252" t="n"/>
      <c r="F146" s="252" t="n"/>
      <c r="G146" s="252" t="n"/>
      <c r="H146" s="252" t="n"/>
      <c r="I146" s="252" t="n"/>
      <c r="J146" s="252" t="n"/>
      <c r="K146" s="252" t="n"/>
      <c r="L146" s="252" t="n"/>
      <c r="M146" s="252" t="n"/>
      <c r="N146" s="252" t="n"/>
      <c r="O146" s="252" t="n"/>
      <c r="P146" s="252" t="n"/>
      <c r="Q146" s="252" t="n"/>
      <c r="R146" s="252" t="n"/>
      <c r="S146" s="252" t="n"/>
      <c r="T146" s="252" t="n"/>
      <c r="U146" s="252" t="n"/>
      <c r="V146" s="252" t="n"/>
      <c r="W146" s="252" t="n"/>
      <c r="X146" s="252" t="n"/>
      <c r="Y146" s="252" t="n"/>
      <c r="Z146" s="252" t="n"/>
      <c r="AA146" s="252" t="n"/>
      <c r="AB146" s="252" t="n"/>
      <c r="AC146" s="252" t="n"/>
      <c r="AD146" s="252" t="n"/>
      <c r="AE146" s="252" t="n"/>
      <c r="AF146" s="252" t="n"/>
      <c r="AG146" s="252" t="n"/>
      <c r="AH146" s="252" t="n"/>
      <c r="AI146" s="252" t="n"/>
      <c r="AJ146" s="252" t="n"/>
      <c r="AK146" s="252" t="n"/>
      <c r="AL146" s="252">
        <f>'Management Adjustment'!$B$5</f>
        <v/>
      </c>
      <c r="AM146" s="252">
        <f>'Management Adjustment'!$B$5</f>
        <v/>
      </c>
      <c r="AN146" s="252">
        <f>'Management Adjustment'!$B$5</f>
        <v/>
      </c>
      <c r="AO146" s="252">
        <f>'Management Adjustment'!$B$5</f>
        <v/>
      </c>
      <c r="AP146" s="252">
        <f>'Management Adjustment'!$B$5</f>
        <v/>
      </c>
      <c r="AQ146" s="252">
        <f>'Management Adjustment'!$B$5</f>
        <v/>
      </c>
      <c r="AR146" s="252">
        <f>'Management Adjustment'!$B$5</f>
        <v/>
      </c>
      <c r="AS146" s="252">
        <f>'Management Adjustment'!$B$5</f>
        <v/>
      </c>
      <c r="AT146" s="252">
        <f>'Management Adjustment'!$B$5</f>
        <v/>
      </c>
      <c r="AU146" s="252">
        <f>'Management Adjustment'!$B$5</f>
        <v/>
      </c>
      <c r="AV146" s="252">
        <f>'Management Adjustment'!$B$5</f>
        <v/>
      </c>
      <c r="AW146" s="252">
        <f>'Management Adjustment'!$B$5</f>
        <v/>
      </c>
      <c r="AX146" s="252">
        <f>'Management Adjustment'!$B$5</f>
        <v/>
      </c>
      <c r="AY146" s="252">
        <f>'Management Adjustment'!$B$5</f>
        <v/>
      </c>
    </row>
    <row r="147" ht="15.75" customFormat="1" customHeight="1" s="85">
      <c r="A147" s="96" t="n"/>
      <c r="B147" s="83">
        <f>'Scale Calculation'!C11</f>
        <v/>
      </c>
      <c r="C147" s="331" t="n"/>
      <c r="D147" s="252" t="n"/>
      <c r="E147" s="252" t="n"/>
      <c r="F147" s="252" t="n"/>
      <c r="G147" s="252" t="n"/>
      <c r="H147" s="252" t="n"/>
      <c r="I147" s="252" t="n"/>
      <c r="J147" s="252" t="n"/>
      <c r="K147" s="252" t="n"/>
      <c r="L147" s="252" t="n"/>
      <c r="M147" s="252" t="n"/>
      <c r="N147" s="252" t="n"/>
      <c r="O147" s="252" t="n"/>
      <c r="P147" s="252" t="n"/>
      <c r="Q147" s="252" t="n"/>
      <c r="R147" s="252" t="n"/>
      <c r="S147" s="252" t="n"/>
      <c r="T147" s="252" t="n"/>
      <c r="U147" s="252" t="n"/>
      <c r="V147" s="252" t="n"/>
      <c r="W147" s="252" t="n"/>
      <c r="X147" s="252" t="n"/>
      <c r="Y147" s="252" t="n"/>
      <c r="Z147" s="252" t="n"/>
      <c r="AA147" s="252" t="n"/>
      <c r="AB147" s="252" t="n"/>
      <c r="AC147" s="252" t="n"/>
      <c r="AD147" s="252" t="n"/>
      <c r="AE147" s="252" t="n"/>
      <c r="AF147" s="252" t="n"/>
      <c r="AG147" s="252" t="n"/>
      <c r="AH147" s="252" t="n"/>
      <c r="AI147" s="252" t="n"/>
      <c r="AJ147" s="252" t="n"/>
      <c r="AK147" s="252" t="n"/>
      <c r="AL147" s="252">
        <f>'Management Adjustment'!$B$6</f>
        <v/>
      </c>
      <c r="AM147" s="252">
        <f>'Management Adjustment'!$B$6</f>
        <v/>
      </c>
      <c r="AN147" s="252">
        <f>'Management Adjustment'!$B$6</f>
        <v/>
      </c>
      <c r="AO147" s="252">
        <f>'Management Adjustment'!$B$6</f>
        <v/>
      </c>
      <c r="AP147" s="252">
        <f>'Management Adjustment'!$B$6</f>
        <v/>
      </c>
      <c r="AQ147" s="252">
        <f>'Management Adjustment'!$B$6</f>
        <v/>
      </c>
      <c r="AR147" s="252">
        <f>'Management Adjustment'!$B$6</f>
        <v/>
      </c>
      <c r="AS147" s="252">
        <f>'Management Adjustment'!$B$6</f>
        <v/>
      </c>
      <c r="AT147" s="252">
        <f>'Management Adjustment'!$B$6</f>
        <v/>
      </c>
      <c r="AU147" s="252">
        <f>'Management Adjustment'!$B$6</f>
        <v/>
      </c>
      <c r="AV147" s="252">
        <f>'Management Adjustment'!$B$6</f>
        <v/>
      </c>
      <c r="AW147" s="252">
        <f>'Management Adjustment'!$B$6</f>
        <v/>
      </c>
      <c r="AX147" s="252">
        <f>'Management Adjustment'!$B$6</f>
        <v/>
      </c>
      <c r="AY147" s="252">
        <f>'Management Adjustment'!$B$6</f>
        <v/>
      </c>
    </row>
    <row r="148" ht="15.75" customFormat="1" customHeight="1" s="85">
      <c r="A148" s="96" t="n"/>
      <c r="B148" s="83">
        <f>'Scale Calculation'!C12</f>
        <v/>
      </c>
      <c r="C148" s="331" t="n"/>
      <c r="D148" s="252" t="n"/>
      <c r="E148" s="252" t="n"/>
      <c r="F148" s="252" t="n"/>
      <c r="G148" s="252" t="n"/>
      <c r="H148" s="252" t="n"/>
      <c r="I148" s="252" t="n"/>
      <c r="J148" s="252" t="n"/>
      <c r="K148" s="252" t="n"/>
      <c r="L148" s="252" t="n"/>
      <c r="M148" s="252" t="n"/>
      <c r="N148" s="252" t="n"/>
      <c r="O148" s="252" t="n"/>
      <c r="P148" s="252" t="n"/>
      <c r="Q148" s="252" t="n"/>
      <c r="R148" s="252" t="n"/>
      <c r="S148" s="252" t="n"/>
      <c r="T148" s="252" t="n"/>
      <c r="U148" s="252" t="n"/>
      <c r="V148" s="252" t="n"/>
      <c r="W148" s="252" t="n"/>
      <c r="X148" s="252" t="n"/>
      <c r="Y148" s="252" t="n"/>
      <c r="Z148" s="252" t="n"/>
      <c r="AA148" s="252" t="n"/>
      <c r="AB148" s="252" t="n"/>
      <c r="AC148" s="252" t="n"/>
      <c r="AD148" s="252" t="n"/>
      <c r="AE148" s="252" t="n"/>
      <c r="AF148" s="252" t="n"/>
      <c r="AG148" s="252" t="n"/>
      <c r="AH148" s="252" t="n"/>
      <c r="AI148" s="252" t="n"/>
      <c r="AJ148" s="252" t="n"/>
      <c r="AK148" s="252" t="n"/>
      <c r="AL148" s="252">
        <f>'Management Adjustment'!$B$7</f>
        <v/>
      </c>
      <c r="AM148" s="252">
        <f>'Management Adjustment'!$B$7</f>
        <v/>
      </c>
      <c r="AN148" s="252">
        <f>'Management Adjustment'!$B$7</f>
        <v/>
      </c>
      <c r="AO148" s="252">
        <f>'Management Adjustment'!$B$7</f>
        <v/>
      </c>
      <c r="AP148" s="252">
        <f>'Management Adjustment'!$B$7</f>
        <v/>
      </c>
      <c r="AQ148" s="252">
        <f>'Management Adjustment'!$B$7</f>
        <v/>
      </c>
      <c r="AR148" s="252">
        <f>'Management Adjustment'!$B$7</f>
        <v/>
      </c>
      <c r="AS148" s="252">
        <f>'Management Adjustment'!$B$7</f>
        <v/>
      </c>
      <c r="AT148" s="252">
        <f>'Management Adjustment'!$B$7</f>
        <v/>
      </c>
      <c r="AU148" s="252">
        <f>'Management Adjustment'!$B$7</f>
        <v/>
      </c>
      <c r="AV148" s="252">
        <f>'Management Adjustment'!$B$7</f>
        <v/>
      </c>
      <c r="AW148" s="252">
        <f>'Management Adjustment'!$B$7</f>
        <v/>
      </c>
      <c r="AX148" s="252">
        <f>'Management Adjustment'!$B$7</f>
        <v/>
      </c>
      <c r="AY148" s="252">
        <f>'Management Adjustment'!$B$7</f>
        <v/>
      </c>
    </row>
    <row r="149" ht="15.75" customFormat="1" customHeight="1" s="85">
      <c r="A149" s="96" t="n"/>
      <c r="B149" s="83">
        <f>'Scale Calculation'!C13</f>
        <v/>
      </c>
      <c r="C149" s="331" t="n"/>
      <c r="D149" s="252" t="n"/>
      <c r="E149" s="252" t="n"/>
      <c r="F149" s="252" t="n"/>
      <c r="G149" s="252" t="n"/>
      <c r="H149" s="252" t="n"/>
      <c r="I149" s="252" t="n"/>
      <c r="J149" s="252" t="n"/>
      <c r="K149" s="252" t="n"/>
      <c r="L149" s="252" t="n"/>
      <c r="M149" s="252" t="n"/>
      <c r="N149" s="252" t="n"/>
      <c r="O149" s="252" t="n"/>
      <c r="P149" s="252" t="n"/>
      <c r="Q149" s="252" t="n"/>
      <c r="R149" s="252" t="n"/>
      <c r="S149" s="252" t="n"/>
      <c r="T149" s="252" t="n"/>
      <c r="U149" s="252" t="n"/>
      <c r="V149" s="252" t="n"/>
      <c r="W149" s="252" t="n"/>
      <c r="X149" s="252" t="n"/>
      <c r="Y149" s="252" t="n"/>
      <c r="Z149" s="252" t="n"/>
      <c r="AA149" s="252" t="n"/>
      <c r="AB149" s="252" t="n"/>
      <c r="AC149" s="252" t="n"/>
      <c r="AD149" s="252" t="n"/>
      <c r="AE149" s="252" t="n"/>
      <c r="AF149" s="252" t="n"/>
      <c r="AG149" s="252" t="n"/>
      <c r="AH149" s="252" t="n"/>
      <c r="AI149" s="252" t="n"/>
      <c r="AJ149" s="252" t="n"/>
      <c r="AK149" s="252" t="n"/>
      <c r="AL149" s="252">
        <f>'Management Adjustment'!$B$8</f>
        <v/>
      </c>
      <c r="AM149" s="252">
        <f>'Management Adjustment'!$B$8</f>
        <v/>
      </c>
      <c r="AN149" s="252">
        <f>'Management Adjustment'!$B$8</f>
        <v/>
      </c>
      <c r="AO149" s="252">
        <f>'Management Adjustment'!$B$8</f>
        <v/>
      </c>
      <c r="AP149" s="252">
        <f>'Management Adjustment'!$B$8</f>
        <v/>
      </c>
      <c r="AQ149" s="252">
        <f>'Management Adjustment'!$B$8</f>
        <v/>
      </c>
      <c r="AR149" s="252">
        <f>'Management Adjustment'!$B$8</f>
        <v/>
      </c>
      <c r="AS149" s="252">
        <f>'Management Adjustment'!$B$8</f>
        <v/>
      </c>
      <c r="AT149" s="252">
        <f>'Management Adjustment'!$B$8</f>
        <v/>
      </c>
      <c r="AU149" s="252">
        <f>'Management Adjustment'!$B$8</f>
        <v/>
      </c>
      <c r="AV149" s="252">
        <f>'Management Adjustment'!$B$8</f>
        <v/>
      </c>
      <c r="AW149" s="252">
        <f>'Management Adjustment'!$B$8</f>
        <v/>
      </c>
      <c r="AX149" s="252">
        <f>'Management Adjustment'!$B$8</f>
        <v/>
      </c>
      <c r="AY149" s="252">
        <f>'Management Adjustment'!$B$8</f>
        <v/>
      </c>
    </row>
    <row r="150" ht="15.75" customFormat="1" customHeight="1" s="85">
      <c r="A150" s="96" t="n"/>
      <c r="B150" s="83">
        <f>'Scale Calculation'!C14</f>
        <v/>
      </c>
      <c r="C150" s="331" t="n"/>
      <c r="D150" s="252" t="n"/>
      <c r="E150" s="252" t="n"/>
      <c r="F150" s="252" t="n"/>
      <c r="G150" s="252" t="n"/>
      <c r="H150" s="252" t="n"/>
      <c r="I150" s="252" t="n"/>
      <c r="J150" s="252" t="n"/>
      <c r="K150" s="252" t="n"/>
      <c r="L150" s="252" t="n"/>
      <c r="M150" s="252" t="n"/>
      <c r="N150" s="252" t="n"/>
      <c r="O150" s="252" t="n"/>
      <c r="P150" s="252" t="n"/>
      <c r="Q150" s="252" t="n"/>
      <c r="R150" s="252" t="n"/>
      <c r="S150" s="252" t="n"/>
      <c r="T150" s="252" t="n"/>
      <c r="U150" s="252" t="n"/>
      <c r="V150" s="252" t="n"/>
      <c r="W150" s="252" t="n"/>
      <c r="X150" s="252" t="n"/>
      <c r="Y150" s="252" t="n"/>
      <c r="Z150" s="252" t="n"/>
      <c r="AA150" s="252" t="n"/>
      <c r="AB150" s="252" t="n"/>
      <c r="AC150" s="252" t="n"/>
      <c r="AD150" s="252" t="n"/>
      <c r="AE150" s="252" t="n"/>
      <c r="AF150" s="252" t="n"/>
      <c r="AG150" s="252" t="n"/>
      <c r="AH150" s="252" t="n"/>
      <c r="AI150" s="252" t="n"/>
      <c r="AJ150" s="252" t="n"/>
      <c r="AK150" s="252" t="n"/>
      <c r="AL150" s="252">
        <f>'Management Adjustment'!$B$9</f>
        <v/>
      </c>
      <c r="AM150" s="252">
        <f>'Management Adjustment'!$B$9</f>
        <v/>
      </c>
      <c r="AN150" s="252">
        <f>'Management Adjustment'!$B$9</f>
        <v/>
      </c>
      <c r="AO150" s="252">
        <f>'Management Adjustment'!$B$9</f>
        <v/>
      </c>
      <c r="AP150" s="252">
        <f>'Management Adjustment'!$B$9</f>
        <v/>
      </c>
      <c r="AQ150" s="252">
        <f>'Management Adjustment'!$B$9</f>
        <v/>
      </c>
      <c r="AR150" s="252">
        <f>'Management Adjustment'!$B$9</f>
        <v/>
      </c>
      <c r="AS150" s="252">
        <f>'Management Adjustment'!$B$9</f>
        <v/>
      </c>
      <c r="AT150" s="252">
        <f>'Management Adjustment'!$B$9</f>
        <v/>
      </c>
      <c r="AU150" s="252">
        <f>'Management Adjustment'!$B$9</f>
        <v/>
      </c>
      <c r="AV150" s="252">
        <f>'Management Adjustment'!$B$9</f>
        <v/>
      </c>
      <c r="AW150" s="252">
        <f>'Management Adjustment'!$B$9</f>
        <v/>
      </c>
      <c r="AX150" s="252">
        <f>'Management Adjustment'!$B$9</f>
        <v/>
      </c>
      <c r="AY150" s="252">
        <f>'Management Adjustment'!$B$9</f>
        <v/>
      </c>
    </row>
    <row r="151" ht="15.75" customFormat="1" customHeight="1" s="85">
      <c r="A151" s="96" t="n"/>
      <c r="B151" s="83">
        <f>'Scale Calculation'!C15</f>
        <v/>
      </c>
      <c r="C151" s="331" t="n"/>
      <c r="D151" s="252" t="n"/>
      <c r="E151" s="252" t="n"/>
      <c r="F151" s="252" t="n"/>
      <c r="G151" s="252" t="n"/>
      <c r="H151" s="252" t="n"/>
      <c r="I151" s="252" t="n"/>
      <c r="J151" s="252" t="n"/>
      <c r="K151" s="252" t="n"/>
      <c r="L151" s="252" t="n"/>
      <c r="M151" s="252" t="n"/>
      <c r="N151" s="252" t="n"/>
      <c r="O151" s="252" t="n"/>
      <c r="P151" s="252" t="n"/>
      <c r="Q151" s="252" t="n"/>
      <c r="R151" s="252" t="n"/>
      <c r="S151" s="252" t="n"/>
      <c r="T151" s="252" t="n"/>
      <c r="U151" s="252" t="n"/>
      <c r="V151" s="252" t="n"/>
      <c r="W151" s="252" t="n"/>
      <c r="X151" s="252" t="n"/>
      <c r="Y151" s="252" t="n"/>
      <c r="Z151" s="252" t="n"/>
      <c r="AA151" s="252" t="n"/>
      <c r="AB151" s="252" t="n"/>
      <c r="AC151" s="252" t="n"/>
      <c r="AD151" s="252" t="n"/>
      <c r="AE151" s="252" t="n"/>
      <c r="AF151" s="252" t="n"/>
      <c r="AG151" s="252" t="n"/>
      <c r="AH151" s="252" t="n"/>
      <c r="AI151" s="252" t="n"/>
      <c r="AJ151" s="252" t="n"/>
      <c r="AK151" s="252" t="n"/>
      <c r="AL151" s="252">
        <f>'Management Adjustment'!$B$10</f>
        <v/>
      </c>
      <c r="AM151" s="252">
        <f>'Management Adjustment'!$B$10</f>
        <v/>
      </c>
      <c r="AN151" s="252">
        <f>'Management Adjustment'!$B$10</f>
        <v/>
      </c>
      <c r="AO151" s="252">
        <f>'Management Adjustment'!$B$10</f>
        <v/>
      </c>
      <c r="AP151" s="252">
        <f>'Management Adjustment'!$B$10</f>
        <v/>
      </c>
      <c r="AQ151" s="252">
        <f>'Management Adjustment'!$B$10</f>
        <v/>
      </c>
      <c r="AR151" s="252">
        <f>'Management Adjustment'!$B$10</f>
        <v/>
      </c>
      <c r="AS151" s="252">
        <f>'Management Adjustment'!$B$10</f>
        <v/>
      </c>
      <c r="AT151" s="252">
        <f>'Management Adjustment'!$B$10</f>
        <v/>
      </c>
      <c r="AU151" s="252">
        <f>'Management Adjustment'!$B$10</f>
        <v/>
      </c>
      <c r="AV151" s="252">
        <f>'Management Adjustment'!$B$10</f>
        <v/>
      </c>
      <c r="AW151" s="252">
        <f>'Management Adjustment'!$B$10</f>
        <v/>
      </c>
      <c r="AX151" s="252">
        <f>'Management Adjustment'!$B$10</f>
        <v/>
      </c>
      <c r="AY151" s="252">
        <f>'Management Adjustment'!$B$10</f>
        <v/>
      </c>
    </row>
    <row r="152" ht="15.75" customFormat="1" customHeight="1" s="85">
      <c r="A152" s="96" t="n"/>
      <c r="B152" s="83">
        <f>'Scale Calculation'!C16</f>
        <v/>
      </c>
      <c r="C152" s="331" t="n"/>
      <c r="D152" s="252" t="n"/>
      <c r="E152" s="252" t="n"/>
      <c r="F152" s="252" t="n"/>
      <c r="G152" s="252" t="n"/>
      <c r="H152" s="252" t="n"/>
      <c r="I152" s="252" t="n"/>
      <c r="J152" s="252" t="n"/>
      <c r="K152" s="252" t="n"/>
      <c r="L152" s="252" t="n"/>
      <c r="M152" s="252" t="n"/>
      <c r="N152" s="252" t="n"/>
      <c r="O152" s="252" t="n"/>
      <c r="P152" s="252" t="n"/>
      <c r="Q152" s="252" t="n"/>
      <c r="R152" s="252" t="n"/>
      <c r="S152" s="252" t="n"/>
      <c r="T152" s="252" t="n"/>
      <c r="U152" s="252" t="n"/>
      <c r="V152" s="252" t="n"/>
      <c r="W152" s="252" t="n"/>
      <c r="X152" s="252" t="n"/>
      <c r="Y152" s="252" t="n"/>
      <c r="Z152" s="252" t="n"/>
      <c r="AA152" s="252" t="n"/>
      <c r="AB152" s="252" t="n"/>
      <c r="AC152" s="252" t="n"/>
      <c r="AD152" s="252" t="n"/>
      <c r="AE152" s="252" t="n"/>
      <c r="AF152" s="252" t="n"/>
      <c r="AG152" s="252" t="n"/>
      <c r="AH152" s="252" t="n"/>
      <c r="AI152" s="252" t="n"/>
      <c r="AJ152" s="252" t="n"/>
      <c r="AK152" s="252" t="n"/>
      <c r="AL152" s="252">
        <f>'Management Adjustment'!$B$11</f>
        <v/>
      </c>
      <c r="AM152" s="252">
        <f>'Management Adjustment'!$B$11</f>
        <v/>
      </c>
      <c r="AN152" s="252">
        <f>'Management Adjustment'!$B$11</f>
        <v/>
      </c>
      <c r="AO152" s="252">
        <f>'Management Adjustment'!$B$11</f>
        <v/>
      </c>
      <c r="AP152" s="252">
        <f>'Management Adjustment'!$B$11</f>
        <v/>
      </c>
      <c r="AQ152" s="252">
        <f>'Management Adjustment'!$B$11</f>
        <v/>
      </c>
      <c r="AR152" s="252">
        <f>'Management Adjustment'!$B$11</f>
        <v/>
      </c>
      <c r="AS152" s="252">
        <f>'Management Adjustment'!$B$11</f>
        <v/>
      </c>
      <c r="AT152" s="252">
        <f>'Management Adjustment'!$B$11</f>
        <v/>
      </c>
      <c r="AU152" s="252">
        <f>'Management Adjustment'!$B$11</f>
        <v/>
      </c>
      <c r="AV152" s="252">
        <f>'Management Adjustment'!$B$11</f>
        <v/>
      </c>
      <c r="AW152" s="252">
        <f>'Management Adjustment'!$B$11</f>
        <v/>
      </c>
      <c r="AX152" s="252">
        <f>'Management Adjustment'!$B$11</f>
        <v/>
      </c>
      <c r="AY152" s="252">
        <f>'Management Adjustment'!$B$11</f>
        <v/>
      </c>
    </row>
    <row r="153" ht="15.75" customFormat="1" customHeight="1" s="85">
      <c r="A153" s="96" t="n"/>
      <c r="B153" s="83">
        <f>'Scale Calculation'!C17</f>
        <v/>
      </c>
      <c r="C153" s="331" t="n"/>
      <c r="D153" s="252" t="n"/>
      <c r="E153" s="252" t="n"/>
      <c r="F153" s="252" t="n"/>
      <c r="G153" s="252" t="n"/>
      <c r="H153" s="252" t="n"/>
      <c r="I153" s="252" t="n"/>
      <c r="J153" s="252" t="n"/>
      <c r="K153" s="252" t="n"/>
      <c r="L153" s="252" t="n"/>
      <c r="M153" s="252" t="n"/>
      <c r="N153" s="252" t="n"/>
      <c r="O153" s="252" t="n"/>
      <c r="P153" s="252" t="n"/>
      <c r="Q153" s="252" t="n"/>
      <c r="R153" s="252" t="n"/>
      <c r="S153" s="252" t="n"/>
      <c r="T153" s="252" t="n"/>
      <c r="U153" s="252" t="n"/>
      <c r="V153" s="252" t="n"/>
      <c r="W153" s="252" t="n"/>
      <c r="X153" s="252" t="n"/>
      <c r="Y153" s="252" t="n"/>
      <c r="Z153" s="252" t="n"/>
      <c r="AA153" s="252" t="n"/>
      <c r="AB153" s="252" t="n"/>
      <c r="AC153" s="252" t="n"/>
      <c r="AD153" s="252" t="n"/>
      <c r="AE153" s="252" t="n"/>
      <c r="AF153" s="252" t="n"/>
      <c r="AG153" s="252" t="n"/>
      <c r="AH153" s="252" t="n"/>
      <c r="AI153" s="252" t="n"/>
      <c r="AJ153" s="252" t="n"/>
      <c r="AK153" s="252" t="n"/>
      <c r="AL153" s="252">
        <f>'Management Adjustment'!$B$12</f>
        <v/>
      </c>
      <c r="AM153" s="252">
        <f>'Management Adjustment'!$B$12</f>
        <v/>
      </c>
      <c r="AN153" s="252">
        <f>'Management Adjustment'!$B$12</f>
        <v/>
      </c>
      <c r="AO153" s="252">
        <f>'Management Adjustment'!$B$12</f>
        <v/>
      </c>
      <c r="AP153" s="252">
        <f>'Management Adjustment'!$B$12</f>
        <v/>
      </c>
      <c r="AQ153" s="252">
        <f>'Management Adjustment'!$B$12</f>
        <v/>
      </c>
      <c r="AR153" s="252">
        <f>'Management Adjustment'!$B$12</f>
        <v/>
      </c>
      <c r="AS153" s="252">
        <f>'Management Adjustment'!$B$12</f>
        <v/>
      </c>
      <c r="AT153" s="252">
        <f>'Management Adjustment'!$B$12</f>
        <v/>
      </c>
      <c r="AU153" s="252">
        <f>'Management Adjustment'!$B$12</f>
        <v/>
      </c>
      <c r="AV153" s="252">
        <f>'Management Adjustment'!$B$12</f>
        <v/>
      </c>
      <c r="AW153" s="252">
        <f>'Management Adjustment'!$B$12</f>
        <v/>
      </c>
      <c r="AX153" s="252">
        <f>'Management Adjustment'!$B$12</f>
        <v/>
      </c>
      <c r="AY153" s="252">
        <f>'Management Adjustment'!$B$12</f>
        <v/>
      </c>
    </row>
    <row r="154" ht="15.75" customFormat="1" customHeight="1" s="85">
      <c r="A154" s="96" t="n"/>
      <c r="B154" s="83">
        <f>'Scale Calculation'!C18</f>
        <v/>
      </c>
      <c r="C154" s="331" t="n"/>
      <c r="D154" s="252" t="n"/>
      <c r="E154" s="252" t="n"/>
      <c r="F154" s="252" t="n"/>
      <c r="G154" s="252" t="n"/>
      <c r="H154" s="252" t="n"/>
      <c r="I154" s="252" t="n"/>
      <c r="J154" s="252" t="n"/>
      <c r="K154" s="252" t="n"/>
      <c r="L154" s="252" t="n"/>
      <c r="M154" s="252" t="n"/>
      <c r="N154" s="252" t="n"/>
      <c r="O154" s="252" t="n"/>
      <c r="P154" s="252" t="n"/>
      <c r="Q154" s="252" t="n"/>
      <c r="R154" s="252" t="n"/>
      <c r="S154" s="252" t="n"/>
      <c r="T154" s="252" t="n"/>
      <c r="U154" s="252" t="n"/>
      <c r="V154" s="252" t="n"/>
      <c r="W154" s="252" t="n"/>
      <c r="X154" s="252" t="n"/>
      <c r="Y154" s="252" t="n"/>
      <c r="Z154" s="252" t="n"/>
      <c r="AA154" s="252" t="n"/>
      <c r="AB154" s="252" t="n"/>
      <c r="AC154" s="252" t="n"/>
      <c r="AD154" s="252" t="n"/>
      <c r="AE154" s="252" t="n"/>
      <c r="AF154" s="252" t="n"/>
      <c r="AG154" s="252" t="n"/>
      <c r="AH154" s="252" t="n"/>
      <c r="AI154" s="252" t="n"/>
      <c r="AJ154" s="252" t="n"/>
      <c r="AK154" s="252" t="n"/>
      <c r="AL154" s="252">
        <f>'Management Adjustment'!$B$13</f>
        <v/>
      </c>
      <c r="AM154" s="252">
        <f>'Management Adjustment'!$B$13</f>
        <v/>
      </c>
      <c r="AN154" s="252">
        <f>'Management Adjustment'!$B$13</f>
        <v/>
      </c>
      <c r="AO154" s="252">
        <f>'Management Adjustment'!$B$13</f>
        <v/>
      </c>
      <c r="AP154" s="252">
        <f>'Management Adjustment'!$B$13</f>
        <v/>
      </c>
      <c r="AQ154" s="252">
        <f>'Management Adjustment'!$B$13</f>
        <v/>
      </c>
      <c r="AR154" s="252">
        <f>'Management Adjustment'!$B$13</f>
        <v/>
      </c>
      <c r="AS154" s="252">
        <f>'Management Adjustment'!$B$13</f>
        <v/>
      </c>
      <c r="AT154" s="252">
        <f>'Management Adjustment'!$B$13</f>
        <v/>
      </c>
      <c r="AU154" s="252">
        <f>'Management Adjustment'!$B$13</f>
        <v/>
      </c>
      <c r="AV154" s="252">
        <f>'Management Adjustment'!$B$13</f>
        <v/>
      </c>
      <c r="AW154" s="252">
        <f>'Management Adjustment'!$B$13</f>
        <v/>
      </c>
      <c r="AX154" s="252">
        <f>'Management Adjustment'!$B$13</f>
        <v/>
      </c>
      <c r="AY154" s="252">
        <f>'Management Adjustment'!$B$13</f>
        <v/>
      </c>
    </row>
    <row r="155" ht="15.75" customFormat="1" customHeight="1" s="85">
      <c r="A155" s="96" t="n"/>
      <c r="B155" s="83">
        <f>'Scale Calculation'!C19</f>
        <v/>
      </c>
      <c r="C155" s="331" t="n"/>
      <c r="D155" s="252" t="n"/>
      <c r="E155" s="252" t="n"/>
      <c r="F155" s="252" t="n"/>
      <c r="G155" s="252" t="n"/>
      <c r="H155" s="252" t="n"/>
      <c r="I155" s="252" t="n"/>
      <c r="J155" s="252" t="n"/>
      <c r="K155" s="252" t="n"/>
      <c r="L155" s="252" t="n"/>
      <c r="M155" s="252" t="n"/>
      <c r="N155" s="252" t="n"/>
      <c r="O155" s="252" t="n"/>
      <c r="P155" s="252" t="n"/>
      <c r="Q155" s="252" t="n"/>
      <c r="R155" s="252" t="n"/>
      <c r="S155" s="252" t="n"/>
      <c r="T155" s="252" t="n"/>
      <c r="U155" s="252" t="n"/>
      <c r="V155" s="252" t="n"/>
      <c r="W155" s="252" t="n"/>
      <c r="X155" s="252" t="n"/>
      <c r="Y155" s="252" t="n"/>
      <c r="Z155" s="252" t="n"/>
      <c r="AA155" s="252" t="n"/>
      <c r="AB155" s="252" t="n"/>
      <c r="AC155" s="252" t="n"/>
      <c r="AD155" s="252" t="n"/>
      <c r="AE155" s="252" t="n"/>
      <c r="AF155" s="252" t="n"/>
      <c r="AG155" s="252" t="n"/>
      <c r="AH155" s="252" t="n"/>
      <c r="AI155" s="252" t="n"/>
      <c r="AJ155" s="252" t="n"/>
      <c r="AK155" s="252" t="n"/>
      <c r="AL155" s="252">
        <f>'Management Adjustment'!$B$14</f>
        <v/>
      </c>
      <c r="AM155" s="252">
        <f>'Management Adjustment'!$B$14</f>
        <v/>
      </c>
      <c r="AN155" s="252">
        <f>'Management Adjustment'!$B$14</f>
        <v/>
      </c>
      <c r="AO155" s="252">
        <f>'Management Adjustment'!$B$14</f>
        <v/>
      </c>
      <c r="AP155" s="252">
        <f>'Management Adjustment'!$B$14</f>
        <v/>
      </c>
      <c r="AQ155" s="252">
        <f>'Management Adjustment'!$B$14</f>
        <v/>
      </c>
      <c r="AR155" s="252">
        <f>'Management Adjustment'!$B$14</f>
        <v/>
      </c>
      <c r="AS155" s="252">
        <f>'Management Adjustment'!$B$14</f>
        <v/>
      </c>
      <c r="AT155" s="252">
        <f>'Management Adjustment'!$B$14</f>
        <v/>
      </c>
      <c r="AU155" s="252">
        <f>'Management Adjustment'!$B$14</f>
        <v/>
      </c>
      <c r="AV155" s="252">
        <f>'Management Adjustment'!$B$14</f>
        <v/>
      </c>
      <c r="AW155" s="252">
        <f>'Management Adjustment'!$B$14</f>
        <v/>
      </c>
      <c r="AX155" s="252">
        <f>'Management Adjustment'!$B$14</f>
        <v/>
      </c>
      <c r="AY155" s="252">
        <f>'Management Adjustment'!$B$14</f>
        <v/>
      </c>
    </row>
    <row r="156" ht="15.75" customFormat="1" customHeight="1" s="85">
      <c r="A156" s="96" t="n"/>
      <c r="B156" s="83">
        <f>'Scale Calculation'!C20</f>
        <v/>
      </c>
      <c r="C156" s="331" t="n"/>
      <c r="D156" s="252" t="n"/>
      <c r="E156" s="252" t="n"/>
      <c r="F156" s="252" t="n"/>
      <c r="G156" s="252" t="n"/>
      <c r="H156" s="252" t="n"/>
      <c r="I156" s="252" t="n"/>
      <c r="J156" s="252" t="n"/>
      <c r="K156" s="252" t="n"/>
      <c r="L156" s="252" t="n"/>
      <c r="M156" s="252" t="n"/>
      <c r="N156" s="252" t="n"/>
      <c r="O156" s="252" t="n"/>
      <c r="P156" s="252" t="n"/>
      <c r="Q156" s="252" t="n"/>
      <c r="R156" s="252" t="n"/>
      <c r="S156" s="252" t="n"/>
      <c r="T156" s="252" t="n"/>
      <c r="U156" s="252" t="n"/>
      <c r="V156" s="252" t="n"/>
      <c r="W156" s="252" t="n"/>
      <c r="X156" s="252" t="n"/>
      <c r="Y156" s="252" t="n"/>
      <c r="Z156" s="252" t="n"/>
      <c r="AA156" s="252" t="n"/>
      <c r="AB156" s="252" t="n"/>
      <c r="AC156" s="252" t="n"/>
      <c r="AD156" s="252" t="n"/>
      <c r="AE156" s="252" t="n"/>
      <c r="AF156" s="252" t="n"/>
      <c r="AG156" s="252" t="n"/>
      <c r="AH156" s="252" t="n"/>
      <c r="AI156" s="252" t="n"/>
      <c r="AJ156" s="252" t="n"/>
      <c r="AK156" s="252" t="n"/>
      <c r="AL156" s="252">
        <f>'Management Adjustment'!$B$15</f>
        <v/>
      </c>
      <c r="AM156" s="252">
        <f>'Management Adjustment'!$B$15</f>
        <v/>
      </c>
      <c r="AN156" s="252">
        <f>'Management Adjustment'!$B$15</f>
        <v/>
      </c>
      <c r="AO156" s="252">
        <f>'Management Adjustment'!$B$15</f>
        <v/>
      </c>
      <c r="AP156" s="252">
        <f>'Management Adjustment'!$B$15</f>
        <v/>
      </c>
      <c r="AQ156" s="252">
        <f>'Management Adjustment'!$B$15</f>
        <v/>
      </c>
      <c r="AR156" s="252">
        <f>'Management Adjustment'!$B$15</f>
        <v/>
      </c>
      <c r="AS156" s="252">
        <f>'Management Adjustment'!$B$15</f>
        <v/>
      </c>
      <c r="AT156" s="252">
        <f>'Management Adjustment'!$B$15</f>
        <v/>
      </c>
      <c r="AU156" s="252">
        <f>'Management Adjustment'!$B$15</f>
        <v/>
      </c>
      <c r="AV156" s="252">
        <f>'Management Adjustment'!$B$15</f>
        <v/>
      </c>
      <c r="AW156" s="252">
        <f>'Management Adjustment'!$B$15</f>
        <v/>
      </c>
      <c r="AX156" s="252">
        <f>'Management Adjustment'!$B$15</f>
        <v/>
      </c>
      <c r="AY156" s="252">
        <f>'Management Adjustment'!$B$15</f>
        <v/>
      </c>
    </row>
    <row r="157" ht="16.5" customFormat="1" customHeight="1" s="85" thickBot="1">
      <c r="A157" s="96" t="n"/>
      <c r="B157" s="83">
        <f>'Scale Calculation'!C21</f>
        <v/>
      </c>
      <c r="C157" s="251" t="n"/>
      <c r="D157" s="252" t="n"/>
      <c r="E157" s="252" t="n"/>
      <c r="F157" s="252" t="n"/>
      <c r="G157" s="252" t="n"/>
      <c r="H157" s="252" t="n"/>
      <c r="I157" s="252" t="n"/>
      <c r="J157" s="252" t="n"/>
      <c r="K157" s="252" t="n"/>
      <c r="L157" s="252" t="n"/>
      <c r="M157" s="252" t="n"/>
      <c r="N157" s="252" t="n"/>
      <c r="O157" s="252" t="n"/>
      <c r="P157" s="252" t="n"/>
      <c r="Q157" s="252" t="n"/>
      <c r="R157" s="252" t="n"/>
      <c r="S157" s="252" t="n"/>
      <c r="T157" s="252" t="n"/>
      <c r="U157" s="252" t="n"/>
      <c r="V157" s="252" t="n"/>
      <c r="W157" s="252" t="n"/>
      <c r="X157" s="252" t="n"/>
      <c r="Y157" s="252" t="n"/>
      <c r="Z157" s="252" t="n"/>
      <c r="AA157" s="252" t="n"/>
      <c r="AB157" s="252" t="n"/>
      <c r="AC157" s="252" t="n"/>
      <c r="AD157" s="252" t="n"/>
      <c r="AE157" s="252" t="n"/>
      <c r="AF157" s="252" t="n"/>
      <c r="AG157" s="252" t="n"/>
      <c r="AH157" s="252" t="n"/>
      <c r="AI157" s="252" t="n"/>
      <c r="AJ157" s="252" t="n"/>
      <c r="AK157" s="252" t="n"/>
      <c r="AL157" s="252">
        <f>'Management Adjustment'!$B$16</f>
        <v/>
      </c>
      <c r="AM157" s="252">
        <f>'Management Adjustment'!$B$16</f>
        <v/>
      </c>
      <c r="AN157" s="252">
        <f>'Management Adjustment'!$B$16</f>
        <v/>
      </c>
      <c r="AO157" s="252">
        <f>'Management Adjustment'!$B$16</f>
        <v/>
      </c>
      <c r="AP157" s="252">
        <f>'Management Adjustment'!$B$16</f>
        <v/>
      </c>
      <c r="AQ157" s="252">
        <f>'Management Adjustment'!$B$16</f>
        <v/>
      </c>
      <c r="AR157" s="252">
        <f>'Management Adjustment'!$B$16</f>
        <v/>
      </c>
      <c r="AS157" s="252">
        <f>'Management Adjustment'!$B$16</f>
        <v/>
      </c>
      <c r="AT157" s="252">
        <f>'Management Adjustment'!$B$16</f>
        <v/>
      </c>
      <c r="AU157" s="252">
        <f>'Management Adjustment'!$B$16</f>
        <v/>
      </c>
      <c r="AV157" s="252">
        <f>'Management Adjustment'!$B$16</f>
        <v/>
      </c>
      <c r="AW157" s="252">
        <f>'Management Adjustment'!$B$16</f>
        <v/>
      </c>
      <c r="AX157" s="252">
        <f>'Management Adjustment'!$B$16</f>
        <v/>
      </c>
      <c r="AY157" s="252">
        <f>'Management Adjustment'!$B$16</f>
        <v/>
      </c>
    </row>
    <row r="158" ht="15.75" customFormat="1" customHeight="1" s="85">
      <c r="A158" s="96" t="n"/>
      <c r="B158" s="253" t="n"/>
      <c r="C158" s="330" t="n"/>
      <c r="D158" s="254" t="n"/>
      <c r="E158" s="254" t="n"/>
      <c r="F158" s="254" t="n"/>
      <c r="G158" s="254" t="n"/>
      <c r="H158" s="254" t="n"/>
      <c r="I158" s="254" t="n"/>
      <c r="J158" s="254" t="n"/>
      <c r="K158" s="254" t="n"/>
      <c r="L158" s="254" t="n"/>
      <c r="M158" s="254" t="n"/>
      <c r="N158" s="254" t="n"/>
      <c r="O158" s="254" t="n"/>
      <c r="P158" s="254" t="n"/>
      <c r="Q158" s="254" t="n"/>
      <c r="R158" s="254" t="n"/>
      <c r="S158" s="254" t="n"/>
      <c r="T158" s="254" t="n"/>
      <c r="U158" s="254" t="n"/>
      <c r="V158" s="254" t="n"/>
      <c r="W158" s="254" t="n"/>
      <c r="X158" s="254" t="n"/>
      <c r="Y158" s="254" t="n"/>
      <c r="Z158" s="254" t="n"/>
      <c r="AA158" s="254" t="n"/>
      <c r="AB158" s="254" t="n"/>
      <c r="AC158" s="254" t="n"/>
      <c r="AD158" s="254" t="n"/>
      <c r="AE158" s="254" t="n"/>
      <c r="AF158" s="254" t="n"/>
      <c r="AG158" s="254" t="n"/>
      <c r="AH158" s="254" t="n"/>
      <c r="AI158" s="254" t="n"/>
      <c r="AJ158" s="254" t="n"/>
      <c r="AK158" s="254" t="n"/>
      <c r="AL158" s="254" t="n"/>
      <c r="AM158" s="254" t="n"/>
      <c r="AN158" s="254" t="n"/>
      <c r="AO158" s="254" t="n"/>
      <c r="AP158" s="254" t="n"/>
      <c r="AQ158" s="254" t="n"/>
      <c r="AR158" s="254" t="n"/>
      <c r="AS158" s="254" t="n"/>
      <c r="AT158" s="254" t="n"/>
      <c r="AU158" s="254" t="n"/>
      <c r="AV158" s="254" t="n"/>
      <c r="AW158" s="254" t="n"/>
      <c r="AX158" s="254" t="n"/>
      <c r="AY158" s="254" t="n"/>
    </row>
    <row r="159" ht="16.5" customFormat="1" customHeight="1" s="85" thickBot="1">
      <c r="A159" s="96" t="n"/>
      <c r="B159" s="255" t="inlineStr">
        <is>
          <t>Management Adjustment  (applied to entire Loan Portfolio)</t>
        </is>
      </c>
      <c r="C159" s="251" t="n"/>
      <c r="D159" s="252" t="n"/>
      <c r="E159" s="252" t="n"/>
      <c r="F159" s="252" t="n"/>
      <c r="G159" s="252" t="n"/>
      <c r="H159" s="252" t="n"/>
      <c r="I159" s="252" t="n"/>
      <c r="J159" s="252" t="n"/>
      <c r="K159" s="252" t="n"/>
      <c r="L159" s="252" t="n"/>
      <c r="M159" s="252" t="n"/>
      <c r="N159" s="252" t="n"/>
      <c r="O159" s="252" t="n"/>
      <c r="P159" s="252" t="n"/>
      <c r="Q159" s="252" t="n"/>
      <c r="R159" s="252" t="n"/>
      <c r="S159" s="252" t="n"/>
      <c r="T159" s="252" t="n"/>
      <c r="U159" s="252" t="n"/>
      <c r="V159" s="252" t="n"/>
      <c r="W159" s="252" t="n"/>
      <c r="X159" s="252" t="n"/>
      <c r="Y159" s="252" t="n"/>
      <c r="Z159" s="252" t="n"/>
      <c r="AA159" s="252" t="n"/>
      <c r="AB159" s="252" t="n"/>
      <c r="AC159" s="252" t="n"/>
      <c r="AD159" s="252" t="n"/>
      <c r="AE159" s="252" t="n"/>
      <c r="AF159" s="252" t="n"/>
      <c r="AG159" s="252" t="n"/>
      <c r="AH159" s="252" t="n"/>
      <c r="AI159" s="252" t="n"/>
      <c r="AJ159" s="252" t="n"/>
      <c r="AK159" s="252" t="n"/>
      <c r="AL159" s="252">
        <f>'Management Adjustment'!$B$18</f>
        <v/>
      </c>
      <c r="AM159" s="252">
        <f>'Management Adjustment'!$B$18</f>
        <v/>
      </c>
      <c r="AN159" s="252">
        <f>'Management Adjustment'!$B$18</f>
        <v/>
      </c>
      <c r="AO159" s="252">
        <f>'Management Adjustment'!$B$18</f>
        <v/>
      </c>
      <c r="AP159" s="252">
        <f>'Management Adjustment'!$B$18</f>
        <v/>
      </c>
      <c r="AQ159" s="252">
        <f>'Management Adjustment'!$B$18</f>
        <v/>
      </c>
      <c r="AR159" s="252">
        <f>'Management Adjustment'!$B$18</f>
        <v/>
      </c>
      <c r="AS159" s="252">
        <f>'Management Adjustment'!$B$18</f>
        <v/>
      </c>
      <c r="AT159" s="252">
        <f>'Management Adjustment'!$B$18</f>
        <v/>
      </c>
      <c r="AU159" s="252">
        <f>'Management Adjustment'!$B$18</f>
        <v/>
      </c>
      <c r="AV159" s="252">
        <f>'Management Adjustment'!$B$18</f>
        <v/>
      </c>
      <c r="AW159" s="252">
        <f>'Management Adjustment'!$B$18</f>
        <v/>
      </c>
      <c r="AX159" s="252">
        <f>'Management Adjustment'!$B$18</f>
        <v/>
      </c>
      <c r="AY159" s="252">
        <f>'Management Adjustment'!$B$18</f>
        <v/>
      </c>
    </row>
    <row r="160" ht="13.5" customFormat="1" customHeight="1" s="85" thickBot="1">
      <c r="A160" s="96" t="n"/>
      <c r="W160" s="871" t="n"/>
      <c r="X160" s="871" t="n"/>
    </row>
    <row r="161" ht="13.5" customFormat="1" customHeight="1" s="85" thickBot="1">
      <c r="A161" s="96" t="n"/>
      <c r="B161" s="80" t="inlineStr">
        <is>
          <t>Combined Balances</t>
        </is>
      </c>
      <c r="C161" s="327" t="n"/>
      <c r="D161" s="81">
        <f>D8</f>
        <v/>
      </c>
      <c r="E161" s="81">
        <f>E8</f>
        <v/>
      </c>
      <c r="F161" s="81">
        <f>F8</f>
        <v/>
      </c>
      <c r="G161" s="81">
        <f>G8</f>
        <v/>
      </c>
      <c r="H161" s="81">
        <f>H8</f>
        <v/>
      </c>
      <c r="I161" s="81">
        <f>I8</f>
        <v/>
      </c>
      <c r="J161" s="81">
        <f>J8</f>
        <v/>
      </c>
      <c r="K161" s="81">
        <f>K8</f>
        <v/>
      </c>
      <c r="L161" s="81">
        <f>L8</f>
        <v/>
      </c>
      <c r="M161" s="81">
        <f>M8</f>
        <v/>
      </c>
      <c r="N161" s="81">
        <f>N8</f>
        <v/>
      </c>
      <c r="O161" s="81">
        <f>O8</f>
        <v/>
      </c>
      <c r="P161" s="81">
        <f>P8</f>
        <v/>
      </c>
      <c r="Q161" s="81">
        <f>Q8</f>
        <v/>
      </c>
      <c r="R161" s="81">
        <f>R8</f>
        <v/>
      </c>
      <c r="S161" s="81">
        <f>S8</f>
        <v/>
      </c>
      <c r="T161" s="81">
        <f>T8</f>
        <v/>
      </c>
      <c r="U161" s="81">
        <f>U8</f>
        <v/>
      </c>
      <c r="V161" s="81">
        <f>V8</f>
        <v/>
      </c>
      <c r="W161" s="81">
        <f>W8</f>
        <v/>
      </c>
      <c r="X161" s="81">
        <f>X8</f>
        <v/>
      </c>
      <c r="Y161" s="81">
        <f>Y8</f>
        <v/>
      </c>
      <c r="Z161" s="81">
        <f>Z8</f>
        <v/>
      </c>
      <c r="AA161" s="81">
        <f>AA8</f>
        <v/>
      </c>
      <c r="AB161" s="81">
        <f>AB8</f>
        <v/>
      </c>
      <c r="AC161" s="81">
        <f>AC8</f>
        <v/>
      </c>
      <c r="AD161" s="81">
        <f>AD8</f>
        <v/>
      </c>
      <c r="AE161" s="81">
        <f>AE8</f>
        <v/>
      </c>
      <c r="AF161" s="81">
        <f>AF8</f>
        <v/>
      </c>
      <c r="AG161" s="81">
        <f>AG8</f>
        <v/>
      </c>
      <c r="AH161" s="81">
        <f>AH8</f>
        <v/>
      </c>
      <c r="AI161" s="81">
        <f>AI8</f>
        <v/>
      </c>
      <c r="AJ161" s="81">
        <f>AJ8</f>
        <v/>
      </c>
      <c r="AK161" s="81">
        <f>AK8</f>
        <v/>
      </c>
      <c r="AL161" s="81">
        <f>AL8</f>
        <v/>
      </c>
      <c r="AM161" s="81">
        <f>AM8</f>
        <v/>
      </c>
      <c r="AN161" s="81">
        <f>AN8</f>
        <v/>
      </c>
      <c r="AO161" s="81">
        <f>AO8</f>
        <v/>
      </c>
      <c r="AP161" s="81">
        <f>AP8</f>
        <v/>
      </c>
      <c r="AQ161" s="81">
        <f>AQ8</f>
        <v/>
      </c>
      <c r="AR161" s="81">
        <f>AR8</f>
        <v/>
      </c>
      <c r="AS161" s="81">
        <f>AS8</f>
        <v/>
      </c>
      <c r="AT161" s="81">
        <f>AT8</f>
        <v/>
      </c>
      <c r="AU161" s="81">
        <f>AU8</f>
        <v/>
      </c>
      <c r="AV161" s="81">
        <f>AV8</f>
        <v/>
      </c>
      <c r="AW161" s="81">
        <f>AW8</f>
        <v/>
      </c>
      <c r="AX161" s="81">
        <f>AX8</f>
        <v/>
      </c>
      <c r="AY161" s="81">
        <f>AY8</f>
        <v/>
      </c>
    </row>
    <row r="162" ht="17.25" customFormat="1" customHeight="1" s="85" thickBot="1" thickTop="1">
      <c r="A162" s="96" t="n"/>
      <c r="B162" s="83">
        <f>'Scale Calculation'!C9</f>
        <v/>
      </c>
      <c r="C162" s="335" t="inlineStr">
        <is>
          <t>Unsecured Credit Card Loans</t>
        </is>
      </c>
      <c r="D162" s="863">
        <f>SUMIF($C$9:$C$34,$C162,D$9:D$34)</f>
        <v/>
      </c>
      <c r="E162" s="863">
        <f>SUMIF($C$9:$C$34,$C162,E$9:E$34)</f>
        <v/>
      </c>
      <c r="F162" s="863">
        <f>SUMIF($C$9:$C$34,$C162,F$9:F$34)</f>
        <v/>
      </c>
      <c r="G162" s="863">
        <f>SUMIF($C$9:$C$34,$C162,G$9:G$34)</f>
        <v/>
      </c>
      <c r="H162" s="863">
        <f>SUMIF($C$9:$C$34,$C162,H$9:H$34)</f>
        <v/>
      </c>
      <c r="I162" s="863">
        <f>SUMIF($C$9:$C$34,$C162,I$9:I$34)</f>
        <v/>
      </c>
      <c r="J162" s="863">
        <f>SUMIF($C$9:$C$34,$C162,J$9:J$34)</f>
        <v/>
      </c>
      <c r="K162" s="863">
        <f>SUMIF($C$9:$C$34,$C162,K$9:K$34)</f>
        <v/>
      </c>
      <c r="L162" s="863">
        <f>SUMIF($C$9:$C$34,$C162,L$9:L$34)</f>
        <v/>
      </c>
      <c r="M162" s="863">
        <f>SUMIF($C$9:$C$34,$C162,M$9:M$34)</f>
        <v/>
      </c>
      <c r="N162" s="863">
        <f>SUMIF($C$9:$C$34,$C162,N$9:N$34)</f>
        <v/>
      </c>
      <c r="O162" s="863">
        <f>SUMIF($C$9:$C$34,$C162,O$9:O$34)</f>
        <v/>
      </c>
      <c r="P162" s="863">
        <f>SUMIF($C$9:$C$34,$C162,P$9:P$34)</f>
        <v/>
      </c>
      <c r="Q162" s="863">
        <f>SUMIF($C$9:$C$34,$C162,Q$9:Q$34)</f>
        <v/>
      </c>
      <c r="R162" s="863">
        <f>SUMIF($C$9:$C$34,$C162,R$9:R$34)</f>
        <v/>
      </c>
      <c r="S162" s="863">
        <f>SUMIF($C$9:$C$34,$C162,S$9:S$34)</f>
        <v/>
      </c>
      <c r="T162" s="863">
        <f>SUMIF($C$9:$C$34,$C162,T$9:T$34)</f>
        <v/>
      </c>
      <c r="U162" s="863">
        <f>SUMIF($C$9:$C$34,$C162,U$9:U$34)</f>
        <v/>
      </c>
      <c r="V162" s="863">
        <f>SUMIF($C$9:$C$34,$C162,V$9:V$34)</f>
        <v/>
      </c>
      <c r="W162" s="863">
        <f>SUMIF($C$9:$C$34,$C162,W$9:W$34)</f>
        <v/>
      </c>
      <c r="X162" s="863">
        <f>SUMIF($C$9:$C$34,$C162,X$9:X$34)</f>
        <v/>
      </c>
      <c r="Y162" s="863">
        <f>SUMIF($C$9:$C$34,$C162,Y$9:Y$34)</f>
        <v/>
      </c>
      <c r="Z162" s="863">
        <f>SUMIF($C$9:$C$34,$C162,Z$9:Z$34)</f>
        <v/>
      </c>
      <c r="AA162" s="863">
        <f>SUMIF($C$9:$C$34,$C162,AA$9:AA$34)</f>
        <v/>
      </c>
      <c r="AB162" s="863">
        <f>SUMIF($C$9:$C$34,$C162,AB$9:AB$34)</f>
        <v/>
      </c>
      <c r="AC162" s="863">
        <f>SUMIF($C$9:$C$34,$C162,AC$9:AC$34)</f>
        <v/>
      </c>
      <c r="AD162" s="863">
        <f>SUMIF($C$9:$C$34,$C162,AD$9:AD$34)</f>
        <v/>
      </c>
      <c r="AE162" s="863">
        <f>SUMIF($C$9:$C$34,$C162,AE$9:AE$34)</f>
        <v/>
      </c>
      <c r="AF162" s="863">
        <f>SUMIF($C$9:$C$34,$C162,AF$9:AF$34)</f>
        <v/>
      </c>
      <c r="AG162" s="863">
        <f>SUMIF($C$9:$C$34,$C162,AG$9:AG$34)</f>
        <v/>
      </c>
      <c r="AH162" s="863">
        <f>SUMIF($C$9:$C$34,$C162,AH$9:AH$34)</f>
        <v/>
      </c>
      <c r="AI162" s="863">
        <f>SUMIF($C$9:$C$34,$C162,AI$9:AI$34)</f>
        <v/>
      </c>
      <c r="AJ162" s="863">
        <f>SUMIF($C$9:$C$34,$C162,AJ$9:AJ$34)</f>
        <v/>
      </c>
      <c r="AK162" s="863">
        <f>SUMIF($C$9:$C$34,$C162,AK$9:AK$34)</f>
        <v/>
      </c>
      <c r="AL162" s="863">
        <f>SUMIF($C$9:$C$34,$C162,AL$9:AL$34)</f>
        <v/>
      </c>
      <c r="AM162" s="863">
        <f>SUMIF($C$9:$C$34,$C162,AM$9:AM$34)</f>
        <v/>
      </c>
      <c r="AN162" s="863">
        <f>SUMIF($C$9:$C$34,$C162,AN$9:AN$34)</f>
        <v/>
      </c>
      <c r="AO162" s="863">
        <f>SUMIF($C$9:$C$34,$C162,AO$9:AO$34)</f>
        <v/>
      </c>
      <c r="AP162" s="863">
        <f>SUMIF($C$9:$C$34,$C162,AP$9:AP$34)</f>
        <v/>
      </c>
      <c r="AQ162" s="863">
        <f>SUMIF($C$9:$C$34,$C162,AQ$9:AQ$34)</f>
        <v/>
      </c>
      <c r="AR162" s="863">
        <f>SUMIF($C$9:$C$34,$C162,AR$9:AR$34)</f>
        <v/>
      </c>
      <c r="AS162" s="863">
        <f>SUMIF($C$9:$C$34,$C162,AS$9:AS$34)</f>
        <v/>
      </c>
      <c r="AT162" s="863">
        <f>SUMIF($C$9:$C$34,$C162,AT$9:AT$34)</f>
        <v/>
      </c>
      <c r="AU162" s="863">
        <f>SUMIF($C$9:$C$34,$C162,AU$9:AU$34)</f>
        <v/>
      </c>
      <c r="AV162" s="863">
        <f>SUMIF($C$9:$C$34,$C162,AV$9:AV$34)</f>
        <v/>
      </c>
      <c r="AW162" s="863">
        <f>SUMIF($C$9:$C$34,$C162,AW$9:AW$34)</f>
        <v/>
      </c>
      <c r="AX162" s="863">
        <f>SUMIF($C$9:$C$34,$C162,AX$9:AX$34)</f>
        <v/>
      </c>
      <c r="AY162" s="863">
        <f>SUMIF($C$9:$C$34,$C162,AY$9:AY$34)</f>
        <v/>
      </c>
    </row>
    <row r="163" ht="17.25" customFormat="1" customHeight="1" s="85" thickBot="1" thickTop="1">
      <c r="A163" s="96" t="n"/>
      <c r="B163" s="83">
        <f>'Scale Calculation'!C10</f>
        <v/>
      </c>
      <c r="C163" s="335" t="inlineStr">
        <is>
          <t>Payday Alternative Loans</t>
        </is>
      </c>
      <c r="D163" s="863">
        <f>SUMIF($C$9:$C$34,$C163,D$9:D$34)</f>
        <v/>
      </c>
      <c r="E163" s="863">
        <f>SUMIF($C$9:$C$34,$C163,E$9:E$34)</f>
        <v/>
      </c>
      <c r="F163" s="863">
        <f>SUMIF($C$9:$C$34,$C163,F$9:F$34)</f>
        <v/>
      </c>
      <c r="G163" s="863">
        <f>SUMIF($C$9:$C$34,$C163,G$9:G$34)</f>
        <v/>
      </c>
      <c r="H163" s="863">
        <f>SUMIF($C$9:$C$34,$C163,H$9:H$34)</f>
        <v/>
      </c>
      <c r="I163" s="863">
        <f>SUMIF($C$9:$C$34,$C163,I$9:I$34)</f>
        <v/>
      </c>
      <c r="J163" s="863">
        <f>SUMIF($C$9:$C$34,$C163,J$9:J$34)</f>
        <v/>
      </c>
      <c r="K163" s="863">
        <f>SUMIF($C$9:$C$34,$C163,K$9:K$34)</f>
        <v/>
      </c>
      <c r="L163" s="863">
        <f>SUMIF($C$9:$C$34,$C163,L$9:L$34)</f>
        <v/>
      </c>
      <c r="M163" s="863">
        <f>SUMIF($C$9:$C$34,$C163,M$9:M$34)</f>
        <v/>
      </c>
      <c r="N163" s="863">
        <f>SUMIF($C$9:$C$34,$C163,N$9:N$34)</f>
        <v/>
      </c>
      <c r="O163" s="863">
        <f>SUMIF($C$9:$C$34,$C163,O$9:O$34)</f>
        <v/>
      </c>
      <c r="P163" s="863">
        <f>SUMIF($C$9:$C$34,$C163,P$9:P$34)</f>
        <v/>
      </c>
      <c r="Q163" s="863">
        <f>SUMIF($C$9:$C$34,$C163,Q$9:Q$34)</f>
        <v/>
      </c>
      <c r="R163" s="863">
        <f>SUMIF($C$9:$C$34,$C163,R$9:R$34)</f>
        <v/>
      </c>
      <c r="S163" s="863">
        <f>SUMIF($C$9:$C$34,$C163,S$9:S$34)</f>
        <v/>
      </c>
      <c r="T163" s="863">
        <f>SUMIF($C$9:$C$34,$C163,T$9:T$34)</f>
        <v/>
      </c>
      <c r="U163" s="863">
        <f>SUMIF($C$9:$C$34,$C163,U$9:U$34)</f>
        <v/>
      </c>
      <c r="V163" s="863">
        <f>SUMIF($C$9:$C$34,$C163,V$9:V$34)</f>
        <v/>
      </c>
      <c r="W163" s="863">
        <f>SUMIF($C$9:$C$34,$C163,W$9:W$34)</f>
        <v/>
      </c>
      <c r="X163" s="863">
        <f>SUMIF($C$9:$C$34,$C163,X$9:X$34)</f>
        <v/>
      </c>
      <c r="Y163" s="863">
        <f>SUMIF($C$9:$C$34,$C163,Y$9:Y$34)</f>
        <v/>
      </c>
      <c r="Z163" s="863">
        <f>SUMIF($C$9:$C$34,$C163,Z$9:Z$34)</f>
        <v/>
      </c>
      <c r="AA163" s="863">
        <f>SUMIF($C$9:$C$34,$C163,AA$9:AA$34)</f>
        <v/>
      </c>
      <c r="AB163" s="863">
        <f>SUMIF($C$9:$C$34,$C163,AB$9:AB$34)</f>
        <v/>
      </c>
      <c r="AC163" s="863">
        <f>SUMIF($C$9:$C$34,$C163,AC$9:AC$34)</f>
        <v/>
      </c>
      <c r="AD163" s="863">
        <f>SUMIF($C$9:$C$34,$C163,AD$9:AD$34)</f>
        <v/>
      </c>
      <c r="AE163" s="863">
        <f>SUMIF($C$9:$C$34,$C163,AE$9:AE$34)</f>
        <v/>
      </c>
      <c r="AF163" s="863">
        <f>SUMIF($C$9:$C$34,$C163,AF$9:AF$34)</f>
        <v/>
      </c>
      <c r="AG163" s="863">
        <f>SUMIF($C$9:$C$34,$C163,AG$9:AG$34)</f>
        <v/>
      </c>
      <c r="AH163" s="863">
        <f>SUMIF($C$9:$C$34,$C163,AH$9:AH$34)</f>
        <v/>
      </c>
      <c r="AI163" s="863">
        <f>SUMIF($C$9:$C$34,$C163,AI$9:AI$34)</f>
        <v/>
      </c>
      <c r="AJ163" s="863">
        <f>SUMIF($C$9:$C$34,$C163,AJ$9:AJ$34)</f>
        <v/>
      </c>
      <c r="AK163" s="863">
        <f>SUMIF($C$9:$C$34,$C163,AK$9:AK$34)</f>
        <v/>
      </c>
      <c r="AL163" s="863">
        <f>SUMIF($C$9:$C$34,$C163,AL$9:AL$34)</f>
        <v/>
      </c>
      <c r="AM163" s="863">
        <f>SUMIF($C$9:$C$34,$C163,AM$9:AM$34)</f>
        <v/>
      </c>
      <c r="AN163" s="863">
        <f>SUMIF($C$9:$C$34,$C163,AN$9:AN$34)</f>
        <v/>
      </c>
      <c r="AO163" s="863">
        <f>SUMIF($C$9:$C$34,$C163,AO$9:AO$34)</f>
        <v/>
      </c>
      <c r="AP163" s="863">
        <f>SUMIF($C$9:$C$34,$C163,AP$9:AP$34)</f>
        <v/>
      </c>
      <c r="AQ163" s="863">
        <f>SUMIF($C$9:$C$34,$C163,AQ$9:AQ$34)</f>
        <v/>
      </c>
      <c r="AR163" s="863">
        <f>SUMIF($C$9:$C$34,$C163,AR$9:AR$34)</f>
        <v/>
      </c>
      <c r="AS163" s="863">
        <f>SUMIF($C$9:$C$34,$C163,AS$9:AS$34)</f>
        <v/>
      </c>
      <c r="AT163" s="863">
        <f>SUMIF($C$9:$C$34,$C163,AT$9:AT$34)</f>
        <v/>
      </c>
      <c r="AU163" s="863">
        <f>SUMIF($C$9:$C$34,$C163,AU$9:AU$34)</f>
        <v/>
      </c>
      <c r="AV163" s="863">
        <f>SUMIF($C$9:$C$34,$C163,AV$9:AV$34)</f>
        <v/>
      </c>
      <c r="AW163" s="863">
        <f>SUMIF($C$9:$C$34,$C163,AW$9:AW$34)</f>
        <v/>
      </c>
      <c r="AX163" s="863">
        <f>SUMIF($C$9:$C$34,$C163,AX$9:AX$34)</f>
        <v/>
      </c>
      <c r="AY163" s="863">
        <f>SUMIF($C$9:$C$34,$C163,AY$9:AY$34)</f>
        <v/>
      </c>
    </row>
    <row r="164" ht="17.25" customFormat="1" customHeight="1" s="85" thickBot="1" thickTop="1">
      <c r="A164" s="96" t="n"/>
      <c r="B164" s="83">
        <f>'Scale Calculation'!C11</f>
        <v/>
      </c>
      <c r="C164" s="335" t="inlineStr">
        <is>
          <t>Non-Federally Guaranteed Student Loans</t>
        </is>
      </c>
      <c r="D164" s="863">
        <f>SUMIF($C$9:$C$34,$C164,D$9:D$34)</f>
        <v/>
      </c>
      <c r="E164" s="863">
        <f>SUMIF($C$9:$C$34,$C164,E$9:E$34)</f>
        <v/>
      </c>
      <c r="F164" s="863">
        <f>SUMIF($C$9:$C$34,$C164,F$9:F$34)</f>
        <v/>
      </c>
      <c r="G164" s="863">
        <f>SUMIF($C$9:$C$34,$C164,G$9:G$34)</f>
        <v/>
      </c>
      <c r="H164" s="863">
        <f>SUMIF($C$9:$C$34,$C164,H$9:H$34)</f>
        <v/>
      </c>
      <c r="I164" s="863">
        <f>SUMIF($C$9:$C$34,$C164,I$9:I$34)</f>
        <v/>
      </c>
      <c r="J164" s="863">
        <f>SUMIF($C$9:$C$34,$C164,J$9:J$34)</f>
        <v/>
      </c>
      <c r="K164" s="863">
        <f>SUMIF($C$9:$C$34,$C164,K$9:K$34)</f>
        <v/>
      </c>
      <c r="L164" s="863">
        <f>SUMIF($C$9:$C$34,$C164,L$9:L$34)</f>
        <v/>
      </c>
      <c r="M164" s="863">
        <f>SUMIF($C$9:$C$34,$C164,M$9:M$34)</f>
        <v/>
      </c>
      <c r="N164" s="863">
        <f>SUMIF($C$9:$C$34,$C164,N$9:N$34)</f>
        <v/>
      </c>
      <c r="O164" s="863">
        <f>SUMIF($C$9:$C$34,$C164,O$9:O$34)</f>
        <v/>
      </c>
      <c r="P164" s="863">
        <f>SUMIF($C$9:$C$34,$C164,P$9:P$34)</f>
        <v/>
      </c>
      <c r="Q164" s="863">
        <f>SUMIF($C$9:$C$34,$C164,Q$9:Q$34)</f>
        <v/>
      </c>
      <c r="R164" s="863">
        <f>SUMIF($C$9:$C$34,$C164,R$9:R$34)</f>
        <v/>
      </c>
      <c r="S164" s="863">
        <f>SUMIF($C$9:$C$34,$C164,S$9:S$34)</f>
        <v/>
      </c>
      <c r="T164" s="863">
        <f>SUMIF($C$9:$C$34,$C164,T$9:T$34)</f>
        <v/>
      </c>
      <c r="U164" s="863">
        <f>SUMIF($C$9:$C$34,$C164,U$9:U$34)</f>
        <v/>
      </c>
      <c r="V164" s="863">
        <f>SUMIF($C$9:$C$34,$C164,V$9:V$34)</f>
        <v/>
      </c>
      <c r="W164" s="863">
        <f>SUMIF($C$9:$C$34,$C164,W$9:W$34)</f>
        <v/>
      </c>
      <c r="X164" s="863">
        <f>SUMIF($C$9:$C$34,$C164,X$9:X$34)</f>
        <v/>
      </c>
      <c r="Y164" s="863">
        <f>SUMIF($C$9:$C$34,$C164,Y$9:Y$34)</f>
        <v/>
      </c>
      <c r="Z164" s="863">
        <f>SUMIF($C$9:$C$34,$C164,Z$9:Z$34)</f>
        <v/>
      </c>
      <c r="AA164" s="863">
        <f>SUMIF($C$9:$C$34,$C164,AA$9:AA$34)</f>
        <v/>
      </c>
      <c r="AB164" s="863">
        <f>SUMIF($C$9:$C$34,$C164,AB$9:AB$34)</f>
        <v/>
      </c>
      <c r="AC164" s="863">
        <f>SUMIF($C$9:$C$34,$C164,AC$9:AC$34)</f>
        <v/>
      </c>
      <c r="AD164" s="863">
        <f>SUMIF($C$9:$C$34,$C164,AD$9:AD$34)</f>
        <v/>
      </c>
      <c r="AE164" s="863">
        <f>SUMIF($C$9:$C$34,$C164,AE$9:AE$34)</f>
        <v/>
      </c>
      <c r="AF164" s="863">
        <f>SUMIF($C$9:$C$34,$C164,AF$9:AF$34)</f>
        <v/>
      </c>
      <c r="AG164" s="863">
        <f>SUMIF($C$9:$C$34,$C164,AG$9:AG$34)</f>
        <v/>
      </c>
      <c r="AH164" s="863">
        <f>SUMIF($C$9:$C$34,$C164,AH$9:AH$34)</f>
        <v/>
      </c>
      <c r="AI164" s="863">
        <f>SUMIF($C$9:$C$34,$C164,AI$9:AI$34)</f>
        <v/>
      </c>
      <c r="AJ164" s="863">
        <f>SUMIF($C$9:$C$34,$C164,AJ$9:AJ$34)</f>
        <v/>
      </c>
      <c r="AK164" s="863">
        <f>SUMIF($C$9:$C$34,$C164,AK$9:AK$34)</f>
        <v/>
      </c>
      <c r="AL164" s="863">
        <f>SUMIF($C$9:$C$34,$C164,AL$9:AL$34)</f>
        <v/>
      </c>
      <c r="AM164" s="863">
        <f>SUMIF($C$9:$C$34,$C164,AM$9:AM$34)</f>
        <v/>
      </c>
      <c r="AN164" s="863">
        <f>SUMIF($C$9:$C$34,$C164,AN$9:AN$34)</f>
        <v/>
      </c>
      <c r="AO164" s="863">
        <f>SUMIF($C$9:$C$34,$C164,AO$9:AO$34)</f>
        <v/>
      </c>
      <c r="AP164" s="863">
        <f>SUMIF($C$9:$C$34,$C164,AP$9:AP$34)</f>
        <v/>
      </c>
      <c r="AQ164" s="863">
        <f>SUMIF($C$9:$C$34,$C164,AQ$9:AQ$34)</f>
        <v/>
      </c>
      <c r="AR164" s="863">
        <f>SUMIF($C$9:$C$34,$C164,AR$9:AR$34)</f>
        <v/>
      </c>
      <c r="AS164" s="863">
        <f>SUMIF($C$9:$C$34,$C164,AS$9:AS$34)</f>
        <v/>
      </c>
      <c r="AT164" s="863">
        <f>SUMIF($C$9:$C$34,$C164,AT$9:AT$34)</f>
        <v/>
      </c>
      <c r="AU164" s="863">
        <f>SUMIF($C$9:$C$34,$C164,AU$9:AU$34)</f>
        <v/>
      </c>
      <c r="AV164" s="863">
        <f>SUMIF($C$9:$C$34,$C164,AV$9:AV$34)</f>
        <v/>
      </c>
      <c r="AW164" s="863">
        <f>SUMIF($C$9:$C$34,$C164,AW$9:AW$34)</f>
        <v/>
      </c>
      <c r="AX164" s="863">
        <f>SUMIF($C$9:$C$34,$C164,AX$9:AX$34)</f>
        <v/>
      </c>
      <c r="AY164" s="863">
        <f>SUMIF($C$9:$C$34,$C164,AY$9:AY$34)</f>
        <v/>
      </c>
    </row>
    <row r="165" ht="17.25" customFormat="1" customHeight="1" s="85" thickBot="1" thickTop="1">
      <c r="A165" s="96" t="n"/>
      <c r="B165" s="83">
        <f>'Scale Calculation'!C12</f>
        <v/>
      </c>
      <c r="C165" s="335" t="inlineStr">
        <is>
          <t>All Other Unsecured Loans/Lines of Credit</t>
        </is>
      </c>
      <c r="D165" s="863">
        <f>SUMIF($C$9:$C$34,$C165,D$9:D$34)</f>
        <v/>
      </c>
      <c r="E165" s="863">
        <f>SUMIF($C$9:$C$34,$C165,E$9:E$34)</f>
        <v/>
      </c>
      <c r="F165" s="863">
        <f>SUMIF($C$9:$C$34,$C165,F$9:F$34)</f>
        <v/>
      </c>
      <c r="G165" s="863">
        <f>SUMIF($C$9:$C$34,$C165,G$9:G$34)</f>
        <v/>
      </c>
      <c r="H165" s="863">
        <f>SUMIF($C$9:$C$34,$C165,H$9:H$34)</f>
        <v/>
      </c>
      <c r="I165" s="863">
        <f>SUMIF($C$9:$C$34,$C165,I$9:I$34)</f>
        <v/>
      </c>
      <c r="J165" s="863">
        <f>SUMIF($C$9:$C$34,$C165,J$9:J$34)</f>
        <v/>
      </c>
      <c r="K165" s="863">
        <f>SUMIF($C$9:$C$34,$C165,K$9:K$34)</f>
        <v/>
      </c>
      <c r="L165" s="863">
        <f>SUMIF($C$9:$C$34,$C165,L$9:L$34)</f>
        <v/>
      </c>
      <c r="M165" s="863">
        <f>SUMIF($C$9:$C$34,$C165,M$9:M$34)</f>
        <v/>
      </c>
      <c r="N165" s="863">
        <f>SUMIF($C$9:$C$34,$C165,N$9:N$34)</f>
        <v/>
      </c>
      <c r="O165" s="863">
        <f>SUMIF($C$9:$C$34,$C165,O$9:O$34)</f>
        <v/>
      </c>
      <c r="P165" s="863">
        <f>SUMIF($C$9:$C$34,$C165,P$9:P$34)</f>
        <v/>
      </c>
      <c r="Q165" s="863">
        <f>SUMIF($C$9:$C$34,$C165,Q$9:Q$34)</f>
        <v/>
      </c>
      <c r="R165" s="863">
        <f>SUMIF($C$9:$C$34,$C165,R$9:R$34)</f>
        <v/>
      </c>
      <c r="S165" s="863">
        <f>SUMIF($C$9:$C$34,$C165,S$9:S$34)</f>
        <v/>
      </c>
      <c r="T165" s="863">
        <f>SUMIF($C$9:$C$34,$C165,T$9:T$34)</f>
        <v/>
      </c>
      <c r="U165" s="863">
        <f>SUMIF($C$9:$C$34,$C165,U$9:U$34)</f>
        <v/>
      </c>
      <c r="V165" s="863">
        <f>SUMIF($C$9:$C$34,$C165,V$9:V$34)</f>
        <v/>
      </c>
      <c r="W165" s="863">
        <f>SUMIF($C$9:$C$34,$C165,W$9:W$34)</f>
        <v/>
      </c>
      <c r="X165" s="863">
        <f>SUMIF($C$9:$C$34,$C165,X$9:X$34)</f>
        <v/>
      </c>
      <c r="Y165" s="863">
        <f>SUMIF($C$9:$C$34,$C165,Y$9:Y$34)</f>
        <v/>
      </c>
      <c r="Z165" s="863">
        <f>SUMIF($C$9:$C$34,$C165,Z$9:Z$34)</f>
        <v/>
      </c>
      <c r="AA165" s="863">
        <f>SUMIF($C$9:$C$34,$C165,AA$9:AA$34)</f>
        <v/>
      </c>
      <c r="AB165" s="863">
        <f>SUMIF($C$9:$C$34,$C165,AB$9:AB$34)</f>
        <v/>
      </c>
      <c r="AC165" s="863">
        <f>SUMIF($C$9:$C$34,$C165,AC$9:AC$34)</f>
        <v/>
      </c>
      <c r="AD165" s="863">
        <f>SUMIF($C$9:$C$34,$C165,AD$9:AD$34)</f>
        <v/>
      </c>
      <c r="AE165" s="863">
        <f>SUMIF($C$9:$C$34,$C165,AE$9:AE$34)</f>
        <v/>
      </c>
      <c r="AF165" s="863">
        <f>SUMIF($C$9:$C$34,$C165,AF$9:AF$34)</f>
        <v/>
      </c>
      <c r="AG165" s="863">
        <f>SUMIF($C$9:$C$34,$C165,AG$9:AG$34)</f>
        <v/>
      </c>
      <c r="AH165" s="863">
        <f>SUMIF($C$9:$C$34,$C165,AH$9:AH$34)</f>
        <v/>
      </c>
      <c r="AI165" s="863">
        <f>SUMIF($C$9:$C$34,$C165,AI$9:AI$34)</f>
        <v/>
      </c>
      <c r="AJ165" s="863">
        <f>SUMIF($C$9:$C$34,$C165,AJ$9:AJ$34)</f>
        <v/>
      </c>
      <c r="AK165" s="863">
        <f>SUMIF($C$9:$C$34,$C165,AK$9:AK$34)</f>
        <v/>
      </c>
      <c r="AL165" s="863">
        <f>SUMIF($C$9:$C$34,$C165,AL$9:AL$34)</f>
        <v/>
      </c>
      <c r="AM165" s="863">
        <f>SUMIF($C$9:$C$34,$C165,AM$9:AM$34)</f>
        <v/>
      </c>
      <c r="AN165" s="863">
        <f>SUMIF($C$9:$C$34,$C165,AN$9:AN$34)</f>
        <v/>
      </c>
      <c r="AO165" s="863">
        <f>SUMIF($C$9:$C$34,$C165,AO$9:AO$34)</f>
        <v/>
      </c>
      <c r="AP165" s="863">
        <f>SUMIF($C$9:$C$34,$C165,AP$9:AP$34)</f>
        <v/>
      </c>
      <c r="AQ165" s="863">
        <f>SUMIF($C$9:$C$34,$C165,AQ$9:AQ$34)</f>
        <v/>
      </c>
      <c r="AR165" s="863">
        <f>SUMIF($C$9:$C$34,$C165,AR$9:AR$34)</f>
        <v/>
      </c>
      <c r="AS165" s="863">
        <f>SUMIF($C$9:$C$34,$C165,AS$9:AS$34)</f>
        <v/>
      </c>
      <c r="AT165" s="863">
        <f>SUMIF($C$9:$C$34,$C165,AT$9:AT$34)</f>
        <v/>
      </c>
      <c r="AU165" s="863">
        <f>SUMIF($C$9:$C$34,$C165,AU$9:AU$34)</f>
        <v/>
      </c>
      <c r="AV165" s="863">
        <f>SUMIF($C$9:$C$34,$C165,AV$9:AV$34)</f>
        <v/>
      </c>
      <c r="AW165" s="863">
        <f>SUMIF($C$9:$C$34,$C165,AW$9:AW$34)</f>
        <v/>
      </c>
      <c r="AX165" s="863">
        <f>SUMIF($C$9:$C$34,$C165,AX$9:AX$34)</f>
        <v/>
      </c>
      <c r="AY165" s="863">
        <f>SUMIF($C$9:$C$34,$C165,AY$9:AY$34)</f>
        <v/>
      </c>
    </row>
    <row r="166" ht="17.25" customFormat="1" customHeight="1" s="85" thickBot="1" thickTop="1">
      <c r="A166" s="96" t="n"/>
      <c r="B166" s="83">
        <f>'Scale Calculation'!C13</f>
        <v/>
      </c>
      <c r="C166" s="335" t="inlineStr">
        <is>
          <t>New Vehicle Loans</t>
        </is>
      </c>
      <c r="D166" s="863">
        <f>SUMIF($C$9:$C$34,$C166,D$9:D$34)</f>
        <v/>
      </c>
      <c r="E166" s="863">
        <f>SUMIF($C$9:$C$34,$C166,E$9:E$34)</f>
        <v/>
      </c>
      <c r="F166" s="863">
        <f>SUMIF($C$9:$C$34,$C166,F$9:F$34)</f>
        <v/>
      </c>
      <c r="G166" s="863">
        <f>SUMIF($C$9:$C$34,$C166,G$9:G$34)</f>
        <v/>
      </c>
      <c r="H166" s="863">
        <f>SUMIF($C$9:$C$34,$C166,H$9:H$34)</f>
        <v/>
      </c>
      <c r="I166" s="863">
        <f>SUMIF($C$9:$C$34,$C166,I$9:I$34)</f>
        <v/>
      </c>
      <c r="J166" s="863">
        <f>SUMIF($C$9:$C$34,$C166,J$9:J$34)</f>
        <v/>
      </c>
      <c r="K166" s="863">
        <f>SUMIF($C$9:$C$34,$C166,K$9:K$34)</f>
        <v/>
      </c>
      <c r="L166" s="863">
        <f>SUMIF($C$9:$C$34,$C166,L$9:L$34)</f>
        <v/>
      </c>
      <c r="M166" s="863">
        <f>SUMIF($C$9:$C$34,$C166,M$9:M$34)</f>
        <v/>
      </c>
      <c r="N166" s="863">
        <f>SUMIF($C$9:$C$34,$C166,N$9:N$34)</f>
        <v/>
      </c>
      <c r="O166" s="863">
        <f>SUMIF($C$9:$C$34,$C166,O$9:O$34)</f>
        <v/>
      </c>
      <c r="P166" s="863">
        <f>SUMIF($C$9:$C$34,$C166,P$9:P$34)</f>
        <v/>
      </c>
      <c r="Q166" s="863">
        <f>SUMIF($C$9:$C$34,$C166,Q$9:Q$34)</f>
        <v/>
      </c>
      <c r="R166" s="863">
        <f>SUMIF($C$9:$C$34,$C166,R$9:R$34)</f>
        <v/>
      </c>
      <c r="S166" s="863">
        <f>SUMIF($C$9:$C$34,$C166,S$9:S$34)</f>
        <v/>
      </c>
      <c r="T166" s="863">
        <f>SUMIF($C$9:$C$34,$C166,T$9:T$34)</f>
        <v/>
      </c>
      <c r="U166" s="863">
        <f>SUMIF($C$9:$C$34,$C166,U$9:U$34)</f>
        <v/>
      </c>
      <c r="V166" s="863">
        <f>SUMIF($C$9:$C$34,$C166,V$9:V$34)</f>
        <v/>
      </c>
      <c r="W166" s="863">
        <f>SUMIF($C$9:$C$34,$C166,W$9:W$34)</f>
        <v/>
      </c>
      <c r="X166" s="863">
        <f>SUMIF($C$9:$C$34,$C166,X$9:X$34)</f>
        <v/>
      </c>
      <c r="Y166" s="863">
        <f>SUMIF($C$9:$C$34,$C166,Y$9:Y$34)</f>
        <v/>
      </c>
      <c r="Z166" s="863">
        <f>SUMIF($C$9:$C$34,$C166,Z$9:Z$34)</f>
        <v/>
      </c>
      <c r="AA166" s="863">
        <f>SUMIF($C$9:$C$34,$C166,AA$9:AA$34)</f>
        <v/>
      </c>
      <c r="AB166" s="863">
        <f>SUMIF($C$9:$C$34,$C166,AB$9:AB$34)</f>
        <v/>
      </c>
      <c r="AC166" s="863">
        <f>SUMIF($C$9:$C$34,$C166,AC$9:AC$34)</f>
        <v/>
      </c>
      <c r="AD166" s="863">
        <f>SUMIF($C$9:$C$34,$C166,AD$9:AD$34)</f>
        <v/>
      </c>
      <c r="AE166" s="863">
        <f>SUMIF($C$9:$C$34,$C166,AE$9:AE$34)</f>
        <v/>
      </c>
      <c r="AF166" s="863">
        <f>SUMIF($C$9:$C$34,$C166,AF$9:AF$34)</f>
        <v/>
      </c>
      <c r="AG166" s="863">
        <f>SUMIF($C$9:$C$34,$C166,AG$9:AG$34)</f>
        <v/>
      </c>
      <c r="AH166" s="863">
        <f>SUMIF($C$9:$C$34,$C166,AH$9:AH$34)</f>
        <v/>
      </c>
      <c r="AI166" s="863">
        <f>SUMIF($C$9:$C$34,$C166,AI$9:AI$34)</f>
        <v/>
      </c>
      <c r="AJ166" s="863">
        <f>SUMIF($C$9:$C$34,$C166,AJ$9:AJ$34)</f>
        <v/>
      </c>
      <c r="AK166" s="863">
        <f>SUMIF($C$9:$C$34,$C166,AK$9:AK$34)</f>
        <v/>
      </c>
      <c r="AL166" s="863">
        <f>SUMIF($C$9:$C$34,$C166,AL$9:AL$34)</f>
        <v/>
      </c>
      <c r="AM166" s="863">
        <f>SUMIF($C$9:$C$34,$C166,AM$9:AM$34)</f>
        <v/>
      </c>
      <c r="AN166" s="863">
        <f>SUMIF($C$9:$C$34,$C166,AN$9:AN$34)</f>
        <v/>
      </c>
      <c r="AO166" s="863">
        <f>SUMIF($C$9:$C$34,$C166,AO$9:AO$34)</f>
        <v/>
      </c>
      <c r="AP166" s="863">
        <f>SUMIF($C$9:$C$34,$C166,AP$9:AP$34)</f>
        <v/>
      </c>
      <c r="AQ166" s="863">
        <f>SUMIF($C$9:$C$34,$C166,AQ$9:AQ$34)</f>
        <v/>
      </c>
      <c r="AR166" s="863">
        <f>SUMIF($C$9:$C$34,$C166,AR$9:AR$34)</f>
        <v/>
      </c>
      <c r="AS166" s="863">
        <f>SUMIF($C$9:$C$34,$C166,AS$9:AS$34)</f>
        <v/>
      </c>
      <c r="AT166" s="863">
        <f>SUMIF($C$9:$C$34,$C166,AT$9:AT$34)</f>
        <v/>
      </c>
      <c r="AU166" s="863">
        <f>SUMIF($C$9:$C$34,$C166,AU$9:AU$34)</f>
        <v/>
      </c>
      <c r="AV166" s="863">
        <f>SUMIF($C$9:$C$34,$C166,AV$9:AV$34)</f>
        <v/>
      </c>
      <c r="AW166" s="863">
        <f>SUMIF($C$9:$C$34,$C166,AW$9:AW$34)</f>
        <v/>
      </c>
      <c r="AX166" s="863">
        <f>SUMIF($C$9:$C$34,$C166,AX$9:AX$34)</f>
        <v/>
      </c>
      <c r="AY166" s="863">
        <f>SUMIF($C$9:$C$34,$C166,AY$9:AY$34)</f>
        <v/>
      </c>
    </row>
    <row r="167" ht="17.25" customFormat="1" customHeight="1" s="85" thickBot="1" thickTop="1">
      <c r="A167" s="96" t="n"/>
      <c r="B167" s="83">
        <f>'Scale Calculation'!C14</f>
        <v/>
      </c>
      <c r="C167" s="335" t="inlineStr">
        <is>
          <t>Used Vehicle Loans</t>
        </is>
      </c>
      <c r="D167" s="863">
        <f>SUMIF($C$9:$C$34,$C167,D$9:D$34)</f>
        <v/>
      </c>
      <c r="E167" s="863">
        <f>SUMIF($C$9:$C$34,$C167,E$9:E$34)</f>
        <v/>
      </c>
      <c r="F167" s="863">
        <f>SUMIF($C$9:$C$34,$C167,F$9:F$34)</f>
        <v/>
      </c>
      <c r="G167" s="863">
        <f>SUMIF($C$9:$C$34,$C167,G$9:G$34)</f>
        <v/>
      </c>
      <c r="H167" s="863">
        <f>SUMIF($C$9:$C$34,$C167,H$9:H$34)</f>
        <v/>
      </c>
      <c r="I167" s="863">
        <f>SUMIF($C$9:$C$34,$C167,I$9:I$34)</f>
        <v/>
      </c>
      <c r="J167" s="863">
        <f>SUMIF($C$9:$C$34,$C167,J$9:J$34)</f>
        <v/>
      </c>
      <c r="K167" s="863">
        <f>SUMIF($C$9:$C$34,$C167,K$9:K$34)</f>
        <v/>
      </c>
      <c r="L167" s="863">
        <f>SUMIF($C$9:$C$34,$C167,L$9:L$34)</f>
        <v/>
      </c>
      <c r="M167" s="863">
        <f>SUMIF($C$9:$C$34,$C167,M$9:M$34)</f>
        <v/>
      </c>
      <c r="N167" s="863">
        <f>SUMIF($C$9:$C$34,$C167,N$9:N$34)</f>
        <v/>
      </c>
      <c r="O167" s="863">
        <f>SUMIF($C$9:$C$34,$C167,O$9:O$34)</f>
        <v/>
      </c>
      <c r="P167" s="863">
        <f>SUMIF($C$9:$C$34,$C167,P$9:P$34)</f>
        <v/>
      </c>
      <c r="Q167" s="863">
        <f>SUMIF($C$9:$C$34,$C167,Q$9:Q$34)</f>
        <v/>
      </c>
      <c r="R167" s="863">
        <f>SUMIF($C$9:$C$34,$C167,R$9:R$34)</f>
        <v/>
      </c>
      <c r="S167" s="863">
        <f>SUMIF($C$9:$C$34,$C167,S$9:S$34)</f>
        <v/>
      </c>
      <c r="T167" s="863">
        <f>SUMIF($C$9:$C$34,$C167,T$9:T$34)</f>
        <v/>
      </c>
      <c r="U167" s="863">
        <f>SUMIF($C$9:$C$34,$C167,U$9:U$34)</f>
        <v/>
      </c>
      <c r="V167" s="863">
        <f>SUMIF($C$9:$C$34,$C167,V$9:V$34)</f>
        <v/>
      </c>
      <c r="W167" s="863">
        <f>SUMIF($C$9:$C$34,$C167,W$9:W$34)</f>
        <v/>
      </c>
      <c r="X167" s="863">
        <f>SUMIF($C$9:$C$34,$C167,X$9:X$34)</f>
        <v/>
      </c>
      <c r="Y167" s="863">
        <f>SUMIF($C$9:$C$34,$C167,Y$9:Y$34)</f>
        <v/>
      </c>
      <c r="Z167" s="863">
        <f>SUMIF($C$9:$C$34,$C167,Z$9:Z$34)</f>
        <v/>
      </c>
      <c r="AA167" s="863">
        <f>SUMIF($C$9:$C$34,$C167,AA$9:AA$34)</f>
        <v/>
      </c>
      <c r="AB167" s="863">
        <f>SUMIF($C$9:$C$34,$C167,AB$9:AB$34)</f>
        <v/>
      </c>
      <c r="AC167" s="863">
        <f>SUMIF($C$9:$C$34,$C167,AC$9:AC$34)</f>
        <v/>
      </c>
      <c r="AD167" s="863">
        <f>SUMIF($C$9:$C$34,$C167,AD$9:AD$34)</f>
        <v/>
      </c>
      <c r="AE167" s="863">
        <f>SUMIF($C$9:$C$34,$C167,AE$9:AE$34)</f>
        <v/>
      </c>
      <c r="AF167" s="863">
        <f>SUMIF($C$9:$C$34,$C167,AF$9:AF$34)</f>
        <v/>
      </c>
      <c r="AG167" s="863">
        <f>SUMIF($C$9:$C$34,$C167,AG$9:AG$34)</f>
        <v/>
      </c>
      <c r="AH167" s="863">
        <f>SUMIF($C$9:$C$34,$C167,AH$9:AH$34)</f>
        <v/>
      </c>
      <c r="AI167" s="863">
        <f>SUMIF($C$9:$C$34,$C167,AI$9:AI$34)</f>
        <v/>
      </c>
      <c r="AJ167" s="863">
        <f>SUMIF($C$9:$C$34,$C167,AJ$9:AJ$34)</f>
        <v/>
      </c>
      <c r="AK167" s="863">
        <f>SUMIF($C$9:$C$34,$C167,AK$9:AK$34)</f>
        <v/>
      </c>
      <c r="AL167" s="863">
        <f>SUMIF($C$9:$C$34,$C167,AL$9:AL$34)</f>
        <v/>
      </c>
      <c r="AM167" s="863">
        <f>SUMIF($C$9:$C$34,$C167,AM$9:AM$34)</f>
        <v/>
      </c>
      <c r="AN167" s="863">
        <f>SUMIF($C$9:$C$34,$C167,AN$9:AN$34)</f>
        <v/>
      </c>
      <c r="AO167" s="863">
        <f>SUMIF($C$9:$C$34,$C167,AO$9:AO$34)</f>
        <v/>
      </c>
      <c r="AP167" s="863">
        <f>SUMIF($C$9:$C$34,$C167,AP$9:AP$34)</f>
        <v/>
      </c>
      <c r="AQ167" s="863">
        <f>SUMIF($C$9:$C$34,$C167,AQ$9:AQ$34)</f>
        <v/>
      </c>
      <c r="AR167" s="863">
        <f>SUMIF($C$9:$C$34,$C167,AR$9:AR$34)</f>
        <v/>
      </c>
      <c r="AS167" s="863">
        <f>SUMIF($C$9:$C$34,$C167,AS$9:AS$34)</f>
        <v/>
      </c>
      <c r="AT167" s="863">
        <f>SUMIF($C$9:$C$34,$C167,AT$9:AT$34)</f>
        <v/>
      </c>
      <c r="AU167" s="863">
        <f>SUMIF($C$9:$C$34,$C167,AU$9:AU$34)</f>
        <v/>
      </c>
      <c r="AV167" s="863">
        <f>SUMIF($C$9:$C$34,$C167,AV$9:AV$34)</f>
        <v/>
      </c>
      <c r="AW167" s="863">
        <f>SUMIF($C$9:$C$34,$C167,AW$9:AW$34)</f>
        <v/>
      </c>
      <c r="AX167" s="863">
        <f>SUMIF($C$9:$C$34,$C167,AX$9:AX$34)</f>
        <v/>
      </c>
      <c r="AY167" s="863">
        <f>SUMIF($C$9:$C$34,$C167,AY$9:AY$34)</f>
        <v/>
      </c>
    </row>
    <row r="168" ht="17.25" customFormat="1" customHeight="1" s="85" thickBot="1" thickTop="1">
      <c r="A168" s="96" t="n"/>
      <c r="B168" s="83">
        <f>B80</f>
        <v/>
      </c>
      <c r="C168" s="335" t="inlineStr">
        <is>
          <t>Leases Receivable</t>
        </is>
      </c>
      <c r="D168" s="863">
        <f>SUMIF($C$9:$C$34,$C168,D$9:D$34)</f>
        <v/>
      </c>
      <c r="E168" s="863">
        <f>SUMIF($C$9:$C$34,$C168,E$9:E$34)</f>
        <v/>
      </c>
      <c r="F168" s="863">
        <f>SUMIF($C$9:$C$34,$C168,F$9:F$34)</f>
        <v/>
      </c>
      <c r="G168" s="863">
        <f>SUMIF($C$9:$C$34,$C168,G$9:G$34)</f>
        <v/>
      </c>
      <c r="H168" s="863">
        <f>SUMIF($C$9:$C$34,$C168,H$9:H$34)</f>
        <v/>
      </c>
      <c r="I168" s="863">
        <f>SUMIF($C$9:$C$34,$C168,I$9:I$34)</f>
        <v/>
      </c>
      <c r="J168" s="863">
        <f>SUMIF($C$9:$C$34,$C168,J$9:J$34)</f>
        <v/>
      </c>
      <c r="K168" s="863">
        <f>SUMIF($C$9:$C$34,$C168,K$9:K$34)</f>
        <v/>
      </c>
      <c r="L168" s="863">
        <f>SUMIF($C$9:$C$34,$C168,L$9:L$34)</f>
        <v/>
      </c>
      <c r="M168" s="863">
        <f>SUMIF($C$9:$C$34,$C168,M$9:M$34)</f>
        <v/>
      </c>
      <c r="N168" s="863">
        <f>SUMIF($C$9:$C$34,$C168,N$9:N$34)</f>
        <v/>
      </c>
      <c r="O168" s="863">
        <f>SUMIF($C$9:$C$34,$C168,O$9:O$34)</f>
        <v/>
      </c>
      <c r="P168" s="863">
        <f>SUMIF($C$9:$C$34,$C168,P$9:P$34)</f>
        <v/>
      </c>
      <c r="Q168" s="863">
        <f>SUMIF($C$9:$C$34,$C168,Q$9:Q$34)</f>
        <v/>
      </c>
      <c r="R168" s="863">
        <f>SUMIF($C$9:$C$34,$C168,R$9:R$34)</f>
        <v/>
      </c>
      <c r="S168" s="863">
        <f>SUMIF($C$9:$C$34,$C168,S$9:S$34)</f>
        <v/>
      </c>
      <c r="T168" s="863">
        <f>SUMIF($C$9:$C$34,$C168,T$9:T$34)</f>
        <v/>
      </c>
      <c r="U168" s="863">
        <f>SUMIF($C$9:$C$34,$C168,U$9:U$34)</f>
        <v/>
      </c>
      <c r="V168" s="863">
        <f>SUMIF($C$9:$C$34,$C168,V$9:V$34)</f>
        <v/>
      </c>
      <c r="W168" s="863">
        <f>SUMIF($C$9:$C$34,$C168,W$9:W$34)</f>
        <v/>
      </c>
      <c r="X168" s="863">
        <f>SUMIF($C$9:$C$34,$C168,X$9:X$34)</f>
        <v/>
      </c>
      <c r="Y168" s="863">
        <f>SUMIF($C$9:$C$34,$C168,Y$9:Y$34)</f>
        <v/>
      </c>
      <c r="Z168" s="863">
        <f>SUMIF($C$9:$C$34,$C168,Z$9:Z$34)</f>
        <v/>
      </c>
      <c r="AA168" s="863">
        <f>SUMIF($C$9:$C$34,$C168,AA$9:AA$34)</f>
        <v/>
      </c>
      <c r="AB168" s="863">
        <f>SUMIF($C$9:$C$34,$C168,AB$9:AB$34)</f>
        <v/>
      </c>
      <c r="AC168" s="863">
        <f>SUMIF($C$9:$C$34,$C168,AC$9:AC$34)</f>
        <v/>
      </c>
      <c r="AD168" s="863">
        <f>SUMIF($C$9:$C$34,$C168,AD$9:AD$34)</f>
        <v/>
      </c>
      <c r="AE168" s="863">
        <f>SUMIF($C$9:$C$34,$C168,AE$9:AE$34)</f>
        <v/>
      </c>
      <c r="AF168" s="863">
        <f>SUMIF($C$9:$C$34,$C168,AF$9:AF$34)</f>
        <v/>
      </c>
      <c r="AG168" s="863">
        <f>SUMIF($C$9:$C$34,$C168,AG$9:AG$34)</f>
        <v/>
      </c>
      <c r="AH168" s="863">
        <f>SUMIF($C$9:$C$34,$C168,AH$9:AH$34)</f>
        <v/>
      </c>
      <c r="AI168" s="863">
        <f>SUMIF($C$9:$C$34,$C168,AI$9:AI$34)</f>
        <v/>
      </c>
      <c r="AJ168" s="863">
        <f>SUMIF($C$9:$C$34,$C168,AJ$9:AJ$34)</f>
        <v/>
      </c>
      <c r="AK168" s="863">
        <f>SUMIF($C$9:$C$34,$C168,AK$9:AK$34)</f>
        <v/>
      </c>
      <c r="AL168" s="863">
        <f>SUMIF($C$9:$C$34,$C168,AL$9:AL$34)</f>
        <v/>
      </c>
      <c r="AM168" s="863">
        <f>SUMIF($C$9:$C$34,$C168,AM$9:AM$34)</f>
        <v/>
      </c>
      <c r="AN168" s="863">
        <f>SUMIF($C$9:$C$34,$C168,AN$9:AN$34)</f>
        <v/>
      </c>
      <c r="AO168" s="863">
        <f>SUMIF($C$9:$C$34,$C168,AO$9:AO$34)</f>
        <v/>
      </c>
      <c r="AP168" s="863">
        <f>SUMIF($C$9:$C$34,$C168,AP$9:AP$34)</f>
        <v/>
      </c>
      <c r="AQ168" s="863">
        <f>SUMIF($C$9:$C$34,$C168,AQ$9:AQ$34)</f>
        <v/>
      </c>
      <c r="AR168" s="863">
        <f>SUMIF($C$9:$C$34,$C168,AR$9:AR$34)</f>
        <v/>
      </c>
      <c r="AS168" s="863">
        <f>SUMIF($C$9:$C$34,$C168,AS$9:AS$34)</f>
        <v/>
      </c>
      <c r="AT168" s="863">
        <f>SUMIF($C$9:$C$34,$C168,AT$9:AT$34)</f>
        <v/>
      </c>
      <c r="AU168" s="863">
        <f>SUMIF($C$9:$C$34,$C168,AU$9:AU$34)</f>
        <v/>
      </c>
      <c r="AV168" s="863">
        <f>SUMIF($C$9:$C$34,$C168,AV$9:AV$34)</f>
        <v/>
      </c>
      <c r="AW168" s="863">
        <f>SUMIF($C$9:$C$34,$C168,AW$9:AW$34)</f>
        <v/>
      </c>
      <c r="AX168" s="863">
        <f>SUMIF($C$9:$C$34,$C168,AX$9:AX$34)</f>
        <v/>
      </c>
      <c r="AY168" s="863">
        <f>SUMIF($C$9:$C$34,$C168,AY$9:AY$34)</f>
        <v/>
      </c>
    </row>
    <row r="169" ht="17.25" customFormat="1" customHeight="1" s="85" thickBot="1" thickTop="1">
      <c r="A169" s="96" t="n"/>
      <c r="B169" s="83">
        <f>'Scale Calculation'!C16</f>
        <v/>
      </c>
      <c r="C169" s="335" t="inlineStr">
        <is>
          <t>All Other Secured Non-Real Estate Loans/Lines of Credit</t>
        </is>
      </c>
      <c r="D169" s="863">
        <f>SUMIF($C$9:$C$34,$C169,D$9:D$34)</f>
        <v/>
      </c>
      <c r="E169" s="863">
        <f>SUMIF($C$9:$C$34,$C169,E$9:E$34)</f>
        <v/>
      </c>
      <c r="F169" s="863">
        <f>SUMIF($C$9:$C$34,$C169,F$9:F$34)</f>
        <v/>
      </c>
      <c r="G169" s="863">
        <f>SUMIF($C$9:$C$34,$C169,G$9:G$34)</f>
        <v/>
      </c>
      <c r="H169" s="863">
        <f>SUMIF($C$9:$C$34,$C169,H$9:H$34)</f>
        <v/>
      </c>
      <c r="I169" s="863">
        <f>SUMIF($C$9:$C$34,$C169,I$9:I$34)</f>
        <v/>
      </c>
      <c r="J169" s="863">
        <f>SUMIF($C$9:$C$34,$C169,J$9:J$34)</f>
        <v/>
      </c>
      <c r="K169" s="863">
        <f>SUMIF($C$9:$C$34,$C169,K$9:K$34)</f>
        <v/>
      </c>
      <c r="L169" s="863">
        <f>SUMIF($C$9:$C$34,$C169,L$9:L$34)</f>
        <v/>
      </c>
      <c r="M169" s="863">
        <f>SUMIF($C$9:$C$34,$C169,M$9:M$34)</f>
        <v/>
      </c>
      <c r="N169" s="863">
        <f>SUMIF($C$9:$C$34,$C169,N$9:N$34)</f>
        <v/>
      </c>
      <c r="O169" s="863">
        <f>SUMIF($C$9:$C$34,$C169,O$9:O$34)</f>
        <v/>
      </c>
      <c r="P169" s="863">
        <f>SUMIF($C$9:$C$34,$C169,P$9:P$34)</f>
        <v/>
      </c>
      <c r="Q169" s="863">
        <f>SUMIF($C$9:$C$34,$C169,Q$9:Q$34)</f>
        <v/>
      </c>
      <c r="R169" s="863">
        <f>SUMIF($C$9:$C$34,$C169,R$9:R$34)</f>
        <v/>
      </c>
      <c r="S169" s="863">
        <f>SUMIF($C$9:$C$34,$C169,S$9:S$34)</f>
        <v/>
      </c>
      <c r="T169" s="863">
        <f>SUMIF($C$9:$C$34,$C169,T$9:T$34)</f>
        <v/>
      </c>
      <c r="U169" s="863">
        <f>SUMIF($C$9:$C$34,$C169,U$9:U$34)</f>
        <v/>
      </c>
      <c r="V169" s="863">
        <f>SUMIF($C$9:$C$34,$C169,V$9:V$34)</f>
        <v/>
      </c>
      <c r="W169" s="863">
        <f>SUMIF($C$9:$C$34,$C169,W$9:W$34)</f>
        <v/>
      </c>
      <c r="X169" s="863">
        <f>SUMIF($C$9:$C$34,$C169,X$9:X$34)</f>
        <v/>
      </c>
      <c r="Y169" s="863">
        <f>SUMIF($C$9:$C$34,$C169,Y$9:Y$34)</f>
        <v/>
      </c>
      <c r="Z169" s="863">
        <f>SUMIF($C$9:$C$34,$C169,Z$9:Z$34)</f>
        <v/>
      </c>
      <c r="AA169" s="863">
        <f>SUMIF($C$9:$C$34,$C169,AA$9:AA$34)</f>
        <v/>
      </c>
      <c r="AB169" s="863">
        <f>SUMIF($C$9:$C$34,$C169,AB$9:AB$34)</f>
        <v/>
      </c>
      <c r="AC169" s="863">
        <f>SUMIF($C$9:$C$34,$C169,AC$9:AC$34)</f>
        <v/>
      </c>
      <c r="AD169" s="863">
        <f>SUMIF($C$9:$C$34,$C169,AD$9:AD$34)</f>
        <v/>
      </c>
      <c r="AE169" s="863">
        <f>SUMIF($C$9:$C$34,$C169,AE$9:AE$34)</f>
        <v/>
      </c>
      <c r="AF169" s="863">
        <f>SUMIF($C$9:$C$34,$C169,AF$9:AF$34)</f>
        <v/>
      </c>
      <c r="AG169" s="863">
        <f>SUMIF($C$9:$C$34,$C169,AG$9:AG$34)</f>
        <v/>
      </c>
      <c r="AH169" s="863">
        <f>SUMIF($C$9:$C$34,$C169,AH$9:AH$34)</f>
        <v/>
      </c>
      <c r="AI169" s="863">
        <f>SUMIF($C$9:$C$34,$C169,AI$9:AI$34)</f>
        <v/>
      </c>
      <c r="AJ169" s="863">
        <f>SUMIF($C$9:$C$34,$C169,AJ$9:AJ$34)</f>
        <v/>
      </c>
      <c r="AK169" s="863">
        <f>SUMIF($C$9:$C$34,$C169,AK$9:AK$34)</f>
        <v/>
      </c>
      <c r="AL169" s="863">
        <f>SUMIF($C$9:$C$34,$C169,AL$9:AL$34)</f>
        <v/>
      </c>
      <c r="AM169" s="863">
        <f>SUMIF($C$9:$C$34,$C169,AM$9:AM$34)</f>
        <v/>
      </c>
      <c r="AN169" s="863">
        <f>SUMIF($C$9:$C$34,$C169,AN$9:AN$34)</f>
        <v/>
      </c>
      <c r="AO169" s="863">
        <f>SUMIF($C$9:$C$34,$C169,AO$9:AO$34)</f>
        <v/>
      </c>
      <c r="AP169" s="863">
        <f>SUMIF($C$9:$C$34,$C169,AP$9:AP$34)</f>
        <v/>
      </c>
      <c r="AQ169" s="863">
        <f>SUMIF($C$9:$C$34,$C169,AQ$9:AQ$34)</f>
        <v/>
      </c>
      <c r="AR169" s="863">
        <f>SUMIF($C$9:$C$34,$C169,AR$9:AR$34)</f>
        <v/>
      </c>
      <c r="AS169" s="863">
        <f>SUMIF($C$9:$C$34,$C169,AS$9:AS$34)</f>
        <v/>
      </c>
      <c r="AT169" s="863">
        <f>SUMIF($C$9:$C$34,$C169,AT$9:AT$34)</f>
        <v/>
      </c>
      <c r="AU169" s="863">
        <f>SUMIF($C$9:$C$34,$C169,AU$9:AU$34)</f>
        <v/>
      </c>
      <c r="AV169" s="863">
        <f>SUMIF($C$9:$C$34,$C169,AV$9:AV$34)</f>
        <v/>
      </c>
      <c r="AW169" s="863">
        <f>SUMIF($C$9:$C$34,$C169,AW$9:AW$34)</f>
        <v/>
      </c>
      <c r="AX169" s="863">
        <f>SUMIF($C$9:$C$34,$C169,AX$9:AX$34)</f>
        <v/>
      </c>
      <c r="AY169" s="863">
        <f>SUMIF($C$9:$C$34,$C169,AY$9:AY$34)</f>
        <v/>
      </c>
    </row>
    <row r="170" ht="17.25" customFormat="1" customHeight="1" s="85" thickBot="1" thickTop="1">
      <c r="A170" s="96" t="n"/>
      <c r="B170" s="83">
        <f>'Scale Calculation'!C17</f>
        <v/>
      </c>
      <c r="C170" s="335" t="inlineStr">
        <is>
          <t>Loans/Lines of Credit Secured by a First Lien on a single 1- to 4-Family Residential Property</t>
        </is>
      </c>
      <c r="D170" s="863">
        <f>SUMIF($C$9:$C$34,$C170,D$9:D$34)</f>
        <v/>
      </c>
      <c r="E170" s="863">
        <f>SUMIF($C$9:$C$34,$C170,E$9:E$34)</f>
        <v/>
      </c>
      <c r="F170" s="863">
        <f>SUMIF($C$9:$C$34,$C170,F$9:F$34)</f>
        <v/>
      </c>
      <c r="G170" s="863">
        <f>SUMIF($C$9:$C$34,$C170,G$9:G$34)</f>
        <v/>
      </c>
      <c r="H170" s="863">
        <f>SUMIF($C$9:$C$34,$C170,H$9:H$34)</f>
        <v/>
      </c>
      <c r="I170" s="863">
        <f>SUMIF($C$9:$C$34,$C170,I$9:I$34)</f>
        <v/>
      </c>
      <c r="J170" s="863">
        <f>SUMIF($C$9:$C$34,$C170,J$9:J$34)</f>
        <v/>
      </c>
      <c r="K170" s="863">
        <f>SUMIF($C$9:$C$34,$C170,K$9:K$34)</f>
        <v/>
      </c>
      <c r="L170" s="863">
        <f>SUMIF($C$9:$C$34,$C170,L$9:L$34)</f>
        <v/>
      </c>
      <c r="M170" s="863">
        <f>SUMIF($C$9:$C$34,$C170,M$9:M$34)</f>
        <v/>
      </c>
      <c r="N170" s="863">
        <f>SUMIF($C$9:$C$34,$C170,N$9:N$34)</f>
        <v/>
      </c>
      <c r="O170" s="863">
        <f>SUMIF($C$9:$C$34,$C170,O$9:O$34)</f>
        <v/>
      </c>
      <c r="P170" s="863">
        <f>SUMIF($C$9:$C$34,$C170,P$9:P$34)</f>
        <v/>
      </c>
      <c r="Q170" s="863">
        <f>SUMIF($C$9:$C$34,$C170,Q$9:Q$34)</f>
        <v/>
      </c>
      <c r="R170" s="863">
        <f>SUMIF($C$9:$C$34,$C170,R$9:R$34)</f>
        <v/>
      </c>
      <c r="S170" s="863">
        <f>SUMIF($C$9:$C$34,$C170,S$9:S$34)</f>
        <v/>
      </c>
      <c r="T170" s="863">
        <f>SUMIF($C$9:$C$34,$C170,T$9:T$34)</f>
        <v/>
      </c>
      <c r="U170" s="863">
        <f>SUMIF($C$9:$C$34,$C170,U$9:U$34)</f>
        <v/>
      </c>
      <c r="V170" s="863">
        <f>SUMIF($C$9:$C$34,$C170,V$9:V$34)</f>
        <v/>
      </c>
      <c r="W170" s="863">
        <f>SUMIF($C$9:$C$34,$C170,W$9:W$34)</f>
        <v/>
      </c>
      <c r="X170" s="863">
        <f>SUMIF($C$9:$C$34,$C170,X$9:X$34)</f>
        <v/>
      </c>
      <c r="Y170" s="863">
        <f>SUMIF($C$9:$C$34,$C170,Y$9:Y$34)</f>
        <v/>
      </c>
      <c r="Z170" s="863">
        <f>SUMIF($C$9:$C$34,$C170,Z$9:Z$34)</f>
        <v/>
      </c>
      <c r="AA170" s="863">
        <f>SUMIF($C$9:$C$34,$C170,AA$9:AA$34)</f>
        <v/>
      </c>
      <c r="AB170" s="863">
        <f>SUMIF($C$9:$C$34,$C170,AB$9:AB$34)</f>
        <v/>
      </c>
      <c r="AC170" s="863">
        <f>SUMIF($C$9:$C$34,$C170,AC$9:AC$34)</f>
        <v/>
      </c>
      <c r="AD170" s="863">
        <f>SUMIF($C$9:$C$34,$C170,AD$9:AD$34)</f>
        <v/>
      </c>
      <c r="AE170" s="863">
        <f>SUMIF($C$9:$C$34,$C170,AE$9:AE$34)</f>
        <v/>
      </c>
      <c r="AF170" s="863">
        <f>SUMIF($C$9:$C$34,$C170,AF$9:AF$34)</f>
        <v/>
      </c>
      <c r="AG170" s="863">
        <f>SUMIF($C$9:$C$34,$C170,AG$9:AG$34)</f>
        <v/>
      </c>
      <c r="AH170" s="863">
        <f>SUMIF($C$9:$C$34,$C170,AH$9:AH$34)</f>
        <v/>
      </c>
      <c r="AI170" s="863">
        <f>SUMIF($C$9:$C$34,$C170,AI$9:AI$34)</f>
        <v/>
      </c>
      <c r="AJ170" s="863">
        <f>SUMIF($C$9:$C$34,$C170,AJ$9:AJ$34)</f>
        <v/>
      </c>
      <c r="AK170" s="863">
        <f>SUMIF($C$9:$C$34,$C170,AK$9:AK$34)</f>
        <v/>
      </c>
      <c r="AL170" s="863">
        <f>SUMIF($C$9:$C$34,$C170,AL$9:AL$34)</f>
        <v/>
      </c>
      <c r="AM170" s="863">
        <f>SUMIF($C$9:$C$34,$C170,AM$9:AM$34)</f>
        <v/>
      </c>
      <c r="AN170" s="863">
        <f>SUMIF($C$9:$C$34,$C170,AN$9:AN$34)</f>
        <v/>
      </c>
      <c r="AO170" s="863">
        <f>SUMIF($C$9:$C$34,$C170,AO$9:AO$34)</f>
        <v/>
      </c>
      <c r="AP170" s="863">
        <f>SUMIF($C$9:$C$34,$C170,AP$9:AP$34)</f>
        <v/>
      </c>
      <c r="AQ170" s="863">
        <f>SUMIF($C$9:$C$34,$C170,AQ$9:AQ$34)</f>
        <v/>
      </c>
      <c r="AR170" s="863">
        <f>SUMIF($C$9:$C$34,$C170,AR$9:AR$34)</f>
        <v/>
      </c>
      <c r="AS170" s="863">
        <f>SUMIF($C$9:$C$34,$C170,AS$9:AS$34)</f>
        <v/>
      </c>
      <c r="AT170" s="863">
        <f>SUMIF($C$9:$C$34,$C170,AT$9:AT$34)</f>
        <v/>
      </c>
      <c r="AU170" s="863">
        <f>SUMIF($C$9:$C$34,$C170,AU$9:AU$34)</f>
        <v/>
      </c>
      <c r="AV170" s="863">
        <f>SUMIF($C$9:$C$34,$C170,AV$9:AV$34)</f>
        <v/>
      </c>
      <c r="AW170" s="863">
        <f>SUMIF($C$9:$C$34,$C170,AW$9:AW$34)</f>
        <v/>
      </c>
      <c r="AX170" s="863">
        <f>SUMIF($C$9:$C$34,$C170,AX$9:AX$34)</f>
        <v/>
      </c>
      <c r="AY170" s="863">
        <f>SUMIF($C$9:$C$34,$C170,AY$9:AY$34)</f>
        <v/>
      </c>
    </row>
    <row r="171" ht="17.25" customFormat="1" customHeight="1" s="85" thickBot="1" thickTop="1">
      <c r="A171" s="96" t="n"/>
      <c r="B171" s="83">
        <f>'Scale Calculation'!C18</f>
        <v/>
      </c>
      <c r="C171" s="335" t="inlineStr">
        <is>
          <t>Loans/Lines of Credit Secured by a Junior Lien on a single 1- to 4-Family Residential Property</t>
        </is>
      </c>
      <c r="D171" s="863">
        <f>SUMIF($C$9:$C$34,$C171,D$9:D$34)</f>
        <v/>
      </c>
      <c r="E171" s="863">
        <f>SUMIF($C$9:$C$34,$C171,E$9:E$34)</f>
        <v/>
      </c>
      <c r="F171" s="863">
        <f>SUMIF($C$9:$C$34,$C171,F$9:F$34)</f>
        <v/>
      </c>
      <c r="G171" s="863">
        <f>SUMIF($C$9:$C$34,$C171,G$9:G$34)</f>
        <v/>
      </c>
      <c r="H171" s="863">
        <f>SUMIF($C$9:$C$34,$C171,H$9:H$34)</f>
        <v/>
      </c>
      <c r="I171" s="863">
        <f>SUMIF($C$9:$C$34,$C171,I$9:I$34)</f>
        <v/>
      </c>
      <c r="J171" s="863">
        <f>SUMIF($C$9:$C$34,$C171,J$9:J$34)</f>
        <v/>
      </c>
      <c r="K171" s="863">
        <f>SUMIF($C$9:$C$34,$C171,K$9:K$34)</f>
        <v/>
      </c>
      <c r="L171" s="863">
        <f>SUMIF($C$9:$C$34,$C171,L$9:L$34)</f>
        <v/>
      </c>
      <c r="M171" s="863">
        <f>SUMIF($C$9:$C$34,$C171,M$9:M$34)</f>
        <v/>
      </c>
      <c r="N171" s="863">
        <f>SUMIF($C$9:$C$34,$C171,N$9:N$34)</f>
        <v/>
      </c>
      <c r="O171" s="863">
        <f>SUMIF($C$9:$C$34,$C171,O$9:O$34)</f>
        <v/>
      </c>
      <c r="P171" s="863">
        <f>SUMIF($C$9:$C$34,$C171,P$9:P$34)</f>
        <v/>
      </c>
      <c r="Q171" s="863">
        <f>SUMIF($C$9:$C$34,$C171,Q$9:Q$34)</f>
        <v/>
      </c>
      <c r="R171" s="863">
        <f>SUMIF($C$9:$C$34,$C171,R$9:R$34)</f>
        <v/>
      </c>
      <c r="S171" s="863">
        <f>SUMIF($C$9:$C$34,$C171,S$9:S$34)</f>
        <v/>
      </c>
      <c r="T171" s="863">
        <f>SUMIF($C$9:$C$34,$C171,T$9:T$34)</f>
        <v/>
      </c>
      <c r="U171" s="863">
        <f>SUMIF($C$9:$C$34,$C171,U$9:U$34)</f>
        <v/>
      </c>
      <c r="V171" s="863">
        <f>SUMIF($C$9:$C$34,$C171,V$9:V$34)</f>
        <v/>
      </c>
      <c r="W171" s="863">
        <f>SUMIF($C$9:$C$34,$C171,W$9:W$34)</f>
        <v/>
      </c>
      <c r="X171" s="863">
        <f>SUMIF($C$9:$C$34,$C171,X$9:X$34)</f>
        <v/>
      </c>
      <c r="Y171" s="863">
        <f>SUMIF($C$9:$C$34,$C171,Y$9:Y$34)</f>
        <v/>
      </c>
      <c r="Z171" s="863">
        <f>SUMIF($C$9:$C$34,$C171,Z$9:Z$34)</f>
        <v/>
      </c>
      <c r="AA171" s="863">
        <f>SUMIF($C$9:$C$34,$C171,AA$9:AA$34)</f>
        <v/>
      </c>
      <c r="AB171" s="863">
        <f>SUMIF($C$9:$C$34,$C171,AB$9:AB$34)</f>
        <v/>
      </c>
      <c r="AC171" s="863">
        <f>SUMIF($C$9:$C$34,$C171,AC$9:AC$34)</f>
        <v/>
      </c>
      <c r="AD171" s="863">
        <f>SUMIF($C$9:$C$34,$C171,AD$9:AD$34)</f>
        <v/>
      </c>
      <c r="AE171" s="863">
        <f>SUMIF($C$9:$C$34,$C171,AE$9:AE$34)</f>
        <v/>
      </c>
      <c r="AF171" s="863">
        <f>SUMIF($C$9:$C$34,$C171,AF$9:AF$34)</f>
        <v/>
      </c>
      <c r="AG171" s="863">
        <f>SUMIF($C$9:$C$34,$C171,AG$9:AG$34)</f>
        <v/>
      </c>
      <c r="AH171" s="863">
        <f>SUMIF($C$9:$C$34,$C171,AH$9:AH$34)</f>
        <v/>
      </c>
      <c r="AI171" s="863">
        <f>SUMIF($C$9:$C$34,$C171,AI$9:AI$34)</f>
        <v/>
      </c>
      <c r="AJ171" s="863">
        <f>SUMIF($C$9:$C$34,$C171,AJ$9:AJ$34)</f>
        <v/>
      </c>
      <c r="AK171" s="863">
        <f>SUMIF($C$9:$C$34,$C171,AK$9:AK$34)</f>
        <v/>
      </c>
      <c r="AL171" s="863">
        <f>SUMIF($C$9:$C$34,$C171,AL$9:AL$34)</f>
        <v/>
      </c>
      <c r="AM171" s="863">
        <f>SUMIF($C$9:$C$34,$C171,AM$9:AM$34)</f>
        <v/>
      </c>
      <c r="AN171" s="863">
        <f>SUMIF($C$9:$C$34,$C171,AN$9:AN$34)</f>
        <v/>
      </c>
      <c r="AO171" s="863">
        <f>SUMIF($C$9:$C$34,$C171,AO$9:AO$34)</f>
        <v/>
      </c>
      <c r="AP171" s="863">
        <f>SUMIF($C$9:$C$34,$C171,AP$9:AP$34)</f>
        <v/>
      </c>
      <c r="AQ171" s="863">
        <f>SUMIF($C$9:$C$34,$C171,AQ$9:AQ$34)</f>
        <v/>
      </c>
      <c r="AR171" s="863">
        <f>SUMIF($C$9:$C$34,$C171,AR$9:AR$34)</f>
        <v/>
      </c>
      <c r="AS171" s="863">
        <f>SUMIF($C$9:$C$34,$C171,AS$9:AS$34)</f>
        <v/>
      </c>
      <c r="AT171" s="863">
        <f>SUMIF($C$9:$C$34,$C171,AT$9:AT$34)</f>
        <v/>
      </c>
      <c r="AU171" s="863">
        <f>SUMIF($C$9:$C$34,$C171,AU$9:AU$34)</f>
        <v/>
      </c>
      <c r="AV171" s="863">
        <f>SUMIF($C$9:$C$34,$C171,AV$9:AV$34)</f>
        <v/>
      </c>
      <c r="AW171" s="863">
        <f>SUMIF($C$9:$C$34,$C171,AW$9:AW$34)</f>
        <v/>
      </c>
      <c r="AX171" s="863">
        <f>SUMIF($C$9:$C$34,$C171,AX$9:AX$34)</f>
        <v/>
      </c>
      <c r="AY171" s="863">
        <f>SUMIF($C$9:$C$34,$C171,AY$9:AY$34)</f>
        <v/>
      </c>
    </row>
    <row r="172" ht="17.25" customFormat="1" customHeight="1" s="85" thickBot="1" thickTop="1">
      <c r="A172" s="96" t="n"/>
      <c r="B172" s="83">
        <f>'Scale Calculation'!C19</f>
        <v/>
      </c>
      <c r="C172" s="335" t="inlineStr">
        <is>
          <t>All Other (Non-Commercial) Real Estate Loans/Lines of Credit</t>
        </is>
      </c>
      <c r="D172" s="875">
        <f>SUMIF($C$9:$C$34,$C172,D$9:D$34)</f>
        <v/>
      </c>
      <c r="E172" s="863">
        <f>SUMIF($C$9:$C$34,$C172,E$9:E$34)</f>
        <v/>
      </c>
      <c r="F172" s="863">
        <f>SUMIF($C$9:$C$34,$C172,F$9:F$34)</f>
        <v/>
      </c>
      <c r="G172" s="863">
        <f>SUMIF($C$9:$C$34,$C172,G$9:G$34)</f>
        <v/>
      </c>
      <c r="H172" s="863">
        <f>SUMIF($C$9:$C$34,$C172,H$9:H$34)</f>
        <v/>
      </c>
      <c r="I172" s="863">
        <f>SUMIF($C$9:$C$34,$C172,I$9:I$34)</f>
        <v/>
      </c>
      <c r="J172" s="863">
        <f>SUMIF($C$9:$C$34,$C172,J$9:J$34)</f>
        <v/>
      </c>
      <c r="K172" s="863">
        <f>SUMIF($C$9:$C$34,$C172,K$9:K$34)</f>
        <v/>
      </c>
      <c r="L172" s="863">
        <f>SUMIF($C$9:$C$34,$C172,L$9:L$34)</f>
        <v/>
      </c>
      <c r="M172" s="863">
        <f>SUMIF($C$9:$C$34,$C172,M$9:M$34)</f>
        <v/>
      </c>
      <c r="N172" s="863">
        <f>SUMIF($C$9:$C$34,$C172,N$9:N$34)</f>
        <v/>
      </c>
      <c r="O172" s="863">
        <f>SUMIF($C$9:$C$34,$C172,O$9:O$34)</f>
        <v/>
      </c>
      <c r="P172" s="863">
        <f>SUMIF($C$9:$C$34,$C172,P$9:P$34)</f>
        <v/>
      </c>
      <c r="Q172" s="863">
        <f>SUMIF($C$9:$C$34,$C172,Q$9:Q$34)</f>
        <v/>
      </c>
      <c r="R172" s="863">
        <f>SUMIF($C$9:$C$34,$C172,R$9:R$34)</f>
        <v/>
      </c>
      <c r="S172" s="863">
        <f>SUMIF($C$9:$C$34,$C172,S$9:S$34)</f>
        <v/>
      </c>
      <c r="T172" s="863">
        <f>SUMIF($C$9:$C$34,$C172,T$9:T$34)</f>
        <v/>
      </c>
      <c r="U172" s="863">
        <f>SUMIF($C$9:$C$34,$C172,U$9:U$34)</f>
        <v/>
      </c>
      <c r="V172" s="863">
        <f>SUMIF($C$9:$C$34,$C172,V$9:V$34)</f>
        <v/>
      </c>
      <c r="W172" s="863">
        <f>SUMIF($C$9:$C$34,$C172,W$9:W$34)</f>
        <v/>
      </c>
      <c r="X172" s="863">
        <f>SUMIF($C$9:$C$34,$C172,X$9:X$34)</f>
        <v/>
      </c>
      <c r="Y172" s="863">
        <f>SUMIF($C$9:$C$34,$C172,Y$9:Y$34)</f>
        <v/>
      </c>
      <c r="Z172" s="863">
        <f>SUMIF($C$9:$C$34,$C172,Z$9:Z$34)</f>
        <v/>
      </c>
      <c r="AA172" s="863">
        <f>SUMIF($C$9:$C$34,$C172,AA$9:AA$34)</f>
        <v/>
      </c>
      <c r="AB172" s="863">
        <f>SUMIF($C$9:$C$34,$C172,AB$9:AB$34)</f>
        <v/>
      </c>
      <c r="AC172" s="863">
        <f>SUMIF($C$9:$C$34,$C172,AC$9:AC$34)</f>
        <v/>
      </c>
      <c r="AD172" s="863">
        <f>SUMIF($C$9:$C$34,$C172,AD$9:AD$34)</f>
        <v/>
      </c>
      <c r="AE172" s="863">
        <f>SUMIF($C$9:$C$34,$C172,AE$9:AE$34)</f>
        <v/>
      </c>
      <c r="AF172" s="863">
        <f>SUMIF($C$9:$C$34,$C172,AF$9:AF$34)</f>
        <v/>
      </c>
      <c r="AG172" s="863">
        <f>SUMIF($C$9:$C$34,$C172,AG$9:AG$34)</f>
        <v/>
      </c>
      <c r="AH172" s="863">
        <f>SUMIF($C$9:$C$34,$C172,AH$9:AH$34)</f>
        <v/>
      </c>
      <c r="AI172" s="863">
        <f>SUMIF($C$9:$C$34,$C172,AI$9:AI$34)</f>
        <v/>
      </c>
      <c r="AJ172" s="863">
        <f>SUMIF($C$9:$C$34,$C172,AJ$9:AJ$34)</f>
        <v/>
      </c>
      <c r="AK172" s="863">
        <f>SUMIF($C$9:$C$34,$C172,AK$9:AK$34)</f>
        <v/>
      </c>
      <c r="AL172" s="863">
        <f>SUMIF($C$9:$C$34,$C172,AL$9:AL$34)</f>
        <v/>
      </c>
      <c r="AM172" s="863">
        <f>SUMIF($C$9:$C$34,$C172,AM$9:AM$34)</f>
        <v/>
      </c>
      <c r="AN172" s="863">
        <f>SUMIF($C$9:$C$34,$C172,AN$9:AN$34)</f>
        <v/>
      </c>
      <c r="AO172" s="863">
        <f>SUMIF($C$9:$C$34,$C172,AO$9:AO$34)</f>
        <v/>
      </c>
      <c r="AP172" s="863">
        <f>SUMIF($C$9:$C$34,$C172,AP$9:AP$34)</f>
        <v/>
      </c>
      <c r="AQ172" s="863">
        <f>SUMIF($C$9:$C$34,$C172,AQ$9:AQ$34)</f>
        <v/>
      </c>
      <c r="AR172" s="863">
        <f>SUMIF($C$9:$C$34,$C172,AR$9:AR$34)</f>
        <v/>
      </c>
      <c r="AS172" s="863">
        <f>SUMIF($C$9:$C$34,$C172,AS$9:AS$34)</f>
        <v/>
      </c>
      <c r="AT172" s="863">
        <f>SUMIF($C$9:$C$34,$C172,AT$9:AT$34)</f>
        <v/>
      </c>
      <c r="AU172" s="863">
        <f>SUMIF($C$9:$C$34,$C172,AU$9:AU$34)</f>
        <v/>
      </c>
      <c r="AV172" s="863">
        <f>SUMIF($C$9:$C$34,$C172,AV$9:AV$34)</f>
        <v/>
      </c>
      <c r="AW172" s="863">
        <f>SUMIF($C$9:$C$34,$C172,AW$9:AW$34)</f>
        <v/>
      </c>
      <c r="AX172" s="863">
        <f>SUMIF($C$9:$C$34,$C172,AX$9:AX$34)</f>
        <v/>
      </c>
      <c r="AY172" s="863">
        <f>SUMIF($C$9:$C$34,$C172,AY$9:AY$34)</f>
        <v/>
      </c>
    </row>
    <row r="173" ht="17.25" customFormat="1" customHeight="1" s="85" thickBot="1" thickTop="1">
      <c r="A173" s="96" t="n"/>
      <c r="B173" s="83">
        <f>'Scale Calculation'!C20</f>
        <v/>
      </c>
      <c r="C173" s="335" t="inlineStr">
        <is>
          <t>Commercial Loans/Lines of Credit Real Estate Secured</t>
        </is>
      </c>
      <c r="D173" s="863">
        <f>SUMIF($C$9:$C$34,$C173,D$9:D$34)</f>
        <v/>
      </c>
      <c r="E173" s="863">
        <f>SUMIF($C$9:$C$34,$C173,E$9:E$34)</f>
        <v/>
      </c>
      <c r="F173" s="863">
        <f>SUMIF($C$9:$C$34,$C173,F$9:F$34)</f>
        <v/>
      </c>
      <c r="G173" s="863">
        <f>SUMIF($C$9:$C$34,$C173,G$9:G$34)</f>
        <v/>
      </c>
      <c r="H173" s="863">
        <f>SUMIF($C$9:$C$34,$C173,H$9:H$34)</f>
        <v/>
      </c>
      <c r="I173" s="863">
        <f>SUMIF($C$9:$C$34,$C173,I$9:I$34)</f>
        <v/>
      </c>
      <c r="J173" s="863">
        <f>SUMIF($C$9:$C$34,$C173,J$9:J$34)</f>
        <v/>
      </c>
      <c r="K173" s="863">
        <f>SUMIF($C$9:$C$34,$C173,K$9:K$34)</f>
        <v/>
      </c>
      <c r="L173" s="863">
        <f>SUMIF($C$9:$C$34,$C173,L$9:L$34)</f>
        <v/>
      </c>
      <c r="M173" s="863">
        <f>SUMIF($C$9:$C$34,$C173,M$9:M$34)</f>
        <v/>
      </c>
      <c r="N173" s="863">
        <f>SUMIF($C$9:$C$34,$C173,N$9:N$34)</f>
        <v/>
      </c>
      <c r="O173" s="863">
        <f>SUMIF($C$9:$C$34,$C173,O$9:O$34)</f>
        <v/>
      </c>
      <c r="P173" s="863">
        <f>SUMIF($C$9:$C$34,$C173,P$9:P$34)</f>
        <v/>
      </c>
      <c r="Q173" s="863">
        <f>SUMIF($C$9:$C$34,$C173,Q$9:Q$34)</f>
        <v/>
      </c>
      <c r="R173" s="863">
        <f>SUMIF($C$9:$C$34,$C173,R$9:R$34)</f>
        <v/>
      </c>
      <c r="S173" s="863">
        <f>SUMIF($C$9:$C$34,$C173,S$9:S$34)</f>
        <v/>
      </c>
      <c r="T173" s="863">
        <f>SUMIF($C$9:$C$34,$C173,T$9:T$34)</f>
        <v/>
      </c>
      <c r="U173" s="863">
        <f>SUMIF($C$9:$C$34,$C173,U$9:U$34)</f>
        <v/>
      </c>
      <c r="V173" s="863">
        <f>SUMIF($C$9:$C$34,$C173,V$9:V$34)</f>
        <v/>
      </c>
      <c r="W173" s="863">
        <f>SUMIF($C$9:$C$34,$C173,W$9:W$34)</f>
        <v/>
      </c>
      <c r="X173" s="863">
        <f>SUMIF($C$9:$C$34,$C173,X$9:X$34)</f>
        <v/>
      </c>
      <c r="Y173" s="863">
        <f>SUMIF($C$9:$C$34,$C173,Y$9:Y$34)</f>
        <v/>
      </c>
      <c r="Z173" s="863">
        <f>SUMIF($C$9:$C$34,$C173,Z$9:Z$34)</f>
        <v/>
      </c>
      <c r="AA173" s="863">
        <f>SUMIF($C$9:$C$34,$C173,AA$9:AA$34)</f>
        <v/>
      </c>
      <c r="AB173" s="863">
        <f>SUMIF($C$9:$C$34,$C173,AB$9:AB$34)</f>
        <v/>
      </c>
      <c r="AC173" s="863">
        <f>SUMIF($C$9:$C$34,$C173,AC$9:AC$34)</f>
        <v/>
      </c>
      <c r="AD173" s="863">
        <f>SUMIF($C$9:$C$34,$C173,AD$9:AD$34)</f>
        <v/>
      </c>
      <c r="AE173" s="863">
        <f>SUMIF($C$9:$C$34,$C173,AE$9:AE$34)</f>
        <v/>
      </c>
      <c r="AF173" s="863">
        <f>SUMIF($C$9:$C$34,$C173,AF$9:AF$34)</f>
        <v/>
      </c>
      <c r="AG173" s="863">
        <f>SUMIF($C$9:$C$34,$C173,AG$9:AG$34)</f>
        <v/>
      </c>
      <c r="AH173" s="863">
        <f>SUMIF($C$9:$C$34,$C173,AH$9:AH$34)</f>
        <v/>
      </c>
      <c r="AI173" s="863">
        <f>SUMIF($C$9:$C$34,$C173,AI$9:AI$34)</f>
        <v/>
      </c>
      <c r="AJ173" s="863">
        <f>SUMIF($C$9:$C$34,$C173,AJ$9:AJ$34)</f>
        <v/>
      </c>
      <c r="AK173" s="863">
        <f>SUMIF($C$9:$C$34,$C173,AK$9:AK$34)</f>
        <v/>
      </c>
      <c r="AL173" s="863">
        <f>SUMIF($C$9:$C$34,$C173,AL$9:AL$34)</f>
        <v/>
      </c>
      <c r="AM173" s="863">
        <f>SUMIF($C$9:$C$34,$C173,AM$9:AM$34)</f>
        <v/>
      </c>
      <c r="AN173" s="863">
        <f>SUMIF($C$9:$C$34,$C173,AN$9:AN$34)</f>
        <v/>
      </c>
      <c r="AO173" s="863">
        <f>SUMIF($C$9:$C$34,$C173,AO$9:AO$34)</f>
        <v/>
      </c>
      <c r="AP173" s="863">
        <f>SUMIF($C$9:$C$34,$C173,AP$9:AP$34)</f>
        <v/>
      </c>
      <c r="AQ173" s="863">
        <f>SUMIF($C$9:$C$34,$C173,AQ$9:AQ$34)</f>
        <v/>
      </c>
      <c r="AR173" s="863">
        <f>SUMIF($C$9:$C$34,$C173,AR$9:AR$34)</f>
        <v/>
      </c>
      <c r="AS173" s="863">
        <f>SUMIF($C$9:$C$34,$C173,AS$9:AS$34)</f>
        <v/>
      </c>
      <c r="AT173" s="863">
        <f>SUMIF($C$9:$C$34,$C173,AT$9:AT$34)</f>
        <v/>
      </c>
      <c r="AU173" s="863">
        <f>SUMIF($C$9:$C$34,$C173,AU$9:AU$34)</f>
        <v/>
      </c>
      <c r="AV173" s="863">
        <f>SUMIF($C$9:$C$34,$C173,AV$9:AV$34)</f>
        <v/>
      </c>
      <c r="AW173" s="863">
        <f>SUMIF($C$9:$C$34,$C173,AW$9:AW$34)</f>
        <v/>
      </c>
      <c r="AX173" s="863">
        <f>SUMIF($C$9:$C$34,$C173,AX$9:AX$34)</f>
        <v/>
      </c>
      <c r="AY173" s="863">
        <f>SUMIF($C$9:$C$34,$C173,AY$9:AY$34)</f>
        <v/>
      </c>
    </row>
    <row r="174" ht="17.25" customFormat="1" customHeight="1" s="85" thickBot="1" thickTop="1">
      <c r="A174" s="96" t="n"/>
      <c r="B174" s="83">
        <f>'Scale Calculation'!C21</f>
        <v/>
      </c>
      <c r="C174" s="335" t="inlineStr">
        <is>
          <t>Commercial Loans/Lines of Credit Not Real Estate Secured</t>
        </is>
      </c>
      <c r="D174" s="863">
        <f>SUMIF($C$9:$C$34,$C174,D$9:D$34)</f>
        <v/>
      </c>
      <c r="E174" s="863">
        <f>SUMIF($C$9:$C$34,$C174,E$9:E$34)</f>
        <v/>
      </c>
      <c r="F174" s="863">
        <f>SUMIF($C$9:$C$34,$C174,F$9:F$34)</f>
        <v/>
      </c>
      <c r="G174" s="863">
        <f>SUMIF($C$9:$C$34,$C174,G$9:G$34)</f>
        <v/>
      </c>
      <c r="H174" s="863">
        <f>SUMIF($C$9:$C$34,$C174,H$9:H$34)</f>
        <v/>
      </c>
      <c r="I174" s="863">
        <f>SUMIF($C$9:$C$34,$C174,I$9:I$34)</f>
        <v/>
      </c>
      <c r="J174" s="863">
        <f>SUMIF($C$9:$C$34,$C174,J$9:J$34)</f>
        <v/>
      </c>
      <c r="K174" s="863">
        <f>SUMIF($C$9:$C$34,$C174,K$9:K$34)</f>
        <v/>
      </c>
      <c r="L174" s="863">
        <f>SUMIF($C$9:$C$34,$C174,L$9:L$34)</f>
        <v/>
      </c>
      <c r="M174" s="863">
        <f>SUMIF($C$9:$C$34,$C174,M$9:M$34)</f>
        <v/>
      </c>
      <c r="N174" s="863">
        <f>SUMIF($C$9:$C$34,$C174,N$9:N$34)</f>
        <v/>
      </c>
      <c r="O174" s="863">
        <f>SUMIF($C$9:$C$34,$C174,O$9:O$34)</f>
        <v/>
      </c>
      <c r="P174" s="863">
        <f>SUMIF($C$9:$C$34,$C174,P$9:P$34)</f>
        <v/>
      </c>
      <c r="Q174" s="863">
        <f>SUMIF($C$9:$C$34,$C174,Q$9:Q$34)</f>
        <v/>
      </c>
      <c r="R174" s="863">
        <f>SUMIF($C$9:$C$34,$C174,R$9:R$34)</f>
        <v/>
      </c>
      <c r="S174" s="863">
        <f>SUMIF($C$9:$C$34,$C174,S$9:S$34)</f>
        <v/>
      </c>
      <c r="T174" s="863">
        <f>SUMIF($C$9:$C$34,$C174,T$9:T$34)</f>
        <v/>
      </c>
      <c r="U174" s="863">
        <f>SUMIF($C$9:$C$34,$C174,U$9:U$34)</f>
        <v/>
      </c>
      <c r="V174" s="863">
        <f>SUMIF($C$9:$C$34,$C174,V$9:V$34)</f>
        <v/>
      </c>
      <c r="W174" s="863">
        <f>SUMIF($C$9:$C$34,$C174,W$9:W$34)</f>
        <v/>
      </c>
      <c r="X174" s="863">
        <f>SUMIF($C$9:$C$34,$C174,X$9:X$34)</f>
        <v/>
      </c>
      <c r="Y174" s="863">
        <f>SUMIF($C$9:$C$34,$C174,Y$9:Y$34)</f>
        <v/>
      </c>
      <c r="Z174" s="863">
        <f>SUMIF($C$9:$C$34,$C174,Z$9:Z$34)</f>
        <v/>
      </c>
      <c r="AA174" s="863">
        <f>SUMIF($C$9:$C$34,$C174,AA$9:AA$34)</f>
        <v/>
      </c>
      <c r="AB174" s="863">
        <f>SUMIF($C$9:$C$34,$C174,AB$9:AB$34)</f>
        <v/>
      </c>
      <c r="AC174" s="863">
        <f>SUMIF($C$9:$C$34,$C174,AC$9:AC$34)</f>
        <v/>
      </c>
      <c r="AD174" s="863">
        <f>SUMIF($C$9:$C$34,$C174,AD$9:AD$34)</f>
        <v/>
      </c>
      <c r="AE174" s="863">
        <f>SUMIF($C$9:$C$34,$C174,AE$9:AE$34)</f>
        <v/>
      </c>
      <c r="AF174" s="863">
        <f>SUMIF($C$9:$C$34,$C174,AF$9:AF$34)</f>
        <v/>
      </c>
      <c r="AG174" s="863">
        <f>SUMIF($C$9:$C$34,$C174,AG$9:AG$34)</f>
        <v/>
      </c>
      <c r="AH174" s="863">
        <f>SUMIF($C$9:$C$34,$C174,AH$9:AH$34)</f>
        <v/>
      </c>
      <c r="AI174" s="863">
        <f>SUMIF($C$9:$C$34,$C174,AI$9:AI$34)</f>
        <v/>
      </c>
      <c r="AJ174" s="863">
        <f>SUMIF($C$9:$C$34,$C174,AJ$9:AJ$34)</f>
        <v/>
      </c>
      <c r="AK174" s="863">
        <f>SUMIF($C$9:$C$34,$C174,AK$9:AK$34)</f>
        <v/>
      </c>
      <c r="AL174" s="863">
        <f>SUMIF($C$9:$C$34,$C174,AL$9:AL$34)</f>
        <v/>
      </c>
      <c r="AM174" s="863">
        <f>SUMIF($C$9:$C$34,$C174,AM$9:AM$34)</f>
        <v/>
      </c>
      <c r="AN174" s="863">
        <f>SUMIF($C$9:$C$34,$C174,AN$9:AN$34)</f>
        <v/>
      </c>
      <c r="AO174" s="863">
        <f>SUMIF($C$9:$C$34,$C174,AO$9:AO$34)</f>
        <v/>
      </c>
      <c r="AP174" s="863">
        <f>SUMIF($C$9:$C$34,$C174,AP$9:AP$34)</f>
        <v/>
      </c>
      <c r="AQ174" s="863">
        <f>SUMIF($C$9:$C$34,$C174,AQ$9:AQ$34)</f>
        <v/>
      </c>
      <c r="AR174" s="863">
        <f>SUMIF($C$9:$C$34,$C174,AR$9:AR$34)</f>
        <v/>
      </c>
      <c r="AS174" s="863">
        <f>SUMIF($C$9:$C$34,$C174,AS$9:AS$34)</f>
        <v/>
      </c>
      <c r="AT174" s="863">
        <f>SUMIF($C$9:$C$34,$C174,AT$9:AT$34)</f>
        <v/>
      </c>
      <c r="AU174" s="863">
        <f>SUMIF($C$9:$C$34,$C174,AU$9:AU$34)</f>
        <v/>
      </c>
      <c r="AV174" s="863">
        <f>SUMIF($C$9:$C$34,$C174,AV$9:AV$34)</f>
        <v/>
      </c>
      <c r="AW174" s="863">
        <f>SUMIF($C$9:$C$34,$C174,AW$9:AW$34)</f>
        <v/>
      </c>
      <c r="AX174" s="863">
        <f>SUMIF($C$9:$C$34,$C174,AX$9:AX$34)</f>
        <v/>
      </c>
      <c r="AY174" s="863">
        <f>SUMIF($C$9:$C$34,$C174,AY$9:AY$34)</f>
        <v/>
      </c>
    </row>
    <row r="175" ht="17.25" customFormat="1" customHeight="1" s="85" thickBot="1" thickTop="1">
      <c r="A175" s="96" t="n"/>
      <c r="B175" s="89" t="inlineStr">
        <is>
          <t>Total Loans</t>
        </is>
      </c>
      <c r="C175" s="332" t="n"/>
      <c r="D175" s="876">
        <f>SUM(D162:D174)</f>
        <v/>
      </c>
      <c r="E175" s="876">
        <f>SUM(E162:E174)</f>
        <v/>
      </c>
      <c r="F175" s="876">
        <f>SUM(F162:F174)</f>
        <v/>
      </c>
      <c r="G175" s="876">
        <f>SUM(G162:G174)</f>
        <v/>
      </c>
      <c r="H175" s="876">
        <f>SUM(H162:H174)</f>
        <v/>
      </c>
      <c r="I175" s="876">
        <f>SUM(I162:I174)</f>
        <v/>
      </c>
      <c r="J175" s="876">
        <f>SUM(J162:J174)</f>
        <v/>
      </c>
      <c r="K175" s="876">
        <f>SUM(K162:K174)</f>
        <v/>
      </c>
      <c r="L175" s="876">
        <f>SUM(L162:L174)</f>
        <v/>
      </c>
      <c r="M175" s="876">
        <f>SUM(M162:M174)</f>
        <v/>
      </c>
      <c r="N175" s="876">
        <f>SUM(N162:N174)</f>
        <v/>
      </c>
      <c r="O175" s="876">
        <f>SUM(O162:O174)</f>
        <v/>
      </c>
      <c r="P175" s="876">
        <f>SUM(P162:P174)</f>
        <v/>
      </c>
      <c r="Q175" s="876">
        <f>SUM(Q162:Q174)</f>
        <v/>
      </c>
      <c r="R175" s="876">
        <f>SUM(R162:R174)</f>
        <v/>
      </c>
      <c r="S175" s="876">
        <f>SUM(S162:S174)</f>
        <v/>
      </c>
      <c r="T175" s="876">
        <f>SUM(T162:T174)</f>
        <v/>
      </c>
      <c r="U175" s="876">
        <f>SUM(U162:U174)</f>
        <v/>
      </c>
      <c r="V175" s="876">
        <f>SUM(V162:V174)</f>
        <v/>
      </c>
      <c r="W175" s="876">
        <f>SUM(W162:W174)</f>
        <v/>
      </c>
      <c r="X175" s="876">
        <f>SUM(X162:X174)</f>
        <v/>
      </c>
      <c r="Y175" s="876">
        <f>SUM(Y162:Y174)</f>
        <v/>
      </c>
      <c r="Z175" s="876">
        <f>SUM(Z162:Z174)</f>
        <v/>
      </c>
      <c r="AA175" s="876">
        <f>SUM(AA162:AA174)</f>
        <v/>
      </c>
      <c r="AB175" s="876">
        <f>SUM(AB162:AB174)</f>
        <v/>
      </c>
      <c r="AC175" s="876">
        <f>SUM(AC162:AC174)</f>
        <v/>
      </c>
      <c r="AD175" s="876">
        <f>SUM(AD162:AD174)</f>
        <v/>
      </c>
      <c r="AE175" s="876">
        <f>SUM(AE162:AE174)</f>
        <v/>
      </c>
      <c r="AF175" s="876">
        <f>SUM(AF162:AF174)</f>
        <v/>
      </c>
      <c r="AG175" s="876">
        <f>SUM(AG162:AG174)</f>
        <v/>
      </c>
      <c r="AH175" s="876">
        <f>SUM(AH162:AH174)</f>
        <v/>
      </c>
      <c r="AI175" s="876">
        <f>SUM(AI162:AI174)</f>
        <v/>
      </c>
      <c r="AJ175" s="876">
        <f>SUM(AJ162:AJ174)</f>
        <v/>
      </c>
      <c r="AK175" s="876">
        <f>SUM(AK162:AK174)</f>
        <v/>
      </c>
      <c r="AL175" s="876">
        <f>SUM(AL162:AL174)</f>
        <v/>
      </c>
      <c r="AM175" s="876">
        <f>SUM(AM162:AM174)</f>
        <v/>
      </c>
      <c r="AN175" s="876">
        <f>SUM(AN162:AN174)</f>
        <v/>
      </c>
      <c r="AO175" s="876">
        <f>SUM(AO162:AO174)</f>
        <v/>
      </c>
      <c r="AP175" s="876">
        <f>SUM(AP162:AP174)</f>
        <v/>
      </c>
      <c r="AQ175" s="876">
        <f>SUM(AQ162:AQ174)</f>
        <v/>
      </c>
      <c r="AR175" s="876">
        <f>SUM(AR162:AR174)</f>
        <v/>
      </c>
      <c r="AS175" s="876">
        <f>SUM(AS162:AS174)</f>
        <v/>
      </c>
      <c r="AT175" s="876">
        <f>SUM(AT162:AT174)</f>
        <v/>
      </c>
      <c r="AU175" s="876">
        <f>SUM(AU162:AU174)</f>
        <v/>
      </c>
      <c r="AV175" s="876">
        <f>SUM(AV162:AV174)</f>
        <v/>
      </c>
      <c r="AW175" s="876">
        <f>SUM(AW162:AW174)</f>
        <v/>
      </c>
      <c r="AX175" s="876">
        <f>SUM(AX162:AX174)</f>
        <v/>
      </c>
      <c r="AY175" s="876">
        <f>SUM(AY162:AY174)</f>
        <v/>
      </c>
    </row>
    <row r="176" ht="13.5" customFormat="1" customHeight="1" s="85" thickBot="1">
      <c r="A176" s="96" t="n"/>
      <c r="W176" s="871" t="n"/>
      <c r="X176" s="871" t="n"/>
    </row>
    <row r="177" ht="16.5" customFormat="1" customHeight="1" s="85" thickBot="1">
      <c r="A177" s="96" t="n"/>
      <c r="B177" s="89" t="inlineStr">
        <is>
          <t>ALLL Balance</t>
        </is>
      </c>
      <c r="C177" s="332" t="n"/>
      <c r="D177" s="876">
        <f>D19+D20+D21</f>
        <v/>
      </c>
      <c r="E177" s="876">
        <f>E19+E20+E21</f>
        <v/>
      </c>
      <c r="F177" s="876">
        <f>F19+F20+F21</f>
        <v/>
      </c>
      <c r="G177" s="876">
        <f>G19+G20+G21</f>
        <v/>
      </c>
      <c r="H177" s="876">
        <f>H19+H20+H21</f>
        <v/>
      </c>
      <c r="I177" s="876">
        <f>I19+I20+I21</f>
        <v/>
      </c>
      <c r="J177" s="876">
        <f>J19+J20+J21</f>
        <v/>
      </c>
      <c r="K177" s="876">
        <f>K19+K20+K21</f>
        <v/>
      </c>
      <c r="L177" s="876">
        <f>L19+L20+L21</f>
        <v/>
      </c>
      <c r="M177" s="876">
        <f>M19+M20+M21</f>
        <v/>
      </c>
      <c r="N177" s="876">
        <f>N19+N20+N21</f>
        <v/>
      </c>
      <c r="O177" s="876">
        <f>O19+O20+O21</f>
        <v/>
      </c>
      <c r="P177" s="876">
        <f>P19+P20+P21</f>
        <v/>
      </c>
      <c r="Q177" s="876">
        <f>Q19+Q20+Q21</f>
        <v/>
      </c>
      <c r="R177" s="876">
        <f>R19+R20+R21</f>
        <v/>
      </c>
      <c r="S177" s="876">
        <f>S19+S20+S21</f>
        <v/>
      </c>
      <c r="T177" s="876">
        <f>T19+T20+T21</f>
        <v/>
      </c>
      <c r="U177" s="876">
        <f>U19+U20+U21</f>
        <v/>
      </c>
      <c r="V177" s="876">
        <f>V19+V20+V21</f>
        <v/>
      </c>
      <c r="W177" s="876">
        <f>W19+W20+W21</f>
        <v/>
      </c>
      <c r="X177" s="876">
        <f>X19+X20+X21</f>
        <v/>
      </c>
      <c r="Y177" s="876">
        <f>Y19+Y20+Y21</f>
        <v/>
      </c>
      <c r="Z177" s="876">
        <f>Z19+Z20+Z21</f>
        <v/>
      </c>
      <c r="AA177" s="876">
        <f>AA19+AA20+AA21</f>
        <v/>
      </c>
      <c r="AB177" s="876">
        <f>AB19+AB20+AB21</f>
        <v/>
      </c>
      <c r="AC177" s="876">
        <f>AC19+AC20+AC21</f>
        <v/>
      </c>
      <c r="AD177" s="876">
        <f>AD19+AD20+AD21</f>
        <v/>
      </c>
      <c r="AE177" s="876">
        <f>AE19+AE20+AE21</f>
        <v/>
      </c>
      <c r="AF177" s="876">
        <f>AF19+AF20+AF21</f>
        <v/>
      </c>
      <c r="AG177" s="876">
        <f>AG19+AG20+AG21</f>
        <v/>
      </c>
      <c r="AH177" s="876">
        <f>AH19+AH20+AH21</f>
        <v/>
      </c>
      <c r="AI177" s="876">
        <f>AI19+AI20+AI21</f>
        <v/>
      </c>
      <c r="AJ177" s="876">
        <f>AJ19+AJ20+AJ21</f>
        <v/>
      </c>
      <c r="AK177" s="876">
        <f>AK19+AK20+AK21</f>
        <v/>
      </c>
      <c r="AL177" s="876">
        <f>AL19+AL20+AL21</f>
        <v/>
      </c>
      <c r="AM177" s="876">
        <f>AM19+AM20+AM21</f>
        <v/>
      </c>
      <c r="AN177" s="876">
        <f>AN19+AN20+AN21</f>
        <v/>
      </c>
      <c r="AO177" s="876">
        <f>AO19+AO20+AO21</f>
        <v/>
      </c>
      <c r="AP177" s="876">
        <f>AP19+AP20+AP21</f>
        <v/>
      </c>
      <c r="AQ177" s="876">
        <f>AQ19+AQ20+AQ21</f>
        <v/>
      </c>
      <c r="AR177" s="876">
        <f>AR19+AR20+AR21</f>
        <v/>
      </c>
      <c r="AS177" s="876">
        <f>AS19+AS20+AS21</f>
        <v/>
      </c>
      <c r="AT177" s="876">
        <f>AT19+AT20+AT21</f>
        <v/>
      </c>
      <c r="AU177" s="876">
        <f>AU19+AU20+AU21</f>
        <v/>
      </c>
      <c r="AV177" s="876">
        <f>AV19+AV20+AV21</f>
        <v/>
      </c>
      <c r="AW177" s="876">
        <f>AW19+AW20+AW21</f>
        <v/>
      </c>
      <c r="AX177" s="876">
        <f>AX19+AX20+AX21</f>
        <v/>
      </c>
      <c r="AY177" s="876">
        <f>AY19+AY20+AY21</f>
        <v/>
      </c>
    </row>
    <row r="178" ht="13.5" customFormat="1" customHeight="1" s="85" thickBot="1">
      <c r="A178" s="96" t="n"/>
      <c r="W178" s="871" t="n"/>
      <c r="X178" s="871" t="n"/>
    </row>
    <row r="179" ht="13.5" customFormat="1" customHeight="1" s="85" thickBot="1">
      <c r="A179" s="96" t="n"/>
      <c r="B179" s="80" t="inlineStr">
        <is>
          <t>Combined Delinquent Loans</t>
        </is>
      </c>
      <c r="C179" s="327" t="n"/>
      <c r="D179" s="81">
        <f>D8</f>
        <v/>
      </c>
      <c r="E179" s="81">
        <f>E8</f>
        <v/>
      </c>
      <c r="F179" s="81">
        <f>F8</f>
        <v/>
      </c>
      <c r="G179" s="81">
        <f>G8</f>
        <v/>
      </c>
      <c r="H179" s="81">
        <f>H8</f>
        <v/>
      </c>
      <c r="I179" s="81">
        <f>I8</f>
        <v/>
      </c>
      <c r="J179" s="81">
        <f>J8</f>
        <v/>
      </c>
      <c r="K179" s="81">
        <f>K8</f>
        <v/>
      </c>
      <c r="L179" s="81">
        <f>L8</f>
        <v/>
      </c>
      <c r="M179" s="81">
        <f>M8</f>
        <v/>
      </c>
      <c r="N179" s="81">
        <f>N8</f>
        <v/>
      </c>
      <c r="O179" s="81">
        <f>O8</f>
        <v/>
      </c>
      <c r="P179" s="81">
        <f>P8</f>
        <v/>
      </c>
      <c r="Q179" s="81">
        <f>Q8</f>
        <v/>
      </c>
      <c r="R179" s="81">
        <f>R8</f>
        <v/>
      </c>
      <c r="S179" s="81">
        <f>S8</f>
        <v/>
      </c>
      <c r="T179" s="81">
        <f>T8</f>
        <v/>
      </c>
      <c r="U179" s="81">
        <f>U8</f>
        <v/>
      </c>
      <c r="V179" s="81">
        <f>V8</f>
        <v/>
      </c>
      <c r="W179" s="81">
        <f>W8</f>
        <v/>
      </c>
      <c r="X179" s="81">
        <f>X8</f>
        <v/>
      </c>
      <c r="Y179" s="81">
        <f>Y8</f>
        <v/>
      </c>
      <c r="Z179" s="81">
        <f>Z8</f>
        <v/>
      </c>
      <c r="AA179" s="81">
        <f>AA8</f>
        <v/>
      </c>
      <c r="AB179" s="81">
        <f>AB8</f>
        <v/>
      </c>
      <c r="AC179" s="81">
        <f>AC8</f>
        <v/>
      </c>
      <c r="AD179" s="81">
        <f>AD8</f>
        <v/>
      </c>
      <c r="AE179" s="81">
        <f>AE8</f>
        <v/>
      </c>
      <c r="AF179" s="81">
        <f>AF8</f>
        <v/>
      </c>
      <c r="AG179" s="81">
        <f>AG8</f>
        <v/>
      </c>
      <c r="AH179" s="81">
        <f>AH8</f>
        <v/>
      </c>
      <c r="AI179" s="81">
        <f>AI8</f>
        <v/>
      </c>
      <c r="AJ179" s="81">
        <f>AJ8</f>
        <v/>
      </c>
      <c r="AK179" s="81">
        <f>AK8</f>
        <v/>
      </c>
      <c r="AL179" s="81">
        <f>AL8</f>
        <v/>
      </c>
      <c r="AM179" s="81">
        <f>AM8</f>
        <v/>
      </c>
      <c r="AN179" s="81">
        <f>AN8</f>
        <v/>
      </c>
      <c r="AO179" s="81">
        <f>AO8</f>
        <v/>
      </c>
      <c r="AP179" s="81">
        <f>AP8</f>
        <v/>
      </c>
      <c r="AQ179" s="81">
        <f>AQ8</f>
        <v/>
      </c>
      <c r="AR179" s="81">
        <f>AR8</f>
        <v/>
      </c>
      <c r="AS179" s="81">
        <f>AS8</f>
        <v/>
      </c>
      <c r="AT179" s="81">
        <f>AT8</f>
        <v/>
      </c>
      <c r="AU179" s="81">
        <f>AU8</f>
        <v/>
      </c>
      <c r="AV179" s="81">
        <f>AV8</f>
        <v/>
      </c>
      <c r="AW179" s="81">
        <f>AW8</f>
        <v/>
      </c>
      <c r="AX179" s="81">
        <f>AX8</f>
        <v/>
      </c>
      <c r="AY179" s="81">
        <f>AY8</f>
        <v/>
      </c>
    </row>
    <row r="180" ht="17.25" customFormat="1" customHeight="1" s="85" thickBot="1" thickTop="1">
      <c r="A180" s="96" t="n"/>
      <c r="B180" s="83">
        <f>'Scale Calculation'!C9</f>
        <v/>
      </c>
      <c r="C180" s="335" t="inlineStr">
        <is>
          <t>Unsecured Credit Card Loans</t>
        </is>
      </c>
      <c r="D180" s="863">
        <f>SUMIF($C$39:$C$69,$C180,D$39:D$69)</f>
        <v/>
      </c>
      <c r="E180" s="863">
        <f>SUMIF($C$39:$C$69,$C180,E$39:E$69)</f>
        <v/>
      </c>
      <c r="F180" s="863">
        <f>SUMIF($C$39:$C$69,$C180,F$39:F$69)</f>
        <v/>
      </c>
      <c r="G180" s="863">
        <f>SUMIF($C$39:$C$69,$C180,G$39:G$69)</f>
        <v/>
      </c>
      <c r="H180" s="863">
        <f>SUMIF($C$39:$C$69,$C180,H$39:H$69)</f>
        <v/>
      </c>
      <c r="I180" s="863">
        <f>SUMIF($C$39:$C$69,$C180,I$39:I$69)</f>
        <v/>
      </c>
      <c r="J180" s="863">
        <f>SUMIF($C$39:$C$69,$C180,J$39:J$69)</f>
        <v/>
      </c>
      <c r="K180" s="863">
        <f>SUMIF($C$39:$C$69,$C180,K$39:K$69)</f>
        <v/>
      </c>
      <c r="L180" s="863">
        <f>SUMIF($C$39:$C$69,$C180,L$39:L$69)</f>
        <v/>
      </c>
      <c r="M180" s="863">
        <f>SUMIF($C$39:$C$69,$C180,M$39:M$69)</f>
        <v/>
      </c>
      <c r="N180" s="863">
        <f>SUMIF($C$39:$C$69,$C180,N$39:N$69)</f>
        <v/>
      </c>
      <c r="O180" s="863">
        <f>SUMIF($C$39:$C$69,$C180,O$39:O$69)</f>
        <v/>
      </c>
      <c r="P180" s="863">
        <f>SUMIF($C$39:$C$69,$C180,P$39:P$69)</f>
        <v/>
      </c>
      <c r="Q180" s="863">
        <f>SUMIF($C$39:$C$69,$C180,Q$39:Q$69)</f>
        <v/>
      </c>
      <c r="R180" s="863">
        <f>SUMIF($C$39:$C$69,$C180,R$39:R$69)</f>
        <v/>
      </c>
      <c r="S180" s="863">
        <f>SUMIF($C$39:$C$69,$C180,S$39:S$69)</f>
        <v/>
      </c>
      <c r="T180" s="863">
        <f>SUMIF($C$39:$C$69,$C180,T$39:T$69)</f>
        <v/>
      </c>
      <c r="U180" s="863">
        <f>SUMIF($C$39:$C$69,$C180,U$39:U$69)</f>
        <v/>
      </c>
      <c r="V180" s="863">
        <f>SUMIF($C$39:$C$69,$C180,V$39:V$69)</f>
        <v/>
      </c>
      <c r="W180" s="863">
        <f>SUMIF($C$39:$C$69,$C180,W$39:W$69)</f>
        <v/>
      </c>
      <c r="X180" s="863">
        <f>SUMIF($C$39:$C$69,$C180,X$39:X$69)</f>
        <v/>
      </c>
      <c r="Y180" s="863">
        <f>SUMIF($C$39:$C$69,$C180,Y$39:Y$69)</f>
        <v/>
      </c>
      <c r="Z180" s="863">
        <f>SUMIF($C$39:$C$69,$C180,Z$39:Z$69)</f>
        <v/>
      </c>
      <c r="AA180" s="863">
        <f>SUMIF($C$39:$C$69,$C180,AA$39:AA$69)</f>
        <v/>
      </c>
      <c r="AB180" s="863">
        <f>SUMIF($C$39:$C$69,$C180,AB$39:AB$69)</f>
        <v/>
      </c>
      <c r="AC180" s="863">
        <f>SUMIF($C$39:$C$69,$C180,AC$39:AC$69)</f>
        <v/>
      </c>
      <c r="AD180" s="863">
        <f>SUMIF($C$39:$C$69,$C180,AD$39:AD$69)</f>
        <v/>
      </c>
      <c r="AE180" s="863">
        <f>SUMIF($C$39:$C$69,$C180,AE$39:AE$69)</f>
        <v/>
      </c>
      <c r="AF180" s="863">
        <f>SUMIF($C$39:$C$69,$C180,AF$39:AF$69)</f>
        <v/>
      </c>
      <c r="AG180" s="863">
        <f>SUMIF($C$39:$C$69,$C180,AG$39:AG$69)</f>
        <v/>
      </c>
      <c r="AH180" s="863">
        <f>SUMIF($C$39:$C$69,$C180,AH$39:AH$69)</f>
        <v/>
      </c>
      <c r="AI180" s="863">
        <f>SUMIF($C$39:$C$69,$C180,AI$39:AI$69)</f>
        <v/>
      </c>
      <c r="AJ180" s="863">
        <f>SUMIF($C$39:$C$69,$C180,AJ$39:AJ$69)</f>
        <v/>
      </c>
      <c r="AK180" s="863">
        <f>SUMIF($C$39:$C$69,$C180,AK$39:AK$69)</f>
        <v/>
      </c>
      <c r="AL180" s="863">
        <f>SUMIF($C$39:$C$69,$C180,AL$39:AL$69)</f>
        <v/>
      </c>
      <c r="AM180" s="863">
        <f>SUMIF($C$39:$C$69,$C180,AM$39:AM$69)</f>
        <v/>
      </c>
      <c r="AN180" s="863">
        <f>SUMIF($C$39:$C$69,$C180,AN$39:AN$69)</f>
        <v/>
      </c>
      <c r="AO180" s="863">
        <f>SUMIF($C$39:$C$69,$C180,AO$39:AO$69)</f>
        <v/>
      </c>
      <c r="AP180" s="863">
        <f>SUMIF($C$39:$C$69,$C180,AP$39:AP$69)</f>
        <v/>
      </c>
      <c r="AQ180" s="863">
        <f>SUMIF($C$39:$C$69,$C180,AQ$39:AQ$69)</f>
        <v/>
      </c>
      <c r="AR180" s="863">
        <f>SUMIF($C$39:$C$69,$C180,AR$39:AR$69)</f>
        <v/>
      </c>
      <c r="AS180" s="863">
        <f>SUMIF($C$39:$C$69,$C180,AS$39:AS$69)</f>
        <v/>
      </c>
      <c r="AT180" s="863">
        <f>SUMIF($C$39:$C$69,$C180,AT$39:AT$69)</f>
        <v/>
      </c>
      <c r="AU180" s="863">
        <f>SUMIF($C$39:$C$69,$C180,AU$39:AU$69)</f>
        <v/>
      </c>
      <c r="AV180" s="863">
        <f>SUMIF($C$39:$C$69,$C180,AV$39:AV$69)</f>
        <v/>
      </c>
      <c r="AW180" s="863">
        <f>SUMIF($C$39:$C$69,$C180,AW$39:AW$69)</f>
        <v/>
      </c>
      <c r="AX180" s="863">
        <f>SUMIF($C$39:$C$69,$C180,AX$39:AX$69)</f>
        <v/>
      </c>
      <c r="AY180" s="863">
        <f>SUMIF($C$39:$C$69,$C180,AY$39:AY$69)</f>
        <v/>
      </c>
    </row>
    <row r="181" ht="17.25" customFormat="1" customHeight="1" s="85" thickBot="1" thickTop="1">
      <c r="A181" s="96" t="n"/>
      <c r="B181" s="83">
        <f>'Scale Calculation'!C10</f>
        <v/>
      </c>
      <c r="C181" s="335" t="inlineStr">
        <is>
          <t>Payday Alternative Loans</t>
        </is>
      </c>
      <c r="D181" s="863">
        <f>SUMIF($C$39:$C$69,$C181,D$39:D$69)</f>
        <v/>
      </c>
      <c r="E181" s="863">
        <f>SUMIF($C$39:$C$69,$C181,E$39:E$69)</f>
        <v/>
      </c>
      <c r="F181" s="863">
        <f>SUMIF($C$39:$C$69,$C181,F$39:F$69)</f>
        <v/>
      </c>
      <c r="G181" s="863">
        <f>SUMIF($C$39:$C$69,$C181,G$39:G$69)</f>
        <v/>
      </c>
      <c r="H181" s="863">
        <f>SUMIF($C$39:$C$69,$C181,H$39:H$69)</f>
        <v/>
      </c>
      <c r="I181" s="863">
        <f>SUMIF($C$39:$C$69,$C181,I$39:I$69)</f>
        <v/>
      </c>
      <c r="J181" s="863">
        <f>SUMIF($C$39:$C$69,$C181,J$39:J$69)</f>
        <v/>
      </c>
      <c r="K181" s="863">
        <f>SUMIF($C$39:$C$69,$C181,K$39:K$69)</f>
        <v/>
      </c>
      <c r="L181" s="863">
        <f>SUMIF($C$39:$C$69,$C181,L$39:L$69)</f>
        <v/>
      </c>
      <c r="M181" s="863">
        <f>SUMIF($C$39:$C$69,$C181,M$39:M$69)</f>
        <v/>
      </c>
      <c r="N181" s="863">
        <f>SUMIF($C$39:$C$69,$C181,N$39:N$69)</f>
        <v/>
      </c>
      <c r="O181" s="863">
        <f>SUMIF($C$39:$C$69,$C181,O$39:O$69)</f>
        <v/>
      </c>
      <c r="P181" s="863">
        <f>SUMIF($C$39:$C$69,$C181,P$39:P$69)</f>
        <v/>
      </c>
      <c r="Q181" s="863">
        <f>SUMIF($C$39:$C$69,$C181,Q$39:Q$69)</f>
        <v/>
      </c>
      <c r="R181" s="863">
        <f>SUMIF($C$39:$C$69,$C181,R$39:R$69)</f>
        <v/>
      </c>
      <c r="S181" s="863">
        <f>SUMIF($C$39:$C$69,$C181,S$39:S$69)</f>
        <v/>
      </c>
      <c r="T181" s="863">
        <f>SUMIF($C$39:$C$69,$C181,T$39:T$69)</f>
        <v/>
      </c>
      <c r="U181" s="863">
        <f>SUMIF($C$39:$C$69,$C181,U$39:U$69)</f>
        <v/>
      </c>
      <c r="V181" s="863">
        <f>SUMIF($C$39:$C$69,$C181,V$39:V$69)</f>
        <v/>
      </c>
      <c r="W181" s="863">
        <f>SUMIF($C$39:$C$69,$C181,W$39:W$69)</f>
        <v/>
      </c>
      <c r="X181" s="863">
        <f>SUMIF($C$39:$C$69,$C181,X$39:X$69)</f>
        <v/>
      </c>
      <c r="Y181" s="863">
        <f>SUMIF($C$39:$C$69,$C181,Y$39:Y$69)</f>
        <v/>
      </c>
      <c r="Z181" s="863">
        <f>SUMIF($C$39:$C$69,$C181,Z$39:Z$69)</f>
        <v/>
      </c>
      <c r="AA181" s="863">
        <f>SUMIF($C$39:$C$69,$C181,AA$39:AA$69)</f>
        <v/>
      </c>
      <c r="AB181" s="863">
        <f>SUMIF($C$39:$C$69,$C181,AB$39:AB$69)</f>
        <v/>
      </c>
      <c r="AC181" s="863">
        <f>SUMIF($C$39:$C$69,$C181,AC$39:AC$69)</f>
        <v/>
      </c>
      <c r="AD181" s="863">
        <f>SUMIF($C$39:$C$69,$C181,AD$39:AD$69)</f>
        <v/>
      </c>
      <c r="AE181" s="863">
        <f>SUMIF($C$39:$C$69,$C181,AE$39:AE$69)</f>
        <v/>
      </c>
      <c r="AF181" s="863">
        <f>SUMIF($C$39:$C$69,$C181,AF$39:AF$69)</f>
        <v/>
      </c>
      <c r="AG181" s="863">
        <f>SUMIF($C$39:$C$69,$C181,AG$39:AG$69)</f>
        <v/>
      </c>
      <c r="AH181" s="863">
        <f>SUMIF($C$39:$C$69,$C181,AH$39:AH$69)</f>
        <v/>
      </c>
      <c r="AI181" s="863">
        <f>SUMIF($C$39:$C$69,$C181,AI$39:AI$69)</f>
        <v/>
      </c>
      <c r="AJ181" s="863">
        <f>SUMIF($C$39:$C$69,$C181,AJ$39:AJ$69)</f>
        <v/>
      </c>
      <c r="AK181" s="863">
        <f>SUMIF($C$39:$C$69,$C181,AK$39:AK$69)</f>
        <v/>
      </c>
      <c r="AL181" s="863">
        <f>SUMIF($C$39:$C$69,$C181,AL$39:AL$69)</f>
        <v/>
      </c>
      <c r="AM181" s="863">
        <f>SUMIF($C$39:$C$69,$C181,AM$39:AM$69)</f>
        <v/>
      </c>
      <c r="AN181" s="863">
        <f>SUMIF($C$39:$C$69,$C181,AN$39:AN$69)</f>
        <v/>
      </c>
      <c r="AO181" s="863">
        <f>SUMIF($C$39:$C$69,$C181,AO$39:AO$69)</f>
        <v/>
      </c>
      <c r="AP181" s="863">
        <f>SUMIF($C$39:$C$69,$C181,AP$39:AP$69)</f>
        <v/>
      </c>
      <c r="AQ181" s="863">
        <f>SUMIF($C$39:$C$69,$C181,AQ$39:AQ$69)</f>
        <v/>
      </c>
      <c r="AR181" s="863">
        <f>SUMIF($C$39:$C$69,$C181,AR$39:AR$69)</f>
        <v/>
      </c>
      <c r="AS181" s="863">
        <f>SUMIF($C$39:$C$69,$C181,AS$39:AS$69)</f>
        <v/>
      </c>
      <c r="AT181" s="863">
        <f>SUMIF($C$39:$C$69,$C181,AT$39:AT$69)</f>
        <v/>
      </c>
      <c r="AU181" s="863">
        <f>SUMIF($C$39:$C$69,$C181,AU$39:AU$69)</f>
        <v/>
      </c>
      <c r="AV181" s="863">
        <f>SUMIF($C$39:$C$69,$C181,AV$39:AV$69)</f>
        <v/>
      </c>
      <c r="AW181" s="863">
        <f>SUMIF($C$39:$C$69,$C181,AW$39:AW$69)</f>
        <v/>
      </c>
      <c r="AX181" s="863">
        <f>SUMIF($C$39:$C$69,$C181,AX$39:AX$69)</f>
        <v/>
      </c>
      <c r="AY181" s="863">
        <f>SUMIF($C$39:$C$69,$C181,AY$39:AY$69)</f>
        <v/>
      </c>
    </row>
    <row r="182" ht="17.25" customFormat="1" customHeight="1" s="85" thickBot="1" thickTop="1">
      <c r="A182" s="96" t="n"/>
      <c r="B182" s="83">
        <f>'Scale Calculation'!C11</f>
        <v/>
      </c>
      <c r="C182" s="335" t="inlineStr">
        <is>
          <t>Non-Federally Guaranteed Student Loans</t>
        </is>
      </c>
      <c r="D182" s="863">
        <f>SUMIF($C$39:$C$69,$C182,D$39:D$69)</f>
        <v/>
      </c>
      <c r="E182" s="863">
        <f>SUMIF($C$39:$C$69,$C182,E$39:E$69)</f>
        <v/>
      </c>
      <c r="F182" s="863">
        <f>SUMIF($C$39:$C$69,$C182,F$39:F$69)</f>
        <v/>
      </c>
      <c r="G182" s="863">
        <f>SUMIF($C$39:$C$69,$C182,G$39:G$69)</f>
        <v/>
      </c>
      <c r="H182" s="863">
        <f>SUMIF($C$39:$C$69,$C182,H$39:H$69)</f>
        <v/>
      </c>
      <c r="I182" s="863">
        <f>SUMIF($C$39:$C$69,$C182,I$39:I$69)</f>
        <v/>
      </c>
      <c r="J182" s="863">
        <f>SUMIF($C$39:$C$69,$C182,J$39:J$69)</f>
        <v/>
      </c>
      <c r="K182" s="863">
        <f>SUMIF($C$39:$C$69,$C182,K$39:K$69)</f>
        <v/>
      </c>
      <c r="L182" s="863">
        <f>SUMIF($C$39:$C$69,$C182,L$39:L$69)</f>
        <v/>
      </c>
      <c r="M182" s="863">
        <f>SUMIF($C$39:$C$69,$C182,M$39:M$69)</f>
        <v/>
      </c>
      <c r="N182" s="863">
        <f>SUMIF($C$39:$C$69,$C182,N$39:N$69)</f>
        <v/>
      </c>
      <c r="O182" s="863">
        <f>SUMIF($C$39:$C$69,$C182,O$39:O$69)</f>
        <v/>
      </c>
      <c r="P182" s="863">
        <f>SUMIF($C$39:$C$69,$C182,P$39:P$69)</f>
        <v/>
      </c>
      <c r="Q182" s="863">
        <f>SUMIF($C$39:$C$69,$C182,Q$39:Q$69)</f>
        <v/>
      </c>
      <c r="R182" s="863">
        <f>SUMIF($C$39:$C$69,$C182,R$39:R$69)</f>
        <v/>
      </c>
      <c r="S182" s="863">
        <f>SUMIF($C$39:$C$69,$C182,S$39:S$69)</f>
        <v/>
      </c>
      <c r="T182" s="863">
        <f>SUMIF($C$39:$C$69,$C182,T$39:T$69)</f>
        <v/>
      </c>
      <c r="U182" s="863">
        <f>SUMIF($C$39:$C$69,$C182,U$39:U$69)</f>
        <v/>
      </c>
      <c r="V182" s="863">
        <f>SUMIF($C$39:$C$69,$C182,V$39:V$69)</f>
        <v/>
      </c>
      <c r="W182" s="863">
        <f>SUMIF($C$39:$C$69,$C182,W$39:W$69)</f>
        <v/>
      </c>
      <c r="X182" s="863">
        <f>SUMIF($C$39:$C$69,$C182,X$39:X$69)</f>
        <v/>
      </c>
      <c r="Y182" s="863">
        <f>SUMIF($C$39:$C$69,$C182,Y$39:Y$69)</f>
        <v/>
      </c>
      <c r="Z182" s="863">
        <f>SUMIF($C$39:$C$69,$C182,Z$39:Z$69)</f>
        <v/>
      </c>
      <c r="AA182" s="863">
        <f>SUMIF($C$39:$C$69,$C182,AA$39:AA$69)</f>
        <v/>
      </c>
      <c r="AB182" s="863">
        <f>SUMIF($C$39:$C$69,$C182,AB$39:AB$69)</f>
        <v/>
      </c>
      <c r="AC182" s="863">
        <f>SUMIF($C$39:$C$69,$C182,AC$39:AC$69)</f>
        <v/>
      </c>
      <c r="AD182" s="863">
        <f>SUMIF($C$39:$C$69,$C182,AD$39:AD$69)</f>
        <v/>
      </c>
      <c r="AE182" s="863">
        <f>SUMIF($C$39:$C$69,$C182,AE$39:AE$69)</f>
        <v/>
      </c>
      <c r="AF182" s="863">
        <f>SUMIF($C$39:$C$69,$C182,AF$39:AF$69)</f>
        <v/>
      </c>
      <c r="AG182" s="863">
        <f>SUMIF($C$39:$C$69,$C182,AG$39:AG$69)</f>
        <v/>
      </c>
      <c r="AH182" s="863">
        <f>SUMIF($C$39:$C$69,$C182,AH$39:AH$69)</f>
        <v/>
      </c>
      <c r="AI182" s="863">
        <f>SUMIF($C$39:$C$69,$C182,AI$39:AI$69)</f>
        <v/>
      </c>
      <c r="AJ182" s="863">
        <f>SUMIF($C$39:$C$69,$C182,AJ$39:AJ$69)</f>
        <v/>
      </c>
      <c r="AK182" s="863">
        <f>SUMIF($C$39:$C$69,$C182,AK$39:AK$69)</f>
        <v/>
      </c>
      <c r="AL182" s="863">
        <f>SUMIF($C$39:$C$69,$C182,AL$39:AL$69)</f>
        <v/>
      </c>
      <c r="AM182" s="863">
        <f>SUMIF($C$39:$C$69,$C182,AM$39:AM$69)</f>
        <v/>
      </c>
      <c r="AN182" s="863">
        <f>SUMIF($C$39:$C$69,$C182,AN$39:AN$69)</f>
        <v/>
      </c>
      <c r="AO182" s="863">
        <f>SUMIF($C$39:$C$69,$C182,AO$39:AO$69)</f>
        <v/>
      </c>
      <c r="AP182" s="863">
        <f>SUMIF($C$39:$C$69,$C182,AP$39:AP$69)</f>
        <v/>
      </c>
      <c r="AQ182" s="863">
        <f>SUMIF($C$39:$C$69,$C182,AQ$39:AQ$69)</f>
        <v/>
      </c>
      <c r="AR182" s="863">
        <f>SUMIF($C$39:$C$69,$C182,AR$39:AR$69)</f>
        <v/>
      </c>
      <c r="AS182" s="863">
        <f>SUMIF($C$39:$C$69,$C182,AS$39:AS$69)</f>
        <v/>
      </c>
      <c r="AT182" s="863">
        <f>SUMIF($C$39:$C$69,$C182,AT$39:AT$69)</f>
        <v/>
      </c>
      <c r="AU182" s="863">
        <f>SUMIF($C$39:$C$69,$C182,AU$39:AU$69)</f>
        <v/>
      </c>
      <c r="AV182" s="863">
        <f>SUMIF($C$39:$C$69,$C182,AV$39:AV$69)</f>
        <v/>
      </c>
      <c r="AW182" s="863">
        <f>SUMIF($C$39:$C$69,$C182,AW$39:AW$69)</f>
        <v/>
      </c>
      <c r="AX182" s="863">
        <f>SUMIF($C$39:$C$69,$C182,AX$39:AX$69)</f>
        <v/>
      </c>
      <c r="AY182" s="863">
        <f>SUMIF($C$39:$C$69,$C182,AY$39:AY$69)</f>
        <v/>
      </c>
    </row>
    <row r="183" ht="17.25" customFormat="1" customHeight="1" s="85" thickBot="1" thickTop="1">
      <c r="A183" s="96" t="n"/>
      <c r="B183" s="83">
        <f>'Scale Calculation'!C12</f>
        <v/>
      </c>
      <c r="C183" s="335" t="inlineStr">
        <is>
          <t>All Other Unsecured Loans/Lines of Credit</t>
        </is>
      </c>
      <c r="D183" s="863">
        <f>SUMIF($C$39:$C$69,$C183,D$39:D$69)</f>
        <v/>
      </c>
      <c r="E183" s="863">
        <f>SUMIF($C$39:$C$69,$C183,E$39:E$69)</f>
        <v/>
      </c>
      <c r="F183" s="863">
        <f>SUMIF($C$39:$C$69,$C183,F$39:F$69)</f>
        <v/>
      </c>
      <c r="G183" s="863">
        <f>SUMIF($C$39:$C$69,$C183,G$39:G$69)</f>
        <v/>
      </c>
      <c r="H183" s="863">
        <f>SUMIF($C$39:$C$69,$C183,H$39:H$69)</f>
        <v/>
      </c>
      <c r="I183" s="863">
        <f>SUMIF($C$39:$C$69,$C183,I$39:I$69)</f>
        <v/>
      </c>
      <c r="J183" s="863">
        <f>SUMIF($C$39:$C$69,$C183,J$39:J$69)</f>
        <v/>
      </c>
      <c r="K183" s="863">
        <f>SUMIF($C$39:$C$69,$C183,K$39:K$69)</f>
        <v/>
      </c>
      <c r="L183" s="863">
        <f>SUMIF($C$39:$C$69,$C183,L$39:L$69)</f>
        <v/>
      </c>
      <c r="M183" s="863">
        <f>SUMIF($C$39:$C$69,$C183,M$39:M$69)</f>
        <v/>
      </c>
      <c r="N183" s="863">
        <f>SUMIF($C$39:$C$69,$C183,N$39:N$69)</f>
        <v/>
      </c>
      <c r="O183" s="863">
        <f>SUMIF($C$39:$C$69,$C183,O$39:O$69)</f>
        <v/>
      </c>
      <c r="P183" s="863">
        <f>SUMIF($C$39:$C$69,$C183,P$39:P$69)</f>
        <v/>
      </c>
      <c r="Q183" s="863">
        <f>SUMIF($C$39:$C$69,$C183,Q$39:Q$69)</f>
        <v/>
      </c>
      <c r="R183" s="863">
        <f>SUMIF($C$39:$C$69,$C183,R$39:R$69)</f>
        <v/>
      </c>
      <c r="S183" s="863">
        <f>SUMIF($C$39:$C$69,$C183,S$39:S$69)</f>
        <v/>
      </c>
      <c r="T183" s="863">
        <f>SUMIF($C$39:$C$69,$C183,T$39:T$69)</f>
        <v/>
      </c>
      <c r="U183" s="863">
        <f>SUMIF($C$39:$C$69,$C183,U$39:U$69)</f>
        <v/>
      </c>
      <c r="V183" s="863">
        <f>SUMIF($C$39:$C$69,$C183,V$39:V$69)</f>
        <v/>
      </c>
      <c r="W183" s="863">
        <f>SUMIF($C$39:$C$69,$C183,W$39:W$69)</f>
        <v/>
      </c>
      <c r="X183" s="863">
        <f>SUMIF($C$39:$C$69,$C183,X$39:X$69)</f>
        <v/>
      </c>
      <c r="Y183" s="863">
        <f>SUMIF($C$39:$C$69,$C183,Y$39:Y$69)</f>
        <v/>
      </c>
      <c r="Z183" s="863">
        <f>SUMIF($C$39:$C$69,$C183,Z$39:Z$69)</f>
        <v/>
      </c>
      <c r="AA183" s="863">
        <f>SUMIF($C$39:$C$69,$C183,AA$39:AA$69)</f>
        <v/>
      </c>
      <c r="AB183" s="863">
        <f>SUMIF($C$39:$C$69,$C183,AB$39:AB$69)</f>
        <v/>
      </c>
      <c r="AC183" s="863">
        <f>SUMIF($C$39:$C$69,$C183,AC$39:AC$69)</f>
        <v/>
      </c>
      <c r="AD183" s="863">
        <f>SUMIF($C$39:$C$69,$C183,AD$39:AD$69)</f>
        <v/>
      </c>
      <c r="AE183" s="863">
        <f>SUMIF($C$39:$C$69,$C183,AE$39:AE$69)</f>
        <v/>
      </c>
      <c r="AF183" s="863">
        <f>SUMIF($C$39:$C$69,$C183,AF$39:AF$69)</f>
        <v/>
      </c>
      <c r="AG183" s="863">
        <f>SUMIF($C$39:$C$69,$C183,AG$39:AG$69)</f>
        <v/>
      </c>
      <c r="AH183" s="863">
        <f>SUMIF($C$39:$C$69,$C183,AH$39:AH$69)</f>
        <v/>
      </c>
      <c r="AI183" s="863">
        <f>SUMIF($C$39:$C$69,$C183,AI$39:AI$69)</f>
        <v/>
      </c>
      <c r="AJ183" s="863">
        <f>SUMIF($C$39:$C$69,$C183,AJ$39:AJ$69)</f>
        <v/>
      </c>
      <c r="AK183" s="863">
        <f>SUMIF($C$39:$C$69,$C183,AK$39:AK$69)</f>
        <v/>
      </c>
      <c r="AL183" s="863">
        <f>SUMIF($C$39:$C$69,$C183,AL$39:AL$69)</f>
        <v/>
      </c>
      <c r="AM183" s="863">
        <f>SUMIF($C$39:$C$69,$C183,AM$39:AM$69)</f>
        <v/>
      </c>
      <c r="AN183" s="863">
        <f>SUMIF($C$39:$C$69,$C183,AN$39:AN$69)</f>
        <v/>
      </c>
      <c r="AO183" s="863">
        <f>SUMIF($C$39:$C$69,$C183,AO$39:AO$69)</f>
        <v/>
      </c>
      <c r="AP183" s="863">
        <f>SUMIF($C$39:$C$69,$C183,AP$39:AP$69)</f>
        <v/>
      </c>
      <c r="AQ183" s="863">
        <f>SUMIF($C$39:$C$69,$C183,AQ$39:AQ$69)</f>
        <v/>
      </c>
      <c r="AR183" s="863">
        <f>SUMIF($C$39:$C$69,$C183,AR$39:AR$69)</f>
        <v/>
      </c>
      <c r="AS183" s="863">
        <f>SUMIF($C$39:$C$69,$C183,AS$39:AS$69)</f>
        <v/>
      </c>
      <c r="AT183" s="863">
        <f>SUMIF($C$39:$C$69,$C183,AT$39:AT$69)</f>
        <v/>
      </c>
      <c r="AU183" s="863">
        <f>SUMIF($C$39:$C$69,$C183,AU$39:AU$69)</f>
        <v/>
      </c>
      <c r="AV183" s="863">
        <f>SUMIF($C$39:$C$69,$C183,AV$39:AV$69)</f>
        <v/>
      </c>
      <c r="AW183" s="863">
        <f>SUMIF($C$39:$C$69,$C183,AW$39:AW$69)</f>
        <v/>
      </c>
      <c r="AX183" s="863">
        <f>SUMIF($C$39:$C$69,$C183,AX$39:AX$69)</f>
        <v/>
      </c>
      <c r="AY183" s="863">
        <f>SUMIF($C$39:$C$69,$C183,AY$39:AY$69)</f>
        <v/>
      </c>
    </row>
    <row r="184" ht="17.25" customFormat="1" customHeight="1" s="85" thickBot="1" thickTop="1">
      <c r="A184" s="96" t="n"/>
      <c r="B184" s="83">
        <f>'Scale Calculation'!C13</f>
        <v/>
      </c>
      <c r="C184" s="335" t="inlineStr">
        <is>
          <t>New Vehicle Loans</t>
        </is>
      </c>
      <c r="D184" s="863">
        <f>SUMIF($C$39:$C$69,$C184,D$39:D$69)</f>
        <v/>
      </c>
      <c r="E184" s="863">
        <f>SUMIF($C$39:$C$69,$C184,E$39:E$69)</f>
        <v/>
      </c>
      <c r="F184" s="863">
        <f>SUMIF($C$39:$C$69,$C184,F$39:F$69)</f>
        <v/>
      </c>
      <c r="G184" s="863">
        <f>SUMIF($C$39:$C$69,$C184,G$39:G$69)</f>
        <v/>
      </c>
      <c r="H184" s="863">
        <f>SUMIF($C$39:$C$69,$C184,H$39:H$69)</f>
        <v/>
      </c>
      <c r="I184" s="863">
        <f>SUMIF($C$39:$C$69,$C184,I$39:I$69)</f>
        <v/>
      </c>
      <c r="J184" s="863">
        <f>SUMIF($C$39:$C$69,$C184,J$39:J$69)</f>
        <v/>
      </c>
      <c r="K184" s="863">
        <f>SUMIF($C$39:$C$69,$C184,K$39:K$69)</f>
        <v/>
      </c>
      <c r="L184" s="863">
        <f>SUMIF($C$39:$C$69,$C184,L$39:L$69)</f>
        <v/>
      </c>
      <c r="M184" s="863">
        <f>SUMIF($C$39:$C$69,$C184,M$39:M$69)</f>
        <v/>
      </c>
      <c r="N184" s="863">
        <f>SUMIF($C$39:$C$69,$C184,N$39:N$69)</f>
        <v/>
      </c>
      <c r="O184" s="863">
        <f>SUMIF($C$39:$C$69,$C184,O$39:O$69)</f>
        <v/>
      </c>
      <c r="P184" s="863">
        <f>SUMIF($C$39:$C$69,$C184,P$39:P$69)</f>
        <v/>
      </c>
      <c r="Q184" s="863">
        <f>SUMIF($C$39:$C$69,$C184,Q$39:Q$69)</f>
        <v/>
      </c>
      <c r="R184" s="863">
        <f>SUMIF($C$39:$C$69,$C184,R$39:R$69)</f>
        <v/>
      </c>
      <c r="S184" s="863">
        <f>SUMIF($C$39:$C$69,$C184,S$39:S$69)</f>
        <v/>
      </c>
      <c r="T184" s="863">
        <f>SUMIF($C$39:$C$69,$C184,T$39:T$69)</f>
        <v/>
      </c>
      <c r="U184" s="863">
        <f>SUMIF($C$39:$C$69,$C184,U$39:U$69)</f>
        <v/>
      </c>
      <c r="V184" s="863">
        <f>SUMIF($C$39:$C$69,$C184,V$39:V$69)</f>
        <v/>
      </c>
      <c r="W184" s="863">
        <f>SUMIF($C$39:$C$69,$C184,W$39:W$69)</f>
        <v/>
      </c>
      <c r="X184" s="863">
        <f>SUMIF($C$39:$C$69,$C184,X$39:X$69)</f>
        <v/>
      </c>
      <c r="Y184" s="863">
        <f>SUMIF($C$39:$C$69,$C184,Y$39:Y$69)</f>
        <v/>
      </c>
      <c r="Z184" s="863">
        <f>SUMIF($C$39:$C$69,$C184,Z$39:Z$69)</f>
        <v/>
      </c>
      <c r="AA184" s="863">
        <f>SUMIF($C$39:$C$69,$C184,AA$39:AA$69)</f>
        <v/>
      </c>
      <c r="AB184" s="863">
        <f>SUMIF($C$39:$C$69,$C184,AB$39:AB$69)</f>
        <v/>
      </c>
      <c r="AC184" s="863">
        <f>SUMIF($C$39:$C$69,$C184,AC$39:AC$69)</f>
        <v/>
      </c>
      <c r="AD184" s="863">
        <f>SUMIF($C$39:$C$69,$C184,AD$39:AD$69)</f>
        <v/>
      </c>
      <c r="AE184" s="863">
        <f>SUMIF($C$39:$C$69,$C184,AE$39:AE$69)</f>
        <v/>
      </c>
      <c r="AF184" s="863">
        <f>SUMIF($C$39:$C$69,$C184,AF$39:AF$69)</f>
        <v/>
      </c>
      <c r="AG184" s="863">
        <f>SUMIF($C$39:$C$69,$C184,AG$39:AG$69)</f>
        <v/>
      </c>
      <c r="AH184" s="863">
        <f>SUMIF($C$39:$C$69,$C184,AH$39:AH$69)</f>
        <v/>
      </c>
      <c r="AI184" s="863">
        <f>SUMIF($C$39:$C$69,$C184,AI$39:AI$69)</f>
        <v/>
      </c>
      <c r="AJ184" s="863">
        <f>SUMIF($C$39:$C$69,$C184,AJ$39:AJ$69)</f>
        <v/>
      </c>
      <c r="AK184" s="863">
        <f>SUMIF($C$39:$C$69,$C184,AK$39:AK$69)</f>
        <v/>
      </c>
      <c r="AL184" s="863">
        <f>SUMIF($C$39:$C$69,$C184,AL$39:AL$69)</f>
        <v/>
      </c>
      <c r="AM184" s="863">
        <f>SUMIF($C$39:$C$69,$C184,AM$39:AM$69)</f>
        <v/>
      </c>
      <c r="AN184" s="863">
        <f>SUMIF($C$39:$C$69,$C184,AN$39:AN$69)</f>
        <v/>
      </c>
      <c r="AO184" s="863">
        <f>SUMIF($C$39:$C$69,$C184,AO$39:AO$69)</f>
        <v/>
      </c>
      <c r="AP184" s="863">
        <f>SUMIF($C$39:$C$69,$C184,AP$39:AP$69)</f>
        <v/>
      </c>
      <c r="AQ184" s="863">
        <f>SUMIF($C$39:$C$69,$C184,AQ$39:AQ$69)</f>
        <v/>
      </c>
      <c r="AR184" s="863">
        <f>SUMIF($C$39:$C$69,$C184,AR$39:AR$69)</f>
        <v/>
      </c>
      <c r="AS184" s="863">
        <f>SUMIF($C$39:$C$69,$C184,AS$39:AS$69)</f>
        <v/>
      </c>
      <c r="AT184" s="863">
        <f>SUMIF($C$39:$C$69,$C184,AT$39:AT$69)</f>
        <v/>
      </c>
      <c r="AU184" s="863">
        <f>SUMIF($C$39:$C$69,$C184,AU$39:AU$69)</f>
        <v/>
      </c>
      <c r="AV184" s="863">
        <f>SUMIF($C$39:$C$69,$C184,AV$39:AV$69)</f>
        <v/>
      </c>
      <c r="AW184" s="863">
        <f>SUMIF($C$39:$C$69,$C184,AW$39:AW$69)</f>
        <v/>
      </c>
      <c r="AX184" s="863">
        <f>SUMIF($C$39:$C$69,$C184,AX$39:AX$69)</f>
        <v/>
      </c>
      <c r="AY184" s="863">
        <f>SUMIF($C$39:$C$69,$C184,AY$39:AY$69)</f>
        <v/>
      </c>
    </row>
    <row r="185" ht="17.25" customFormat="1" customHeight="1" s="85" thickBot="1" thickTop="1">
      <c r="A185" s="96" t="n"/>
      <c r="B185" s="83">
        <f>'Scale Calculation'!C14</f>
        <v/>
      </c>
      <c r="C185" s="335" t="inlineStr">
        <is>
          <t>Used Vehicle Loans</t>
        </is>
      </c>
      <c r="D185" s="863">
        <f>SUMIF($C$39:$C$69,$C185,D$39:D$69)</f>
        <v/>
      </c>
      <c r="E185" s="863">
        <f>SUMIF($C$39:$C$69,$C185,E$39:E$69)</f>
        <v/>
      </c>
      <c r="F185" s="863">
        <f>SUMIF($C$39:$C$69,$C185,F$39:F$69)</f>
        <v/>
      </c>
      <c r="G185" s="863">
        <f>SUMIF($C$39:$C$69,$C185,G$39:G$69)</f>
        <v/>
      </c>
      <c r="H185" s="863">
        <f>SUMIF($C$39:$C$69,$C185,H$39:H$69)</f>
        <v/>
      </c>
      <c r="I185" s="863">
        <f>SUMIF($C$39:$C$69,$C185,I$39:I$69)</f>
        <v/>
      </c>
      <c r="J185" s="863">
        <f>SUMIF($C$39:$C$69,$C185,J$39:J$69)</f>
        <v/>
      </c>
      <c r="K185" s="863">
        <f>SUMIF($C$39:$C$69,$C185,K$39:K$69)</f>
        <v/>
      </c>
      <c r="L185" s="863">
        <f>SUMIF($C$39:$C$69,$C185,L$39:L$69)</f>
        <v/>
      </c>
      <c r="M185" s="863">
        <f>SUMIF($C$39:$C$69,$C185,M$39:M$69)</f>
        <v/>
      </c>
      <c r="N185" s="863">
        <f>SUMIF($C$39:$C$69,$C185,N$39:N$69)</f>
        <v/>
      </c>
      <c r="O185" s="863">
        <f>SUMIF($C$39:$C$69,$C185,O$39:O$69)</f>
        <v/>
      </c>
      <c r="P185" s="863">
        <f>SUMIF($C$39:$C$69,$C185,P$39:P$69)</f>
        <v/>
      </c>
      <c r="Q185" s="863">
        <f>SUMIF($C$39:$C$69,$C185,Q$39:Q$69)</f>
        <v/>
      </c>
      <c r="R185" s="863">
        <f>SUMIF($C$39:$C$69,$C185,R$39:R$69)</f>
        <v/>
      </c>
      <c r="S185" s="863">
        <f>SUMIF($C$39:$C$69,$C185,S$39:S$69)</f>
        <v/>
      </c>
      <c r="T185" s="863">
        <f>SUMIF($C$39:$C$69,$C185,T$39:T$69)</f>
        <v/>
      </c>
      <c r="U185" s="863">
        <f>SUMIF($C$39:$C$69,$C185,U$39:U$69)</f>
        <v/>
      </c>
      <c r="V185" s="863">
        <f>SUMIF($C$39:$C$69,$C185,V$39:V$69)</f>
        <v/>
      </c>
      <c r="W185" s="863">
        <f>SUMIF($C$39:$C$69,$C185,W$39:W$69)</f>
        <v/>
      </c>
      <c r="X185" s="863">
        <f>SUMIF($C$39:$C$69,$C185,X$39:X$69)</f>
        <v/>
      </c>
      <c r="Y185" s="863">
        <f>SUMIF($C$39:$C$69,$C185,Y$39:Y$69)</f>
        <v/>
      </c>
      <c r="Z185" s="863">
        <f>SUMIF($C$39:$C$69,$C185,Z$39:Z$69)</f>
        <v/>
      </c>
      <c r="AA185" s="863">
        <f>SUMIF($C$39:$C$69,$C185,AA$39:AA$69)</f>
        <v/>
      </c>
      <c r="AB185" s="863">
        <f>SUMIF($C$39:$C$69,$C185,AB$39:AB$69)</f>
        <v/>
      </c>
      <c r="AC185" s="863">
        <f>SUMIF($C$39:$C$69,$C185,AC$39:AC$69)</f>
        <v/>
      </c>
      <c r="AD185" s="863">
        <f>SUMIF($C$39:$C$69,$C185,AD$39:AD$69)</f>
        <v/>
      </c>
      <c r="AE185" s="863">
        <f>SUMIF($C$39:$C$69,$C185,AE$39:AE$69)</f>
        <v/>
      </c>
      <c r="AF185" s="863">
        <f>SUMIF($C$39:$C$69,$C185,AF$39:AF$69)</f>
        <v/>
      </c>
      <c r="AG185" s="863">
        <f>SUMIF($C$39:$C$69,$C185,AG$39:AG$69)</f>
        <v/>
      </c>
      <c r="AH185" s="863">
        <f>SUMIF($C$39:$C$69,$C185,AH$39:AH$69)</f>
        <v/>
      </c>
      <c r="AI185" s="863">
        <f>SUMIF($C$39:$C$69,$C185,AI$39:AI$69)</f>
        <v/>
      </c>
      <c r="AJ185" s="863">
        <f>SUMIF($C$39:$C$69,$C185,AJ$39:AJ$69)</f>
        <v/>
      </c>
      <c r="AK185" s="863">
        <f>SUMIF($C$39:$C$69,$C185,AK$39:AK$69)</f>
        <v/>
      </c>
      <c r="AL185" s="863">
        <f>SUMIF($C$39:$C$69,$C185,AL$39:AL$69)</f>
        <v/>
      </c>
      <c r="AM185" s="863">
        <f>SUMIF($C$39:$C$69,$C185,AM$39:AM$69)</f>
        <v/>
      </c>
      <c r="AN185" s="863">
        <f>SUMIF($C$39:$C$69,$C185,AN$39:AN$69)</f>
        <v/>
      </c>
      <c r="AO185" s="863">
        <f>SUMIF($C$39:$C$69,$C185,AO$39:AO$69)</f>
        <v/>
      </c>
      <c r="AP185" s="863">
        <f>SUMIF($C$39:$C$69,$C185,AP$39:AP$69)</f>
        <v/>
      </c>
      <c r="AQ185" s="863">
        <f>SUMIF($C$39:$C$69,$C185,AQ$39:AQ$69)</f>
        <v/>
      </c>
      <c r="AR185" s="863">
        <f>SUMIF($C$39:$C$69,$C185,AR$39:AR$69)</f>
        <v/>
      </c>
      <c r="AS185" s="863">
        <f>SUMIF($C$39:$C$69,$C185,AS$39:AS$69)</f>
        <v/>
      </c>
      <c r="AT185" s="863">
        <f>SUMIF($C$39:$C$69,$C185,AT$39:AT$69)</f>
        <v/>
      </c>
      <c r="AU185" s="863">
        <f>SUMIF($C$39:$C$69,$C185,AU$39:AU$69)</f>
        <v/>
      </c>
      <c r="AV185" s="863">
        <f>SUMIF($C$39:$C$69,$C185,AV$39:AV$69)</f>
        <v/>
      </c>
      <c r="AW185" s="863">
        <f>SUMIF($C$39:$C$69,$C185,AW$39:AW$69)</f>
        <v/>
      </c>
      <c r="AX185" s="863">
        <f>SUMIF($C$39:$C$69,$C185,AX$39:AX$69)</f>
        <v/>
      </c>
      <c r="AY185" s="863">
        <f>SUMIF($C$39:$C$69,$C185,AY$39:AY$69)</f>
        <v/>
      </c>
    </row>
    <row r="186" ht="17.25" customFormat="1" customHeight="1" s="85" thickBot="1" thickTop="1">
      <c r="A186" s="96" t="n"/>
      <c r="B186" s="83">
        <f>'Scale Calculation'!C15</f>
        <v/>
      </c>
      <c r="C186" s="335" t="inlineStr">
        <is>
          <t>Leases Receivable</t>
        </is>
      </c>
      <c r="D186" s="863">
        <f>SUMIF($C$39:$C$69,$C186,D$39:D$69)</f>
        <v/>
      </c>
      <c r="E186" s="863">
        <f>SUMIF($C$39:$C$69,$C186,E$39:E$69)</f>
        <v/>
      </c>
      <c r="F186" s="863">
        <f>SUMIF($C$39:$C$69,$C186,F$39:F$69)</f>
        <v/>
      </c>
      <c r="G186" s="863">
        <f>SUMIF($C$39:$C$69,$C186,G$39:G$69)</f>
        <v/>
      </c>
      <c r="H186" s="863">
        <f>SUMIF($C$39:$C$69,$C186,H$39:H$69)</f>
        <v/>
      </c>
      <c r="I186" s="863">
        <f>SUMIF($C$39:$C$69,$C186,I$39:I$69)</f>
        <v/>
      </c>
      <c r="J186" s="863">
        <f>SUMIF($C$39:$C$69,$C186,J$39:J$69)</f>
        <v/>
      </c>
      <c r="K186" s="863">
        <f>SUMIF($C$39:$C$69,$C186,K$39:K$69)</f>
        <v/>
      </c>
      <c r="L186" s="863">
        <f>SUMIF($C$39:$C$69,$C186,L$39:L$69)</f>
        <v/>
      </c>
      <c r="M186" s="863">
        <f>SUMIF($C$39:$C$69,$C186,M$39:M$69)</f>
        <v/>
      </c>
      <c r="N186" s="863">
        <f>SUMIF($C$39:$C$69,$C186,N$39:N$69)</f>
        <v/>
      </c>
      <c r="O186" s="863">
        <f>SUMIF($C$39:$C$69,$C186,O$39:O$69)</f>
        <v/>
      </c>
      <c r="P186" s="863">
        <f>SUMIF($C$39:$C$69,$C186,P$39:P$69)</f>
        <v/>
      </c>
      <c r="Q186" s="863">
        <f>SUMIF($C$39:$C$69,$C186,Q$39:Q$69)</f>
        <v/>
      </c>
      <c r="R186" s="863">
        <f>SUMIF($C$39:$C$69,$C186,R$39:R$69)</f>
        <v/>
      </c>
      <c r="S186" s="863">
        <f>SUMIF($C$39:$C$69,$C186,S$39:S$69)</f>
        <v/>
      </c>
      <c r="T186" s="863">
        <f>SUMIF($C$39:$C$69,$C186,T$39:T$69)</f>
        <v/>
      </c>
      <c r="U186" s="863">
        <f>SUMIF($C$39:$C$69,$C186,U$39:U$69)</f>
        <v/>
      </c>
      <c r="V186" s="863">
        <f>SUMIF($C$39:$C$69,$C186,V$39:V$69)</f>
        <v/>
      </c>
      <c r="W186" s="863">
        <f>SUMIF($C$39:$C$69,$C186,W$39:W$69)</f>
        <v/>
      </c>
      <c r="X186" s="863">
        <f>SUMIF($C$39:$C$69,$C186,X$39:X$69)</f>
        <v/>
      </c>
      <c r="Y186" s="863">
        <f>SUMIF($C$39:$C$69,$C186,Y$39:Y$69)</f>
        <v/>
      </c>
      <c r="Z186" s="863">
        <f>SUMIF($C$39:$C$69,$C186,Z$39:Z$69)</f>
        <v/>
      </c>
      <c r="AA186" s="863">
        <f>SUMIF($C$39:$C$69,$C186,AA$39:AA$69)</f>
        <v/>
      </c>
      <c r="AB186" s="863">
        <f>SUMIF($C$39:$C$69,$C186,AB$39:AB$69)</f>
        <v/>
      </c>
      <c r="AC186" s="863">
        <f>SUMIF($C$39:$C$69,$C186,AC$39:AC$69)</f>
        <v/>
      </c>
      <c r="AD186" s="863">
        <f>SUMIF($C$39:$C$69,$C186,AD$39:AD$69)</f>
        <v/>
      </c>
      <c r="AE186" s="863">
        <f>SUMIF($C$39:$C$69,$C186,AE$39:AE$69)</f>
        <v/>
      </c>
      <c r="AF186" s="863">
        <f>SUMIF($C$39:$C$69,$C186,AF$39:AF$69)</f>
        <v/>
      </c>
      <c r="AG186" s="863">
        <f>SUMIF($C$39:$C$69,$C186,AG$39:AG$69)</f>
        <v/>
      </c>
      <c r="AH186" s="863">
        <f>SUMIF($C$39:$C$69,$C186,AH$39:AH$69)</f>
        <v/>
      </c>
      <c r="AI186" s="863">
        <f>SUMIF($C$39:$C$69,$C186,AI$39:AI$69)</f>
        <v/>
      </c>
      <c r="AJ186" s="863">
        <f>SUMIF($C$39:$C$69,$C186,AJ$39:AJ$69)</f>
        <v/>
      </c>
      <c r="AK186" s="863">
        <f>SUMIF($C$39:$C$69,$C186,AK$39:AK$69)</f>
        <v/>
      </c>
      <c r="AL186" s="863">
        <f>SUMIF($C$39:$C$69,$C186,AL$39:AL$69)</f>
        <v/>
      </c>
      <c r="AM186" s="863">
        <f>SUMIF($C$39:$C$69,$C186,AM$39:AM$69)</f>
        <v/>
      </c>
      <c r="AN186" s="863">
        <f>SUMIF($C$39:$C$69,$C186,AN$39:AN$69)</f>
        <v/>
      </c>
      <c r="AO186" s="863">
        <f>SUMIF($C$39:$C$69,$C186,AO$39:AO$69)</f>
        <v/>
      </c>
      <c r="AP186" s="863">
        <f>SUMIF($C$39:$C$69,$C186,AP$39:AP$69)</f>
        <v/>
      </c>
      <c r="AQ186" s="863">
        <f>SUMIF($C$39:$C$69,$C186,AQ$39:AQ$69)</f>
        <v/>
      </c>
      <c r="AR186" s="863">
        <f>SUMIF($C$39:$C$69,$C186,AR$39:AR$69)</f>
        <v/>
      </c>
      <c r="AS186" s="863">
        <f>SUMIF($C$39:$C$69,$C186,AS$39:AS$69)</f>
        <v/>
      </c>
      <c r="AT186" s="863">
        <f>SUMIF($C$39:$C$69,$C186,AT$39:AT$69)</f>
        <v/>
      </c>
      <c r="AU186" s="863">
        <f>SUMIF($C$39:$C$69,$C186,AU$39:AU$69)</f>
        <v/>
      </c>
      <c r="AV186" s="863">
        <f>SUMIF($C$39:$C$69,$C186,AV$39:AV$69)</f>
        <v/>
      </c>
      <c r="AW186" s="863">
        <f>SUMIF($C$39:$C$69,$C186,AW$39:AW$69)</f>
        <v/>
      </c>
      <c r="AX186" s="863">
        <f>SUMIF($C$39:$C$69,$C186,AX$39:AX$69)</f>
        <v/>
      </c>
      <c r="AY186" s="863">
        <f>SUMIF($C$39:$C$69,$C186,AY$39:AY$69)</f>
        <v/>
      </c>
    </row>
    <row r="187" ht="17.25" customFormat="1" customHeight="1" s="85" thickBot="1" thickTop="1">
      <c r="A187" s="96" t="n"/>
      <c r="B187" s="83">
        <f>'Scale Calculation'!C16</f>
        <v/>
      </c>
      <c r="C187" s="335" t="inlineStr">
        <is>
          <t>All Other Secured Non-Real Estate Loans/Lines of Credit</t>
        </is>
      </c>
      <c r="D187" s="863">
        <f>SUMIF($C$39:$C$69,$C187,D$39:D$69)</f>
        <v/>
      </c>
      <c r="E187" s="863">
        <f>SUMIF($C$39:$C$69,$C187,E$39:E$69)</f>
        <v/>
      </c>
      <c r="F187" s="863">
        <f>SUMIF($C$39:$C$69,$C187,F$39:F$69)</f>
        <v/>
      </c>
      <c r="G187" s="863">
        <f>SUMIF($C$39:$C$69,$C187,G$39:G$69)</f>
        <v/>
      </c>
      <c r="H187" s="863">
        <f>SUMIF($C$39:$C$69,$C187,H$39:H$69)</f>
        <v/>
      </c>
      <c r="I187" s="863">
        <f>SUMIF($C$39:$C$69,$C187,I$39:I$69)</f>
        <v/>
      </c>
      <c r="J187" s="863">
        <f>SUMIF($C$39:$C$69,$C187,J$39:J$69)</f>
        <v/>
      </c>
      <c r="K187" s="863">
        <f>SUMIF($C$39:$C$69,$C187,K$39:K$69)</f>
        <v/>
      </c>
      <c r="L187" s="863">
        <f>SUMIF($C$39:$C$69,$C187,L$39:L$69)</f>
        <v/>
      </c>
      <c r="M187" s="863">
        <f>SUMIF($C$39:$C$69,$C187,M$39:M$69)</f>
        <v/>
      </c>
      <c r="N187" s="863">
        <f>SUMIF($C$39:$C$69,$C187,N$39:N$69)</f>
        <v/>
      </c>
      <c r="O187" s="863">
        <f>SUMIF($C$39:$C$69,$C187,O$39:O$69)</f>
        <v/>
      </c>
      <c r="P187" s="863">
        <f>SUMIF($C$39:$C$69,$C187,P$39:P$69)</f>
        <v/>
      </c>
      <c r="Q187" s="863">
        <f>SUMIF($C$39:$C$69,$C187,Q$39:Q$69)</f>
        <v/>
      </c>
      <c r="R187" s="863">
        <f>SUMIF($C$39:$C$69,$C187,R$39:R$69)</f>
        <v/>
      </c>
      <c r="S187" s="863">
        <f>SUMIF($C$39:$C$69,$C187,S$39:S$69)</f>
        <v/>
      </c>
      <c r="T187" s="863">
        <f>SUMIF($C$39:$C$69,$C187,T$39:T$69)</f>
        <v/>
      </c>
      <c r="U187" s="863">
        <f>SUMIF($C$39:$C$69,$C187,U$39:U$69)</f>
        <v/>
      </c>
      <c r="V187" s="863">
        <f>SUMIF($C$39:$C$69,$C187,V$39:V$69)</f>
        <v/>
      </c>
      <c r="W187" s="863">
        <f>SUMIF($C$39:$C$69,$C187,W$39:W$69)</f>
        <v/>
      </c>
      <c r="X187" s="863">
        <f>SUMIF($C$39:$C$69,$C187,X$39:X$69)</f>
        <v/>
      </c>
      <c r="Y187" s="863">
        <f>SUMIF($C$39:$C$69,$C187,Y$39:Y$69)</f>
        <v/>
      </c>
      <c r="Z187" s="863">
        <f>SUMIF($C$39:$C$69,$C187,Z$39:Z$69)</f>
        <v/>
      </c>
      <c r="AA187" s="863">
        <f>SUMIF($C$39:$C$69,$C187,AA$39:AA$69)</f>
        <v/>
      </c>
      <c r="AB187" s="863">
        <f>SUMIF($C$39:$C$69,$C187,AB$39:AB$69)</f>
        <v/>
      </c>
      <c r="AC187" s="863">
        <f>SUMIF($C$39:$C$69,$C187,AC$39:AC$69)</f>
        <v/>
      </c>
      <c r="AD187" s="863">
        <f>SUMIF($C$39:$C$69,$C187,AD$39:AD$69)</f>
        <v/>
      </c>
      <c r="AE187" s="863">
        <f>SUMIF($C$39:$C$69,$C187,AE$39:AE$69)</f>
        <v/>
      </c>
      <c r="AF187" s="863">
        <f>SUMIF($C$39:$C$69,$C187,AF$39:AF$69)</f>
        <v/>
      </c>
      <c r="AG187" s="863">
        <f>SUMIF($C$39:$C$69,$C187,AG$39:AG$69)</f>
        <v/>
      </c>
      <c r="AH187" s="863">
        <f>SUMIF($C$39:$C$69,$C187,AH$39:AH$69)</f>
        <v/>
      </c>
      <c r="AI187" s="863">
        <f>SUMIF($C$39:$C$69,$C187,AI$39:AI$69)</f>
        <v/>
      </c>
      <c r="AJ187" s="863">
        <f>SUMIF($C$39:$C$69,$C187,AJ$39:AJ$69)</f>
        <v/>
      </c>
      <c r="AK187" s="863">
        <f>SUMIF($C$39:$C$69,$C187,AK$39:AK$69)</f>
        <v/>
      </c>
      <c r="AL187" s="863">
        <f>SUMIF($C$39:$C$69,$C187,AL$39:AL$69)</f>
        <v/>
      </c>
      <c r="AM187" s="863">
        <f>SUMIF($C$39:$C$69,$C187,AM$39:AM$69)</f>
        <v/>
      </c>
      <c r="AN187" s="863">
        <f>SUMIF($C$39:$C$69,$C187,AN$39:AN$69)</f>
        <v/>
      </c>
      <c r="AO187" s="863">
        <f>SUMIF($C$39:$C$69,$C187,AO$39:AO$69)</f>
        <v/>
      </c>
      <c r="AP187" s="863">
        <f>SUMIF($C$39:$C$69,$C187,AP$39:AP$69)</f>
        <v/>
      </c>
      <c r="AQ187" s="863">
        <f>SUMIF($C$39:$C$69,$C187,AQ$39:AQ$69)</f>
        <v/>
      </c>
      <c r="AR187" s="863">
        <f>SUMIF($C$39:$C$69,$C187,AR$39:AR$69)</f>
        <v/>
      </c>
      <c r="AS187" s="863">
        <f>SUMIF($C$39:$C$69,$C187,AS$39:AS$69)</f>
        <v/>
      </c>
      <c r="AT187" s="863">
        <f>SUMIF($C$39:$C$69,$C187,AT$39:AT$69)</f>
        <v/>
      </c>
      <c r="AU187" s="863">
        <f>SUMIF($C$39:$C$69,$C187,AU$39:AU$69)</f>
        <v/>
      </c>
      <c r="AV187" s="863">
        <f>SUMIF($C$39:$C$69,$C187,AV$39:AV$69)</f>
        <v/>
      </c>
      <c r="AW187" s="863">
        <f>SUMIF($C$39:$C$69,$C187,AW$39:AW$69)</f>
        <v/>
      </c>
      <c r="AX187" s="863">
        <f>SUMIF($C$39:$C$69,$C187,AX$39:AX$69)</f>
        <v/>
      </c>
      <c r="AY187" s="863">
        <f>SUMIF($C$39:$C$69,$C187,AY$39:AY$69)</f>
        <v/>
      </c>
    </row>
    <row r="188" ht="17.25" customFormat="1" customHeight="1" s="85" thickBot="1" thickTop="1">
      <c r="A188" s="96" t="n"/>
      <c r="B188" s="83">
        <f>'Scale Calculation'!C17</f>
        <v/>
      </c>
      <c r="C188" s="335" t="inlineStr">
        <is>
          <t>Loans/Lines of Credit Secured by a First Lien on a single 1- to 4-Family Residential Property</t>
        </is>
      </c>
      <c r="D188" s="863">
        <f>SUMIF($C$39:$C$69,$C188,D$39:D$69)</f>
        <v/>
      </c>
      <c r="E188" s="863">
        <f>SUMIF($C$39:$C$69,$C188,E$39:E$69)</f>
        <v/>
      </c>
      <c r="F188" s="863">
        <f>SUMIF($C$39:$C$69,$C188,F$39:F$69)</f>
        <v/>
      </c>
      <c r="G188" s="863">
        <f>SUMIF($C$39:$C$69,$C188,G$39:G$69)</f>
        <v/>
      </c>
      <c r="H188" s="863">
        <f>SUMIF($C$39:$C$69,$C188,H$39:H$69)</f>
        <v/>
      </c>
      <c r="I188" s="863">
        <f>SUMIF($C$39:$C$69,$C188,I$39:I$69)</f>
        <v/>
      </c>
      <c r="J188" s="863">
        <f>SUMIF($C$39:$C$69,$C188,J$39:J$69)</f>
        <v/>
      </c>
      <c r="K188" s="863">
        <f>SUMIF($C$39:$C$69,$C188,K$39:K$69)</f>
        <v/>
      </c>
      <c r="L188" s="863">
        <f>SUMIF($C$39:$C$69,$C188,L$39:L$69)</f>
        <v/>
      </c>
      <c r="M188" s="863">
        <f>SUMIF($C$39:$C$69,$C188,M$39:M$69)</f>
        <v/>
      </c>
      <c r="N188" s="863">
        <f>SUMIF($C$39:$C$69,$C188,N$39:N$69)</f>
        <v/>
      </c>
      <c r="O188" s="863">
        <f>SUMIF($C$39:$C$69,$C188,O$39:O$69)</f>
        <v/>
      </c>
      <c r="P188" s="863">
        <f>SUMIF($C$39:$C$69,$C188,P$39:P$69)</f>
        <v/>
      </c>
      <c r="Q188" s="863">
        <f>SUMIF($C$39:$C$69,$C188,Q$39:Q$69)</f>
        <v/>
      </c>
      <c r="R188" s="863">
        <f>SUMIF($C$39:$C$69,$C188,R$39:R$69)</f>
        <v/>
      </c>
      <c r="S188" s="863">
        <f>SUMIF($C$39:$C$69,$C188,S$39:S$69)</f>
        <v/>
      </c>
      <c r="T188" s="863">
        <f>SUMIF($C$39:$C$69,$C188,T$39:T$69)</f>
        <v/>
      </c>
      <c r="U188" s="863">
        <f>SUMIF($C$39:$C$69,$C188,U$39:U$69)</f>
        <v/>
      </c>
      <c r="V188" s="863">
        <f>SUMIF($C$39:$C$69,$C188,V$39:V$69)</f>
        <v/>
      </c>
      <c r="W188" s="863">
        <f>SUMIF($C$39:$C$69,$C188,W$39:W$69)</f>
        <v/>
      </c>
      <c r="X188" s="863">
        <f>SUMIF($C$39:$C$69,$C188,X$39:X$69)</f>
        <v/>
      </c>
      <c r="Y188" s="863">
        <f>SUMIF($C$39:$C$69,$C188,Y$39:Y$69)</f>
        <v/>
      </c>
      <c r="Z188" s="863">
        <f>SUMIF($C$39:$C$69,$C188,Z$39:Z$69)</f>
        <v/>
      </c>
      <c r="AA188" s="863">
        <f>SUMIF($C$39:$C$69,$C188,AA$39:AA$69)</f>
        <v/>
      </c>
      <c r="AB188" s="863">
        <f>SUMIF($C$39:$C$69,$C188,AB$39:AB$69)</f>
        <v/>
      </c>
      <c r="AC188" s="863">
        <f>SUMIF($C$39:$C$69,$C188,AC$39:AC$69)</f>
        <v/>
      </c>
      <c r="AD188" s="863">
        <f>SUMIF($C$39:$C$69,$C188,AD$39:AD$69)</f>
        <v/>
      </c>
      <c r="AE188" s="863">
        <f>SUMIF($C$39:$C$69,$C188,AE$39:AE$69)</f>
        <v/>
      </c>
      <c r="AF188" s="863">
        <f>SUMIF($C$39:$C$69,$C188,AF$39:AF$69)</f>
        <v/>
      </c>
      <c r="AG188" s="863">
        <f>SUMIF($C$39:$C$69,$C188,AG$39:AG$69)</f>
        <v/>
      </c>
      <c r="AH188" s="863">
        <f>SUMIF($C$39:$C$69,$C188,AH$39:AH$69)</f>
        <v/>
      </c>
      <c r="AI188" s="863">
        <f>SUMIF($C$39:$C$69,$C188,AI$39:AI$69)</f>
        <v/>
      </c>
      <c r="AJ188" s="863">
        <f>SUMIF($C$39:$C$69,$C188,AJ$39:AJ$69)</f>
        <v/>
      </c>
      <c r="AK188" s="863">
        <f>SUMIF($C$39:$C$69,$C188,AK$39:AK$69)</f>
        <v/>
      </c>
      <c r="AL188" s="863">
        <f>SUMIF($C$39:$C$69,$C188,AL$39:AL$69)</f>
        <v/>
      </c>
      <c r="AM188" s="863">
        <f>SUMIF($C$39:$C$69,$C188,AM$39:AM$69)</f>
        <v/>
      </c>
      <c r="AN188" s="863">
        <f>SUMIF($C$39:$C$69,$C188,AN$39:AN$69)</f>
        <v/>
      </c>
      <c r="AO188" s="863">
        <f>SUMIF($C$39:$C$69,$C188,AO$39:AO$69)</f>
        <v/>
      </c>
      <c r="AP188" s="863">
        <f>SUMIF($C$39:$C$69,$C188,AP$39:AP$69)</f>
        <v/>
      </c>
      <c r="AQ188" s="863">
        <f>SUMIF($C$39:$C$69,$C188,AQ$39:AQ$69)</f>
        <v/>
      </c>
      <c r="AR188" s="863">
        <f>SUMIF($C$39:$C$69,$C188,AR$39:AR$69)</f>
        <v/>
      </c>
      <c r="AS188" s="863">
        <f>SUMIF($C$39:$C$69,$C188,AS$39:AS$69)</f>
        <v/>
      </c>
      <c r="AT188" s="863">
        <f>SUMIF($C$39:$C$69,$C188,AT$39:AT$69)</f>
        <v/>
      </c>
      <c r="AU188" s="863">
        <f>SUMIF($C$39:$C$69,$C188,AU$39:AU$69)</f>
        <v/>
      </c>
      <c r="AV188" s="863">
        <f>SUMIF($C$39:$C$69,$C188,AV$39:AV$69)</f>
        <v/>
      </c>
      <c r="AW188" s="863">
        <f>SUMIF($C$39:$C$69,$C188,AW$39:AW$69)</f>
        <v/>
      </c>
      <c r="AX188" s="863">
        <f>SUMIF($C$39:$C$69,$C188,AX$39:AX$69)</f>
        <v/>
      </c>
      <c r="AY188" s="863">
        <f>SUMIF($C$39:$C$69,$C188,AY$39:AY$69)</f>
        <v/>
      </c>
    </row>
    <row r="189" ht="17.25" customFormat="1" customHeight="1" s="85" thickBot="1" thickTop="1">
      <c r="A189" s="96" t="n"/>
      <c r="B189" s="83">
        <f>'Scale Calculation'!C18</f>
        <v/>
      </c>
      <c r="C189" s="335" t="inlineStr">
        <is>
          <t>Loans/Lines of Credit Secured by a Junior Lien on a single 1- to 4-Family Residential Property</t>
        </is>
      </c>
      <c r="D189" s="863">
        <f>SUMIF($C$39:$C$69,$C189,D$39:D$69)</f>
        <v/>
      </c>
      <c r="E189" s="863">
        <f>SUMIF($C$39:$C$69,$C189,E$39:E$69)</f>
        <v/>
      </c>
      <c r="F189" s="863">
        <f>SUMIF($C$39:$C$69,$C189,F$39:F$69)</f>
        <v/>
      </c>
      <c r="G189" s="863">
        <f>SUMIF($C$39:$C$69,$C189,G$39:G$69)</f>
        <v/>
      </c>
      <c r="H189" s="863">
        <f>SUMIF($C$39:$C$69,$C189,H$39:H$69)</f>
        <v/>
      </c>
      <c r="I189" s="863">
        <f>SUMIF($C$39:$C$69,$C189,I$39:I$69)</f>
        <v/>
      </c>
      <c r="J189" s="863">
        <f>SUMIF($C$39:$C$69,$C189,J$39:J$69)</f>
        <v/>
      </c>
      <c r="K189" s="863">
        <f>SUMIF($C$39:$C$69,$C189,K$39:K$69)</f>
        <v/>
      </c>
      <c r="L189" s="863">
        <f>SUMIF($C$39:$C$69,$C189,L$39:L$69)</f>
        <v/>
      </c>
      <c r="M189" s="863">
        <f>SUMIF($C$39:$C$69,$C189,M$39:M$69)</f>
        <v/>
      </c>
      <c r="N189" s="863">
        <f>SUMIF($C$39:$C$69,$C189,N$39:N$69)</f>
        <v/>
      </c>
      <c r="O189" s="863">
        <f>SUMIF($C$39:$C$69,$C189,O$39:O$69)</f>
        <v/>
      </c>
      <c r="P189" s="863">
        <f>SUMIF($C$39:$C$69,$C189,P$39:P$69)</f>
        <v/>
      </c>
      <c r="Q189" s="863">
        <f>SUMIF($C$39:$C$69,$C189,Q$39:Q$69)</f>
        <v/>
      </c>
      <c r="R189" s="863">
        <f>SUMIF($C$39:$C$69,$C189,R$39:R$69)</f>
        <v/>
      </c>
      <c r="S189" s="863">
        <f>SUMIF($C$39:$C$69,$C189,S$39:S$69)</f>
        <v/>
      </c>
      <c r="T189" s="863">
        <f>SUMIF($C$39:$C$69,$C189,T$39:T$69)</f>
        <v/>
      </c>
      <c r="U189" s="863">
        <f>SUMIF($C$39:$C$69,$C189,U$39:U$69)</f>
        <v/>
      </c>
      <c r="V189" s="863">
        <f>SUMIF($C$39:$C$69,$C189,V$39:V$69)</f>
        <v/>
      </c>
      <c r="W189" s="863">
        <f>SUMIF($C$39:$C$69,$C189,W$39:W$69)</f>
        <v/>
      </c>
      <c r="X189" s="863">
        <f>SUMIF($C$39:$C$69,$C189,X$39:X$69)</f>
        <v/>
      </c>
      <c r="Y189" s="863">
        <f>SUMIF($C$39:$C$69,$C189,Y$39:Y$69)</f>
        <v/>
      </c>
      <c r="Z189" s="863">
        <f>SUMIF($C$39:$C$69,$C189,Z$39:Z$69)</f>
        <v/>
      </c>
      <c r="AA189" s="863">
        <f>SUMIF($C$39:$C$69,$C189,AA$39:AA$69)</f>
        <v/>
      </c>
      <c r="AB189" s="863">
        <f>SUMIF($C$39:$C$69,$C189,AB$39:AB$69)</f>
        <v/>
      </c>
      <c r="AC189" s="863">
        <f>SUMIF($C$39:$C$69,$C189,AC$39:AC$69)</f>
        <v/>
      </c>
      <c r="AD189" s="863">
        <f>SUMIF($C$39:$C$69,$C189,AD$39:AD$69)</f>
        <v/>
      </c>
      <c r="AE189" s="863">
        <f>SUMIF($C$39:$C$69,$C189,AE$39:AE$69)</f>
        <v/>
      </c>
      <c r="AF189" s="863">
        <f>SUMIF($C$39:$C$69,$C189,AF$39:AF$69)</f>
        <v/>
      </c>
      <c r="AG189" s="863">
        <f>SUMIF($C$39:$C$69,$C189,AG$39:AG$69)</f>
        <v/>
      </c>
      <c r="AH189" s="863">
        <f>SUMIF($C$39:$C$69,$C189,AH$39:AH$69)</f>
        <v/>
      </c>
      <c r="AI189" s="863">
        <f>SUMIF($C$39:$C$69,$C189,AI$39:AI$69)</f>
        <v/>
      </c>
      <c r="AJ189" s="863">
        <f>SUMIF($C$39:$C$69,$C189,AJ$39:AJ$69)</f>
        <v/>
      </c>
      <c r="AK189" s="863">
        <f>SUMIF($C$39:$C$69,$C189,AK$39:AK$69)</f>
        <v/>
      </c>
      <c r="AL189" s="863">
        <f>SUMIF($C$39:$C$69,$C189,AL$39:AL$69)</f>
        <v/>
      </c>
      <c r="AM189" s="863">
        <f>SUMIF($C$39:$C$69,$C189,AM$39:AM$69)</f>
        <v/>
      </c>
      <c r="AN189" s="863">
        <f>SUMIF($C$39:$C$69,$C189,AN$39:AN$69)</f>
        <v/>
      </c>
      <c r="AO189" s="863">
        <f>SUMIF($C$39:$C$69,$C189,AO$39:AO$69)</f>
        <v/>
      </c>
      <c r="AP189" s="863">
        <f>SUMIF($C$39:$C$69,$C189,AP$39:AP$69)</f>
        <v/>
      </c>
      <c r="AQ189" s="863">
        <f>SUMIF($C$39:$C$69,$C189,AQ$39:AQ$69)</f>
        <v/>
      </c>
      <c r="AR189" s="863">
        <f>SUMIF($C$39:$C$69,$C189,AR$39:AR$69)</f>
        <v/>
      </c>
      <c r="AS189" s="863">
        <f>SUMIF($C$39:$C$69,$C189,AS$39:AS$69)</f>
        <v/>
      </c>
      <c r="AT189" s="863">
        <f>SUMIF($C$39:$C$69,$C189,AT$39:AT$69)</f>
        <v/>
      </c>
      <c r="AU189" s="863">
        <f>SUMIF($C$39:$C$69,$C189,AU$39:AU$69)</f>
        <v/>
      </c>
      <c r="AV189" s="863">
        <f>SUMIF($C$39:$C$69,$C189,AV$39:AV$69)</f>
        <v/>
      </c>
      <c r="AW189" s="863">
        <f>SUMIF($C$39:$C$69,$C189,AW$39:AW$69)</f>
        <v/>
      </c>
      <c r="AX189" s="863">
        <f>SUMIF($C$39:$C$69,$C189,AX$39:AX$69)</f>
        <v/>
      </c>
      <c r="AY189" s="863">
        <f>SUMIF($C$39:$C$69,$C189,AY$39:AY$69)</f>
        <v/>
      </c>
    </row>
    <row r="190" ht="17.25" customFormat="1" customHeight="1" s="85" thickBot="1" thickTop="1">
      <c r="A190" s="96" t="n"/>
      <c r="B190" s="83">
        <f>'Scale Calculation'!C19</f>
        <v/>
      </c>
      <c r="C190" s="335" t="inlineStr">
        <is>
          <t>All Other (Non-Commercial) Real Estate Loans/Lines of Credit</t>
        </is>
      </c>
      <c r="D190" s="863">
        <f>SUMIF($C$39:$C$69,$C190,D$39:D$69)</f>
        <v/>
      </c>
      <c r="E190" s="863">
        <f>SUMIF($C$39:$C$69,$C190,E$39:E$69)</f>
        <v/>
      </c>
      <c r="F190" s="863">
        <f>SUMIF($C$39:$C$69,$C190,F$39:F$69)</f>
        <v/>
      </c>
      <c r="G190" s="863">
        <f>SUMIF($C$39:$C$69,$C190,G$39:G$69)</f>
        <v/>
      </c>
      <c r="H190" s="863">
        <f>SUMIF($C$39:$C$69,$C190,H$39:H$69)</f>
        <v/>
      </c>
      <c r="I190" s="863">
        <f>SUMIF($C$39:$C$69,$C190,I$39:I$69)</f>
        <v/>
      </c>
      <c r="J190" s="863">
        <f>SUMIF($C$39:$C$69,$C190,J$39:J$69)</f>
        <v/>
      </c>
      <c r="K190" s="863">
        <f>SUMIF($C$39:$C$69,$C190,K$39:K$69)</f>
        <v/>
      </c>
      <c r="L190" s="863">
        <f>SUMIF($C$39:$C$69,$C190,L$39:L$69)</f>
        <v/>
      </c>
      <c r="M190" s="863">
        <f>SUMIF($C$39:$C$69,$C190,M$39:M$69)</f>
        <v/>
      </c>
      <c r="N190" s="863">
        <f>SUMIF($C$39:$C$69,$C190,N$39:N$69)</f>
        <v/>
      </c>
      <c r="O190" s="863">
        <f>SUMIF($C$39:$C$69,$C190,O$39:O$69)</f>
        <v/>
      </c>
      <c r="P190" s="863">
        <f>SUMIF($C$39:$C$69,$C190,P$39:P$69)</f>
        <v/>
      </c>
      <c r="Q190" s="863">
        <f>SUMIF($C$39:$C$69,$C190,Q$39:Q$69)</f>
        <v/>
      </c>
      <c r="R190" s="863">
        <f>SUMIF($C$39:$C$69,$C190,R$39:R$69)</f>
        <v/>
      </c>
      <c r="S190" s="863">
        <f>SUMIF($C$39:$C$69,$C190,S$39:S$69)</f>
        <v/>
      </c>
      <c r="T190" s="863">
        <f>SUMIF($C$39:$C$69,$C190,T$39:T$69)</f>
        <v/>
      </c>
      <c r="U190" s="863">
        <f>SUMIF($C$39:$C$69,$C190,U$39:U$69)</f>
        <v/>
      </c>
      <c r="V190" s="863">
        <f>SUMIF($C$39:$C$69,$C190,V$39:V$69)</f>
        <v/>
      </c>
      <c r="W190" s="863">
        <f>SUMIF($C$39:$C$69,$C190,W$39:W$69)</f>
        <v/>
      </c>
      <c r="X190" s="863">
        <f>SUMIF($C$39:$C$69,$C190,X$39:X$69)</f>
        <v/>
      </c>
      <c r="Y190" s="863">
        <f>SUMIF($C$39:$C$69,$C190,Y$39:Y$69)</f>
        <v/>
      </c>
      <c r="Z190" s="863">
        <f>SUMIF($C$39:$C$69,$C190,Z$39:Z$69)</f>
        <v/>
      </c>
      <c r="AA190" s="863">
        <f>SUMIF($C$39:$C$69,$C190,AA$39:AA$69)</f>
        <v/>
      </c>
      <c r="AB190" s="863">
        <f>SUMIF($C$39:$C$69,$C190,AB$39:AB$69)</f>
        <v/>
      </c>
      <c r="AC190" s="863">
        <f>SUMIF($C$39:$C$69,$C190,AC$39:AC$69)</f>
        <v/>
      </c>
      <c r="AD190" s="863">
        <f>SUMIF($C$39:$C$69,$C190,AD$39:AD$69)</f>
        <v/>
      </c>
      <c r="AE190" s="863">
        <f>SUMIF($C$39:$C$69,$C190,AE$39:AE$69)</f>
        <v/>
      </c>
      <c r="AF190" s="863">
        <f>SUMIF($C$39:$C$69,$C190,AF$39:AF$69)</f>
        <v/>
      </c>
      <c r="AG190" s="863">
        <f>SUMIF($C$39:$C$69,$C190,AG$39:AG$69)</f>
        <v/>
      </c>
      <c r="AH190" s="863">
        <f>SUMIF($C$39:$C$69,$C190,AH$39:AH$69)</f>
        <v/>
      </c>
      <c r="AI190" s="863">
        <f>SUMIF($C$39:$C$69,$C190,AI$39:AI$69)</f>
        <v/>
      </c>
      <c r="AJ190" s="863">
        <f>SUMIF($C$39:$C$69,$C190,AJ$39:AJ$69)</f>
        <v/>
      </c>
      <c r="AK190" s="863">
        <f>SUMIF($C$39:$C$69,$C190,AK$39:AK$69)</f>
        <v/>
      </c>
      <c r="AL190" s="863">
        <f>SUMIF($C$39:$C$69,$C190,AL$39:AL$69)</f>
        <v/>
      </c>
      <c r="AM190" s="863">
        <f>SUMIF($C$39:$C$69,$C190,AM$39:AM$69)</f>
        <v/>
      </c>
      <c r="AN190" s="863">
        <f>SUMIF($C$39:$C$69,$C190,AN$39:AN$69)</f>
        <v/>
      </c>
      <c r="AO190" s="863">
        <f>SUMIF($C$39:$C$69,$C190,AO$39:AO$69)</f>
        <v/>
      </c>
      <c r="AP190" s="863">
        <f>SUMIF($C$39:$C$69,$C190,AP$39:AP$69)</f>
        <v/>
      </c>
      <c r="AQ190" s="863">
        <f>SUMIF($C$39:$C$69,$C190,AQ$39:AQ$69)</f>
        <v/>
      </c>
      <c r="AR190" s="863">
        <f>SUMIF($C$39:$C$69,$C190,AR$39:AR$69)</f>
        <v/>
      </c>
      <c r="AS190" s="863">
        <f>SUMIF($C$39:$C$69,$C190,AS$39:AS$69)</f>
        <v/>
      </c>
      <c r="AT190" s="863">
        <f>SUMIF($C$39:$C$69,$C190,AT$39:AT$69)</f>
        <v/>
      </c>
      <c r="AU190" s="863">
        <f>SUMIF($C$39:$C$69,$C190,AU$39:AU$69)</f>
        <v/>
      </c>
      <c r="AV190" s="863">
        <f>SUMIF($C$39:$C$69,$C190,AV$39:AV$69)</f>
        <v/>
      </c>
      <c r="AW190" s="863">
        <f>SUMIF($C$39:$C$69,$C190,AW$39:AW$69)</f>
        <v/>
      </c>
      <c r="AX190" s="863">
        <f>SUMIF($C$39:$C$69,$C190,AX$39:AX$69)</f>
        <v/>
      </c>
      <c r="AY190" s="863">
        <f>SUMIF($C$39:$C$69,$C190,AY$39:AY$69)</f>
        <v/>
      </c>
    </row>
    <row r="191" ht="17.25" customFormat="1" customHeight="1" s="85" thickBot="1" thickTop="1">
      <c r="A191" s="96" t="n"/>
      <c r="B191" s="83">
        <f>'Scale Calculation'!C20</f>
        <v/>
      </c>
      <c r="C191" s="335" t="inlineStr">
        <is>
          <t>Commercial Loans/Lines of Credit Real Estate Secured</t>
        </is>
      </c>
      <c r="D191" s="863">
        <f>SUMIF($C$39:$C$69,$C191,D$39:D$69)</f>
        <v/>
      </c>
      <c r="E191" s="863">
        <f>SUMIF($C$39:$C$69,$C191,E$39:E$69)</f>
        <v/>
      </c>
      <c r="F191" s="863">
        <f>SUMIF($C$39:$C$69,$C191,F$39:F$69)</f>
        <v/>
      </c>
      <c r="G191" s="863">
        <f>SUMIF($C$39:$C$69,$C191,G$39:G$69)</f>
        <v/>
      </c>
      <c r="H191" s="863">
        <f>SUMIF($C$39:$C$69,$C191,H$39:H$69)</f>
        <v/>
      </c>
      <c r="I191" s="863">
        <f>SUMIF($C$39:$C$69,$C191,I$39:I$69)</f>
        <v/>
      </c>
      <c r="J191" s="863">
        <f>SUMIF($C$39:$C$69,$C191,J$39:J$69)</f>
        <v/>
      </c>
      <c r="K191" s="863">
        <f>SUMIF($C$39:$C$69,$C191,K$39:K$69)</f>
        <v/>
      </c>
      <c r="L191" s="863">
        <f>SUMIF($C$39:$C$69,$C191,L$39:L$69)</f>
        <v/>
      </c>
      <c r="M191" s="863">
        <f>SUMIF($C$39:$C$69,$C191,M$39:M$69)</f>
        <v/>
      </c>
      <c r="N191" s="863">
        <f>SUMIF($C$39:$C$69,$C191,N$39:N$69)</f>
        <v/>
      </c>
      <c r="O191" s="863">
        <f>SUMIF($C$39:$C$69,$C191,O$39:O$69)</f>
        <v/>
      </c>
      <c r="P191" s="863">
        <f>SUMIF($C$39:$C$69,$C191,P$39:P$69)</f>
        <v/>
      </c>
      <c r="Q191" s="863">
        <f>SUMIF($C$39:$C$69,$C191,Q$39:Q$69)</f>
        <v/>
      </c>
      <c r="R191" s="863">
        <f>SUMIF($C$39:$C$69,$C191,R$39:R$69)</f>
        <v/>
      </c>
      <c r="S191" s="863">
        <f>SUMIF($C$39:$C$69,$C191,S$39:S$69)</f>
        <v/>
      </c>
      <c r="T191" s="863">
        <f>SUMIF($C$39:$C$69,$C191,T$39:T$69)</f>
        <v/>
      </c>
      <c r="U191" s="863">
        <f>SUMIF($C$39:$C$69,$C191,U$39:U$69)</f>
        <v/>
      </c>
      <c r="V191" s="863">
        <f>SUMIF($C$39:$C$69,$C191,V$39:V$69)</f>
        <v/>
      </c>
      <c r="W191" s="863">
        <f>SUMIF($C$39:$C$69,$C191,W$39:W$69)</f>
        <v/>
      </c>
      <c r="X191" s="863">
        <f>SUMIF($C$39:$C$69,$C191,X$39:X$69)</f>
        <v/>
      </c>
      <c r="Y191" s="863">
        <f>SUMIF($C$39:$C$69,$C191,Y$39:Y$69)</f>
        <v/>
      </c>
      <c r="Z191" s="863">
        <f>SUMIF($C$39:$C$69,$C191,Z$39:Z$69)</f>
        <v/>
      </c>
      <c r="AA191" s="863">
        <f>SUMIF($C$39:$C$69,$C191,AA$39:AA$69)</f>
        <v/>
      </c>
      <c r="AB191" s="863">
        <f>SUMIF($C$39:$C$69,$C191,AB$39:AB$69)</f>
        <v/>
      </c>
      <c r="AC191" s="863">
        <f>SUMIF($C$39:$C$69,$C191,AC$39:AC$69)</f>
        <v/>
      </c>
      <c r="AD191" s="863">
        <f>SUMIF($C$39:$C$69,$C191,AD$39:AD$69)</f>
        <v/>
      </c>
      <c r="AE191" s="863">
        <f>SUMIF($C$39:$C$69,$C191,AE$39:AE$69)</f>
        <v/>
      </c>
      <c r="AF191" s="863">
        <f>SUMIF($C$39:$C$69,$C191,AF$39:AF$69)</f>
        <v/>
      </c>
      <c r="AG191" s="863">
        <f>SUMIF($C$39:$C$69,$C191,AG$39:AG$69)</f>
        <v/>
      </c>
      <c r="AH191" s="863">
        <f>SUMIF($C$39:$C$69,$C191,AH$39:AH$69)</f>
        <v/>
      </c>
      <c r="AI191" s="863">
        <f>SUMIF($C$39:$C$69,$C191,AI$39:AI$69)</f>
        <v/>
      </c>
      <c r="AJ191" s="863">
        <f>SUMIF($C$39:$C$69,$C191,AJ$39:AJ$69)</f>
        <v/>
      </c>
      <c r="AK191" s="863">
        <f>SUMIF($C$39:$C$69,$C191,AK$39:AK$69)</f>
        <v/>
      </c>
      <c r="AL191" s="863">
        <f>SUMIF($C$39:$C$69,$C191,AL$39:AL$69)</f>
        <v/>
      </c>
      <c r="AM191" s="863">
        <f>SUMIF($C$39:$C$69,$C191,AM$39:AM$69)</f>
        <v/>
      </c>
      <c r="AN191" s="863">
        <f>SUMIF($C$39:$C$69,$C191,AN$39:AN$69)</f>
        <v/>
      </c>
      <c r="AO191" s="863">
        <f>SUMIF($C$39:$C$69,$C191,AO$39:AO$69)</f>
        <v/>
      </c>
      <c r="AP191" s="863">
        <f>SUMIF($C$39:$C$69,$C191,AP$39:AP$69)</f>
        <v/>
      </c>
      <c r="AQ191" s="863">
        <f>SUMIF($C$39:$C$69,$C191,AQ$39:AQ$69)</f>
        <v/>
      </c>
      <c r="AR191" s="863">
        <f>SUMIF($C$39:$C$69,$C191,AR$39:AR$69)</f>
        <v/>
      </c>
      <c r="AS191" s="863">
        <f>SUMIF($C$39:$C$69,$C191,AS$39:AS$69)</f>
        <v/>
      </c>
      <c r="AT191" s="863">
        <f>SUMIF($C$39:$C$69,$C191,AT$39:AT$69)</f>
        <v/>
      </c>
      <c r="AU191" s="863">
        <f>SUMIF($C$39:$C$69,$C191,AU$39:AU$69)</f>
        <v/>
      </c>
      <c r="AV191" s="863">
        <f>SUMIF($C$39:$C$69,$C191,AV$39:AV$69)</f>
        <v/>
      </c>
      <c r="AW191" s="863">
        <f>SUMIF($C$39:$C$69,$C191,AW$39:AW$69)</f>
        <v/>
      </c>
      <c r="AX191" s="863">
        <f>SUMIF($C$39:$C$69,$C191,AX$39:AX$69)</f>
        <v/>
      </c>
      <c r="AY191" s="863">
        <f>SUMIF($C$39:$C$69,$C191,AY$39:AY$69)</f>
        <v/>
      </c>
    </row>
    <row r="192" ht="17.25" customFormat="1" customHeight="1" s="85" thickBot="1" thickTop="1">
      <c r="A192" s="96" t="n"/>
      <c r="B192" s="83">
        <f>'Scale Calculation'!C21</f>
        <v/>
      </c>
      <c r="C192" s="335" t="inlineStr">
        <is>
          <t>Commercial Loans/Lines of Credit Not Real Estate Secured</t>
        </is>
      </c>
      <c r="D192" s="867">
        <f>SUMIF($C$39:$C$69,$C192,D$39:D$69)</f>
        <v/>
      </c>
      <c r="E192" s="867">
        <f>SUMIF($C$39:$C$69,$C192,E$39:E$69)</f>
        <v/>
      </c>
      <c r="F192" s="867">
        <f>SUMIF($C$39:$C$69,$C192,F$39:F$69)</f>
        <v/>
      </c>
      <c r="G192" s="867">
        <f>SUMIF($C$39:$C$69,$C192,G$39:G$69)</f>
        <v/>
      </c>
      <c r="H192" s="867">
        <f>SUMIF($C$39:$C$69,$C192,H$39:H$69)</f>
        <v/>
      </c>
      <c r="I192" s="867">
        <f>SUMIF($C$39:$C$69,$C192,I$39:I$69)</f>
        <v/>
      </c>
      <c r="J192" s="867">
        <f>SUMIF($C$39:$C$69,$C192,J$39:J$69)</f>
        <v/>
      </c>
      <c r="K192" s="867">
        <f>SUMIF($C$39:$C$69,$C192,K$39:K$69)</f>
        <v/>
      </c>
      <c r="L192" s="867">
        <f>SUMIF($C$39:$C$69,$C192,L$39:L$69)</f>
        <v/>
      </c>
      <c r="M192" s="867">
        <f>SUMIF($C$39:$C$69,$C192,M$39:M$69)</f>
        <v/>
      </c>
      <c r="N192" s="867">
        <f>SUMIF($C$39:$C$69,$C192,N$39:N$69)</f>
        <v/>
      </c>
      <c r="O192" s="867">
        <f>SUMIF($C$39:$C$69,$C192,O$39:O$69)</f>
        <v/>
      </c>
      <c r="P192" s="867">
        <f>SUMIF($C$39:$C$69,$C192,P$39:P$69)</f>
        <v/>
      </c>
      <c r="Q192" s="867">
        <f>SUMIF($C$39:$C$69,$C192,Q$39:Q$69)</f>
        <v/>
      </c>
      <c r="R192" s="867">
        <f>SUMIF($C$39:$C$69,$C192,R$39:R$69)</f>
        <v/>
      </c>
      <c r="S192" s="867">
        <f>SUMIF($C$39:$C$69,$C192,S$39:S$69)</f>
        <v/>
      </c>
      <c r="T192" s="867">
        <f>SUMIF($C$39:$C$69,$C192,T$39:T$69)</f>
        <v/>
      </c>
      <c r="U192" s="867">
        <f>SUMIF($C$39:$C$69,$C192,U$39:U$69)</f>
        <v/>
      </c>
      <c r="V192" s="867">
        <f>SUMIF($C$39:$C$69,$C192,V$39:V$69)</f>
        <v/>
      </c>
      <c r="W192" s="867">
        <f>SUMIF($C$39:$C$69,$C192,W$39:W$69)</f>
        <v/>
      </c>
      <c r="X192" s="867">
        <f>SUMIF($C$39:$C$69,$C192,X$39:X$69)</f>
        <v/>
      </c>
      <c r="Y192" s="867">
        <f>SUMIF($C$39:$C$69,$C192,Y$39:Y$69)</f>
        <v/>
      </c>
      <c r="Z192" s="867">
        <f>SUMIF($C$39:$C$69,$C192,Z$39:Z$69)</f>
        <v/>
      </c>
      <c r="AA192" s="867">
        <f>SUMIF($C$39:$C$69,$C192,AA$39:AA$69)</f>
        <v/>
      </c>
      <c r="AB192" s="867">
        <f>SUMIF($C$39:$C$69,$C192,AB$39:AB$69)</f>
        <v/>
      </c>
      <c r="AC192" s="867">
        <f>SUMIF($C$39:$C$69,$C192,AC$39:AC$69)</f>
        <v/>
      </c>
      <c r="AD192" s="867">
        <f>SUMIF($C$39:$C$69,$C192,AD$39:AD$69)</f>
        <v/>
      </c>
      <c r="AE192" s="867">
        <f>SUMIF($C$39:$C$69,$C192,AE$39:AE$69)</f>
        <v/>
      </c>
      <c r="AF192" s="867">
        <f>SUMIF($C$39:$C$69,$C192,AF$39:AF$69)</f>
        <v/>
      </c>
      <c r="AG192" s="867">
        <f>SUMIF($C$39:$C$69,$C192,AG$39:AG$69)</f>
        <v/>
      </c>
      <c r="AH192" s="867">
        <f>SUMIF($C$39:$C$69,$C192,AH$39:AH$69)</f>
        <v/>
      </c>
      <c r="AI192" s="867">
        <f>SUMIF($C$39:$C$69,$C192,AI$39:AI$69)</f>
        <v/>
      </c>
      <c r="AJ192" s="867">
        <f>SUMIF($C$39:$C$69,$C192,AJ$39:AJ$69)</f>
        <v/>
      </c>
      <c r="AK192" s="867">
        <f>SUMIF($C$39:$C$69,$C192,AK$39:AK$69)</f>
        <v/>
      </c>
      <c r="AL192" s="867">
        <f>SUMIF($C$39:$C$69,$C192,AL$39:AL$69)</f>
        <v/>
      </c>
      <c r="AM192" s="867">
        <f>SUMIF($C$39:$C$69,$C192,AM$39:AM$69)</f>
        <v/>
      </c>
      <c r="AN192" s="867">
        <f>SUMIF($C$39:$C$69,$C192,AN$39:AN$69)</f>
        <v/>
      </c>
      <c r="AO192" s="867">
        <f>SUMIF($C$39:$C$69,$C192,AO$39:AO$69)</f>
        <v/>
      </c>
      <c r="AP192" s="867">
        <f>SUMIF($C$39:$C$69,$C192,AP$39:AP$69)</f>
        <v/>
      </c>
      <c r="AQ192" s="867">
        <f>SUMIF($C$39:$C$69,$C192,AQ$39:AQ$69)</f>
        <v/>
      </c>
      <c r="AR192" s="867">
        <f>SUMIF($C$39:$C$69,$C192,AR$39:AR$69)</f>
        <v/>
      </c>
      <c r="AS192" s="867">
        <f>SUMIF($C$39:$C$69,$C192,AS$39:AS$69)</f>
        <v/>
      </c>
      <c r="AT192" s="867">
        <f>SUMIF($C$39:$C$69,$C192,AT$39:AT$69)</f>
        <v/>
      </c>
      <c r="AU192" s="867">
        <f>SUMIF($C$39:$C$69,$C192,AU$39:AU$69)</f>
        <v/>
      </c>
      <c r="AV192" s="867">
        <f>SUMIF($C$39:$C$69,$C192,AV$39:AV$69)</f>
        <v/>
      </c>
      <c r="AW192" s="867">
        <f>SUMIF($C$39:$C$69,$C192,AW$39:AW$69)</f>
        <v/>
      </c>
      <c r="AX192" s="867">
        <f>SUMIF($C$39:$C$69,$C192,AX$39:AX$69)</f>
        <v/>
      </c>
      <c r="AY192" s="867">
        <f>SUMIF($C$39:$C$69,$C192,AY$39:AY$69)</f>
        <v/>
      </c>
    </row>
    <row r="193" ht="17.25" customFormat="1" customHeight="1" s="85" thickBot="1" thickTop="1">
      <c r="A193" s="96" t="n"/>
      <c r="B193" s="89" t="inlineStr">
        <is>
          <t>Tota Delinquent Loans</t>
        </is>
      </c>
      <c r="C193" s="332" t="n"/>
      <c r="D193" s="867">
        <f>SUM(D180:D192)</f>
        <v/>
      </c>
      <c r="E193" s="867">
        <f>SUM(E180:E192)</f>
        <v/>
      </c>
      <c r="F193" s="867">
        <f>SUM(F180:F192)</f>
        <v/>
      </c>
      <c r="G193" s="867">
        <f>SUM(G180:G192)</f>
        <v/>
      </c>
      <c r="H193" s="867">
        <f>SUM(H180:H192)</f>
        <v/>
      </c>
      <c r="I193" s="867">
        <f>SUM(I180:I192)</f>
        <v/>
      </c>
      <c r="J193" s="867">
        <f>SUM(J180:J192)</f>
        <v/>
      </c>
      <c r="K193" s="867">
        <f>SUM(K180:K192)</f>
        <v/>
      </c>
      <c r="L193" s="867">
        <f>SUM(L180:L192)</f>
        <v/>
      </c>
      <c r="M193" s="867">
        <f>SUM(M180:M192)</f>
        <v/>
      </c>
      <c r="N193" s="867">
        <f>SUM(N180:N192)</f>
        <v/>
      </c>
      <c r="O193" s="867">
        <f>SUM(O180:O192)</f>
        <v/>
      </c>
      <c r="P193" s="867">
        <f>SUM(P180:P192)</f>
        <v/>
      </c>
      <c r="Q193" s="867">
        <f>SUM(Q180:Q192)</f>
        <v/>
      </c>
      <c r="R193" s="867">
        <f>SUM(R180:R192)</f>
        <v/>
      </c>
      <c r="S193" s="867">
        <f>SUM(S180:S192)</f>
        <v/>
      </c>
      <c r="T193" s="867">
        <f>SUM(T180:T192)</f>
        <v/>
      </c>
      <c r="U193" s="867">
        <f>SUM(U180:U192)</f>
        <v/>
      </c>
      <c r="V193" s="867">
        <f>SUM(V180:V192)</f>
        <v/>
      </c>
      <c r="W193" s="867">
        <f>SUM(W180:W192)</f>
        <v/>
      </c>
      <c r="X193" s="867">
        <f>SUM(X180:X192)</f>
        <v/>
      </c>
      <c r="Y193" s="867">
        <f>SUM(Y180:Y192)</f>
        <v/>
      </c>
      <c r="Z193" s="867">
        <f>SUM(Z180:Z192)</f>
        <v/>
      </c>
      <c r="AA193" s="867">
        <f>SUM(AA180:AA192)</f>
        <v/>
      </c>
      <c r="AB193" s="867">
        <f>SUM(AB180:AB192)</f>
        <v/>
      </c>
      <c r="AC193" s="867">
        <f>SUM(AC180:AC192)</f>
        <v/>
      </c>
      <c r="AD193" s="867">
        <f>SUM(AD180:AD192)</f>
        <v/>
      </c>
      <c r="AE193" s="867">
        <f>SUM(AE180:AE192)</f>
        <v/>
      </c>
      <c r="AF193" s="867">
        <f>SUM(AF180:AF192)</f>
        <v/>
      </c>
      <c r="AG193" s="867">
        <f>SUM(AG180:AG192)</f>
        <v/>
      </c>
      <c r="AH193" s="867">
        <f>SUM(AH180:AH192)</f>
        <v/>
      </c>
      <c r="AI193" s="867" t="n">
        <v>191625</v>
      </c>
      <c r="AJ193" s="867">
        <f>SUM(AJ180:AJ192)</f>
        <v/>
      </c>
      <c r="AK193" s="867">
        <f>SUM(AK180:AK192)</f>
        <v/>
      </c>
      <c r="AL193" s="867">
        <f>SUM(AL180:AL192)</f>
        <v/>
      </c>
      <c r="AM193" s="867">
        <f>SUM(AM180:AM192)</f>
        <v/>
      </c>
      <c r="AN193" s="867">
        <f>SUM(AN180:AN192)</f>
        <v/>
      </c>
      <c r="AO193" s="867">
        <f>SUM(AO180:AO192)</f>
        <v/>
      </c>
      <c r="AP193" s="867">
        <f>SUM(AP180:AP192)</f>
        <v/>
      </c>
      <c r="AQ193" s="867">
        <f>SUM(AQ180:AQ192)</f>
        <v/>
      </c>
      <c r="AR193" s="867">
        <f>SUM(AR180:AR192)</f>
        <v/>
      </c>
      <c r="AS193" s="867">
        <f>SUM(AS180:AS192)</f>
        <v/>
      </c>
      <c r="AT193" s="867">
        <f>SUM(AT180:AT192)</f>
        <v/>
      </c>
      <c r="AU193" s="867">
        <f>SUM(AU180:AU192)</f>
        <v/>
      </c>
      <c r="AV193" s="867">
        <f>SUM(AV180:AV192)</f>
        <v/>
      </c>
      <c r="AW193" s="867">
        <f>SUM(AW180:AW192)</f>
        <v/>
      </c>
      <c r="AX193" s="867">
        <f>SUM(AX180:AX192)</f>
        <v/>
      </c>
      <c r="AY193" s="867">
        <f>SUM(AY180:AY192)</f>
        <v/>
      </c>
    </row>
    <row r="194" ht="12.75" customFormat="1" customHeight="1" s="85">
      <c r="A194" s="96" t="n"/>
      <c r="W194" s="871" t="n"/>
      <c r="X194" s="871" t="n"/>
    </row>
    <row r="195" ht="13.5" customFormat="1" customHeight="1" s="85" thickBot="1">
      <c r="A195" s="96" t="n"/>
      <c r="E195" s="871" t="n"/>
    </row>
    <row r="196" ht="13.5" customFormat="1" customHeight="1" s="85" thickBot="1">
      <c r="A196" s="96" t="n"/>
      <c r="B196" s="80" t="inlineStr">
        <is>
          <t>YTD Net Charge offs</t>
        </is>
      </c>
      <c r="C196" s="327" t="n"/>
      <c r="D196" s="81">
        <f>D8</f>
        <v/>
      </c>
      <c r="E196" s="81">
        <f>E8</f>
        <v/>
      </c>
      <c r="F196" s="81">
        <f>F8</f>
        <v/>
      </c>
      <c r="G196" s="81">
        <f>G8</f>
        <v/>
      </c>
      <c r="H196" s="81">
        <f>H8</f>
        <v/>
      </c>
      <c r="I196" s="81">
        <f>I8</f>
        <v/>
      </c>
      <c r="J196" s="81">
        <f>J8</f>
        <v/>
      </c>
      <c r="K196" s="81">
        <f>K8</f>
        <v/>
      </c>
      <c r="L196" s="81">
        <f>L8</f>
        <v/>
      </c>
      <c r="M196" s="81">
        <f>M8</f>
        <v/>
      </c>
      <c r="N196" s="81">
        <f>N8</f>
        <v/>
      </c>
      <c r="O196" s="81">
        <f>O8</f>
        <v/>
      </c>
      <c r="P196" s="81">
        <f>P8</f>
        <v/>
      </c>
      <c r="Q196" s="81">
        <f>Q8</f>
        <v/>
      </c>
      <c r="R196" s="81">
        <f>R8</f>
        <v/>
      </c>
      <c r="S196" s="81">
        <f>S8</f>
        <v/>
      </c>
      <c r="T196" s="81">
        <f>T8</f>
        <v/>
      </c>
      <c r="U196" s="81">
        <f>U8</f>
        <v/>
      </c>
      <c r="V196" s="81">
        <f>V8</f>
        <v/>
      </c>
      <c r="W196" s="81">
        <f>W8</f>
        <v/>
      </c>
      <c r="X196" s="81">
        <f>X8</f>
        <v/>
      </c>
      <c r="Y196" s="81">
        <f>Y8</f>
        <v/>
      </c>
      <c r="Z196" s="81">
        <f>Z8</f>
        <v/>
      </c>
      <c r="AA196" s="81">
        <f>AA8</f>
        <v/>
      </c>
      <c r="AB196" s="81">
        <f>AB8</f>
        <v/>
      </c>
      <c r="AC196" s="81">
        <f>AC8</f>
        <v/>
      </c>
      <c r="AD196" s="81">
        <f>AD8</f>
        <v/>
      </c>
      <c r="AE196" s="81">
        <f>AE8</f>
        <v/>
      </c>
      <c r="AF196" s="81">
        <f>AF8</f>
        <v/>
      </c>
      <c r="AG196" s="81">
        <f>AG8</f>
        <v/>
      </c>
      <c r="AH196" s="81">
        <f>AH8</f>
        <v/>
      </c>
      <c r="AI196" s="81">
        <f>AI8</f>
        <v/>
      </c>
      <c r="AJ196" s="81">
        <f>AJ8</f>
        <v/>
      </c>
      <c r="AK196" s="81">
        <f>AK8</f>
        <v/>
      </c>
      <c r="AL196" s="81">
        <f>AL8</f>
        <v/>
      </c>
      <c r="AM196" s="81">
        <f>AM8</f>
        <v/>
      </c>
      <c r="AN196" s="81">
        <f>AN8</f>
        <v/>
      </c>
      <c r="AO196" s="81">
        <f>AO8</f>
        <v/>
      </c>
      <c r="AP196" s="81">
        <f>AP8</f>
        <v/>
      </c>
      <c r="AQ196" s="81">
        <f>AQ8</f>
        <v/>
      </c>
      <c r="AR196" s="81">
        <f>AR8</f>
        <v/>
      </c>
      <c r="AS196" s="81">
        <f>AS8</f>
        <v/>
      </c>
      <c r="AT196" s="81">
        <f>AT8</f>
        <v/>
      </c>
      <c r="AU196" s="81">
        <f>AU8</f>
        <v/>
      </c>
      <c r="AV196" s="81">
        <f>AV8</f>
        <v/>
      </c>
      <c r="AW196" s="81">
        <f>AW8</f>
        <v/>
      </c>
      <c r="AX196" s="81">
        <f>AX8</f>
        <v/>
      </c>
      <c r="AY196" s="81">
        <f>AY8</f>
        <v/>
      </c>
    </row>
    <row r="197" ht="17.25" customFormat="1" customHeight="1" s="85" thickBot="1" thickTop="1">
      <c r="A197" s="96" t="n"/>
      <c r="B197" s="83">
        <f>'Scale Calculation'!C9</f>
        <v/>
      </c>
      <c r="C197" s="335" t="inlineStr">
        <is>
          <t>Unsecured Credit Card Loans</t>
        </is>
      </c>
      <c r="D197" s="863">
        <f>SUMIF($C$73:$C$101,$C197,D$73:D$101)-SUMIF($C$106:$C$134,$C197,D$106:D$134)</f>
        <v/>
      </c>
      <c r="E197" s="863">
        <f>SUMIF($C$73:$C$101,$C197,E$73:E$101)-SUMIF($C$106:$C$134,$C197,E$106:E$134)</f>
        <v/>
      </c>
      <c r="F197" s="863">
        <f>SUMIF($C$73:$C$101,$C197,F$73:F$101)-SUMIF($C$106:$C$134,$C197,F$106:F$134)</f>
        <v/>
      </c>
      <c r="G197" s="863">
        <f>SUMIF($C$73:$C$101,$C197,G$73:G$101)-SUMIF($C$106:$C$134,$C197,G$106:G$134)</f>
        <v/>
      </c>
      <c r="H197" s="863">
        <f>SUMIF($C$73:$C$101,$C197,H$73:H$101)-SUMIF($C$106:$C$134,$C197,H$106:H$134)</f>
        <v/>
      </c>
      <c r="I197" s="863">
        <f>SUMIF($C$73:$C$101,$C197,I$73:I$101)-SUMIF($C$106:$C$134,$C197,I$106:I$134)</f>
        <v/>
      </c>
      <c r="J197" s="863">
        <f>SUMIF($C$73:$C$101,$C197,J$73:J$101)-SUMIF($C$106:$C$134,$C197,J$106:J$134)</f>
        <v/>
      </c>
      <c r="K197" s="863">
        <f>SUMIF($C$73:$C$101,$C197,K$73:K$101)-SUMIF($C$106:$C$134,$C197,K$106:K$134)</f>
        <v/>
      </c>
      <c r="L197" s="863">
        <f>SUMIF($C$73:$C$101,$C197,L$73:L$101)-SUMIF($C$106:$C$134,$C197,L$106:L$134)</f>
        <v/>
      </c>
      <c r="M197" s="863">
        <f>SUMIF($C$73:$C$101,$C197,M$73:M$101)-SUMIF($C$106:$C$134,$C197,M$106:M$134)</f>
        <v/>
      </c>
      <c r="N197" s="863">
        <f>SUMIF($C$73:$C$101,$C197,N$73:N$101)-SUMIF($C$106:$C$134,$C197,N$106:N$134)</f>
        <v/>
      </c>
      <c r="O197" s="863">
        <f>SUMIF($C$73:$C$101,$C197,O$73:O$101)-SUMIF($C$106:$C$134,$C197,O$106:O$134)</f>
        <v/>
      </c>
      <c r="P197" s="863">
        <f>SUMIF($C$73:$C$101,$C197,P$73:P$101)-SUMIF($C$106:$C$134,$C197,P$106:P$134)</f>
        <v/>
      </c>
      <c r="Q197" s="863">
        <f>SUMIF($C$73:$C$101,$C197,Q$73:Q$101)-SUMIF($C$106:$C$134,$C197,Q$106:Q$134)</f>
        <v/>
      </c>
      <c r="R197" s="863">
        <f>SUMIF($C$73:$C$101,$C197,R$73:R$101)-SUMIF($C$106:$C$134,$C197,R$106:R$134)</f>
        <v/>
      </c>
      <c r="S197" s="863">
        <f>SUMIF($C$73:$C$101,$C197,S$73:S$101)-SUMIF($C$106:$C$134,$C197,S$106:S$134)</f>
        <v/>
      </c>
      <c r="T197" s="863">
        <f>SUMIF($C$73:$C$101,$C197,T$73:T$101)-SUMIF($C$106:$C$134,$C197,T$106:T$134)</f>
        <v/>
      </c>
      <c r="U197" s="863">
        <f>SUMIF($C$73:$C$101,$C197,U$73:U$101)-SUMIF($C$106:$C$134,$C197,U$106:U$134)</f>
        <v/>
      </c>
      <c r="V197" s="863">
        <f>SUMIF($C$73:$C$101,$C197,V$73:V$101)-SUMIF($C$106:$C$134,$C197,V$106:V$134)</f>
        <v/>
      </c>
      <c r="W197" s="863">
        <f>SUMIF($C$73:$C$101,$C197,W$73:W$101)-SUMIF($C$106:$C$134,$C197,W$106:W$134)</f>
        <v/>
      </c>
      <c r="X197" s="863">
        <f>SUMIF($C$73:$C$101,$C197,X$73:X$101)-SUMIF($C$106:$C$134,$C197,X$106:X$134)</f>
        <v/>
      </c>
      <c r="Y197" s="863">
        <f>SUMIF($C$73:$C$101,$C197,Y$73:Y$101)-SUMIF($C$106:$C$134,$C197,Y$106:Y$134)</f>
        <v/>
      </c>
      <c r="Z197" s="863">
        <f>SUMIF($C$73:$C$101,$C197,Z$73:Z$101)-SUMIF($C$106:$C$134,$C197,Z$106:Z$134)</f>
        <v/>
      </c>
      <c r="AA197" s="863">
        <f>SUMIF($C$73:$C$101,$C197,AA$73:AA$101)-SUMIF($C$106:$C$134,$C197,AA$106:AA$134)</f>
        <v/>
      </c>
      <c r="AB197" s="863">
        <f>SUMIF($C$73:$C$101,$C197,AB$73:AB$101)-SUMIF($C$106:$C$134,$C197,AB$106:AB$134)</f>
        <v/>
      </c>
      <c r="AC197" s="863">
        <f>SUMIF($C$73:$C$101,$C197,AC$73:AC$101)-SUMIF($C$106:$C$134,$C197,AC$106:AC$134)</f>
        <v/>
      </c>
      <c r="AD197" s="863">
        <f>SUMIF($C$73:$C$101,$C197,AD$73:AD$101)-SUMIF($C$106:$C$134,$C197,AD$106:AD$134)</f>
        <v/>
      </c>
      <c r="AE197" s="863">
        <f>SUMIF($C$73:$C$101,$C197,AE$73:AE$101)-SUMIF($C$106:$C$134,$C197,AE$106:AE$134)</f>
        <v/>
      </c>
      <c r="AF197" s="863">
        <f>SUMIF($C$73:$C$101,$C197,AF$73:AF$101)-SUMIF($C$106:$C$134,$C197,AF$106:AF$134)</f>
        <v/>
      </c>
      <c r="AG197" s="863">
        <f>SUMIF($C$73:$C$101,$C197,AG$73:AG$101)-SUMIF($C$106:$C$134,$C197,AG$106:AG$134)</f>
        <v/>
      </c>
      <c r="AH197" s="863">
        <f>SUMIF($C$73:$C$101,$C197,AH$73:AH$101)-SUMIF($C$106:$C$134,$C197,AH$106:AH$134)</f>
        <v/>
      </c>
      <c r="AI197" s="863">
        <f>SUMIF($C$73:$C$101,$C197,AI$73:AI$101)-SUMIF($C$106:$C$134,$C197,AI$106:AI$134)</f>
        <v/>
      </c>
      <c r="AJ197" s="863">
        <f>SUMIF($C$73:$C$101,$C197,AJ$73:AJ$101)-SUMIF($C$106:$C$134,$C197,AJ$106:AJ$134)</f>
        <v/>
      </c>
      <c r="AK197" s="863">
        <f>SUMIF($C$73:$C$101,$C197,AK$73:AK$101)-SUMIF($C$106:$C$134,$C197,AK$106:AK$134)</f>
        <v/>
      </c>
      <c r="AL197" s="863">
        <f>SUMIF($C$73:$C$101,$C197,AL$73:AL$101)-SUMIF($C$106:$C$134,$C197,AL$106:AL$134)</f>
        <v/>
      </c>
      <c r="AM197" s="863">
        <f>SUMIF($C$73:$C$101,$C197,AM$73:AM$101)-SUMIF($C$106:$C$134,$C197,AM$106:AM$134)</f>
        <v/>
      </c>
      <c r="AN197" s="863">
        <f>SUMIF($C$73:$C$101,$C197,AN$73:AN$101)-SUMIF($C$106:$C$134,$C197,AN$106:AN$134)</f>
        <v/>
      </c>
      <c r="AO197" s="863">
        <f>SUMIF($C$73:$C$101,$C197,AO$73:AO$101)-SUMIF($C$106:$C$134,$C197,AO$106:AO$134)</f>
        <v/>
      </c>
      <c r="AP197" s="863">
        <f>SUMIF($C$73:$C$101,$C197,AP$73:AP$101)-SUMIF($C$106:$C$134,$C197,AP$106:AP$134)</f>
        <v/>
      </c>
      <c r="AQ197" s="863">
        <f>SUMIF($C$73:$C$101,$C197,AQ$73:AQ$101)-SUMIF($C$106:$C$134,$C197,AQ$106:AQ$134)</f>
        <v/>
      </c>
      <c r="AR197" s="863">
        <f>SUMIF($C$73:$C$101,$C197,AR$73:AR$101)-SUMIF($C$106:$C$134,$C197,AR$106:AR$134)</f>
        <v/>
      </c>
      <c r="AS197" s="863">
        <f>SUMIF($C$73:$C$101,$C197,AS$73:AS$101)-SUMIF($C$106:$C$134,$C197,AS$106:AS$134)</f>
        <v/>
      </c>
      <c r="AT197" s="863">
        <f>SUMIF($C$73:$C$101,$C197,AT$73:AT$101)-SUMIF($C$106:$C$134,$C197,AT$106:AT$134)</f>
        <v/>
      </c>
      <c r="AU197" s="863">
        <f>SUMIF($C$73:$C$101,$C197,AU$73:AU$101)-SUMIF($C$106:$C$134,$C197,AU$106:AU$134)</f>
        <v/>
      </c>
      <c r="AV197" s="863">
        <f>SUMIF($C$73:$C$101,$C197,AV$73:AV$101)-SUMIF($C$106:$C$134,$C197,AV$106:AV$134)</f>
        <v/>
      </c>
      <c r="AW197" s="863">
        <f>SUMIF($C$73:$C$101,$C197,AW$73:AW$101)-SUMIF($C$106:$C$134,$C197,AW$106:AW$134)</f>
        <v/>
      </c>
      <c r="AX197" s="863">
        <f>SUMIF($C$73:$C$101,$C197,AX$73:AX$101)-SUMIF($C$106:$C$134,$C197,AX$106:AX$134)</f>
        <v/>
      </c>
      <c r="AY197" s="863">
        <f>SUMIF($C$73:$C$101,$C197,AY$73:AY$101)-SUMIF($C$106:$C$134,$C197,AY$106:AY$134)</f>
        <v/>
      </c>
    </row>
    <row r="198" ht="17.25" customFormat="1" customHeight="1" s="85" thickBot="1" thickTop="1">
      <c r="A198" s="96" t="n"/>
      <c r="B198" s="83">
        <f>'Scale Calculation'!C10</f>
        <v/>
      </c>
      <c r="C198" s="335" t="inlineStr">
        <is>
          <t>Payday Alternative Loans</t>
        </is>
      </c>
      <c r="D198" s="863">
        <f>SUMIF($C$73:$C$101,$C198,D$73:D$101)-SUMIF($C$106:$C$134,$C198,D$106:D$134)</f>
        <v/>
      </c>
      <c r="E198" s="863">
        <f>SUMIF($C$73:$C$101,$C198,E$73:E$101)-SUMIF($C$106:$C$134,$C198,E$106:E$134)</f>
        <v/>
      </c>
      <c r="F198" s="863">
        <f>SUMIF($C$73:$C$101,$C198,F$73:F$101)-SUMIF($C$106:$C$134,$C198,F$106:F$134)</f>
        <v/>
      </c>
      <c r="G198" s="863">
        <f>SUMIF($C$73:$C$101,$C198,G$73:G$101)-SUMIF($C$106:$C$134,$C198,G$106:G$134)</f>
        <v/>
      </c>
      <c r="H198" s="863">
        <f>SUMIF($C$73:$C$101,$C198,H$73:H$101)-SUMIF($C$106:$C$134,$C198,H$106:H$134)</f>
        <v/>
      </c>
      <c r="I198" s="863">
        <f>SUMIF($C$73:$C$101,$C198,I$73:I$101)-SUMIF($C$106:$C$134,$C198,I$106:I$134)</f>
        <v/>
      </c>
      <c r="J198" s="863">
        <f>SUMIF($C$73:$C$101,$C198,J$73:J$101)-SUMIF($C$106:$C$134,$C198,J$106:J$134)</f>
        <v/>
      </c>
      <c r="K198" s="863">
        <f>SUMIF($C$73:$C$101,$C198,K$73:K$101)-SUMIF($C$106:$C$134,$C198,K$106:K$134)</f>
        <v/>
      </c>
      <c r="L198" s="863">
        <f>SUMIF($C$73:$C$101,$C198,L$73:L$101)-SUMIF($C$106:$C$134,$C198,L$106:L$134)</f>
        <v/>
      </c>
      <c r="M198" s="863">
        <f>SUMIF($C$73:$C$101,$C198,M$73:M$101)-SUMIF($C$106:$C$134,$C198,M$106:M$134)</f>
        <v/>
      </c>
      <c r="N198" s="863">
        <f>SUMIF($C$73:$C$101,$C198,N$73:N$101)-SUMIF($C$106:$C$134,$C198,N$106:N$134)</f>
        <v/>
      </c>
      <c r="O198" s="863">
        <f>SUMIF($C$73:$C$101,$C198,O$73:O$101)-SUMIF($C$106:$C$134,$C198,O$106:O$134)</f>
        <v/>
      </c>
      <c r="P198" s="863">
        <f>SUMIF($C$73:$C$101,$C198,P$73:P$101)-SUMIF($C$106:$C$134,$C198,P$106:P$134)</f>
        <v/>
      </c>
      <c r="Q198" s="863">
        <f>SUMIF($C$73:$C$101,$C198,Q$73:Q$101)-SUMIF($C$106:$C$134,$C198,Q$106:Q$134)</f>
        <v/>
      </c>
      <c r="R198" s="863">
        <f>SUMIF($C$73:$C$101,$C198,R$73:R$101)-SUMIF($C$106:$C$134,$C198,R$106:R$134)</f>
        <v/>
      </c>
      <c r="S198" s="863">
        <f>SUMIF($C$73:$C$101,$C198,S$73:S$101)-SUMIF($C$106:$C$134,$C198,S$106:S$134)</f>
        <v/>
      </c>
      <c r="T198" s="863">
        <f>SUMIF($C$73:$C$101,$C198,T$73:T$101)-SUMIF($C$106:$C$134,$C198,T$106:T$134)</f>
        <v/>
      </c>
      <c r="U198" s="863">
        <f>SUMIF($C$73:$C$101,$C198,U$73:U$101)-SUMIF($C$106:$C$134,$C198,U$106:U$134)</f>
        <v/>
      </c>
      <c r="V198" s="863">
        <f>SUMIF($C$73:$C$101,$C198,V$73:V$101)-SUMIF($C$106:$C$134,$C198,V$106:V$134)</f>
        <v/>
      </c>
      <c r="W198" s="863">
        <f>SUMIF($C$73:$C$101,$C198,W$73:W$101)-SUMIF($C$106:$C$134,$C198,W$106:W$134)</f>
        <v/>
      </c>
      <c r="X198" s="863">
        <f>SUMIF($C$73:$C$101,$C198,X$73:X$101)-SUMIF($C$106:$C$134,$C198,X$106:X$134)</f>
        <v/>
      </c>
      <c r="Y198" s="863">
        <f>SUMIF($C$73:$C$101,$C198,Y$73:Y$101)-SUMIF($C$106:$C$134,$C198,Y$106:Y$134)</f>
        <v/>
      </c>
      <c r="Z198" s="863">
        <f>SUMIF($C$73:$C$101,$C198,Z$73:Z$101)-SUMIF($C$106:$C$134,$C198,Z$106:Z$134)</f>
        <v/>
      </c>
      <c r="AA198" s="863">
        <f>SUMIF($C$73:$C$101,$C198,AA$73:AA$101)-SUMIF($C$106:$C$134,$C198,AA$106:AA$134)</f>
        <v/>
      </c>
      <c r="AB198" s="863">
        <f>SUMIF($C$73:$C$101,$C198,AB$73:AB$101)-SUMIF($C$106:$C$134,$C198,AB$106:AB$134)</f>
        <v/>
      </c>
      <c r="AC198" s="863">
        <f>SUMIF($C$73:$C$101,$C198,AC$73:AC$101)-SUMIF($C$106:$C$134,$C198,AC$106:AC$134)</f>
        <v/>
      </c>
      <c r="AD198" s="863">
        <f>SUMIF($C$73:$C$101,$C198,AD$73:AD$101)-SUMIF($C$106:$C$134,$C198,AD$106:AD$134)</f>
        <v/>
      </c>
      <c r="AE198" s="863">
        <f>SUMIF($C$73:$C$101,$C198,AE$73:AE$101)-SUMIF($C$106:$C$134,$C198,AE$106:AE$134)</f>
        <v/>
      </c>
      <c r="AF198" s="863">
        <f>SUMIF($C$73:$C$101,$C198,AF$73:AF$101)-SUMIF($C$106:$C$134,$C198,AF$106:AF$134)</f>
        <v/>
      </c>
      <c r="AG198" s="863">
        <f>SUMIF($C$73:$C$101,$C198,AG$73:AG$101)-SUMIF($C$106:$C$134,$C198,AG$106:AG$134)</f>
        <v/>
      </c>
      <c r="AH198" s="863">
        <f>SUMIF($C$73:$C$101,$C198,AH$73:AH$101)-SUMIF($C$106:$C$134,$C198,AH$106:AH$134)</f>
        <v/>
      </c>
      <c r="AI198" s="863">
        <f>SUMIF($C$73:$C$101,$C198,AI$73:AI$101)-SUMIF($C$106:$C$134,$C198,AI$106:AI$134)</f>
        <v/>
      </c>
      <c r="AJ198" s="863">
        <f>SUMIF($C$73:$C$101,$C198,AJ$73:AJ$101)-SUMIF($C$106:$C$134,$C198,AJ$106:AJ$134)</f>
        <v/>
      </c>
      <c r="AK198" s="863">
        <f>SUMIF($C$73:$C$101,$C198,AK$73:AK$101)-SUMIF($C$106:$C$134,$C198,AK$106:AK$134)</f>
        <v/>
      </c>
      <c r="AL198" s="863">
        <f>SUMIF($C$73:$C$101,$C198,AL$73:AL$101)-SUMIF($C$106:$C$134,$C198,AL$106:AL$134)</f>
        <v/>
      </c>
      <c r="AM198" s="863">
        <f>SUMIF($C$73:$C$101,$C198,AM$73:AM$101)-SUMIF($C$106:$C$134,$C198,AM$106:AM$134)</f>
        <v/>
      </c>
      <c r="AN198" s="863">
        <f>SUMIF($C$73:$C$101,$C198,AN$73:AN$101)-SUMIF($C$106:$C$134,$C198,AN$106:AN$134)</f>
        <v/>
      </c>
      <c r="AO198" s="863">
        <f>SUMIF($C$73:$C$101,$C198,AO$73:AO$101)-SUMIF($C$106:$C$134,$C198,AO$106:AO$134)</f>
        <v/>
      </c>
      <c r="AP198" s="863">
        <f>SUMIF($C$73:$C$101,$C198,AP$73:AP$101)-SUMIF($C$106:$C$134,$C198,AP$106:AP$134)</f>
        <v/>
      </c>
      <c r="AQ198" s="863">
        <f>SUMIF($C$73:$C$101,$C198,AQ$73:AQ$101)-SUMIF($C$106:$C$134,$C198,AQ$106:AQ$134)</f>
        <v/>
      </c>
      <c r="AR198" s="863">
        <f>SUMIF($C$73:$C$101,$C198,AR$73:AR$101)-SUMIF($C$106:$C$134,$C198,AR$106:AR$134)</f>
        <v/>
      </c>
      <c r="AS198" s="863">
        <f>SUMIF($C$73:$C$101,$C198,AS$73:AS$101)-SUMIF($C$106:$C$134,$C198,AS$106:AS$134)</f>
        <v/>
      </c>
      <c r="AT198" s="863">
        <f>SUMIF($C$73:$C$101,$C198,AT$73:AT$101)-SUMIF($C$106:$C$134,$C198,AT$106:AT$134)</f>
        <v/>
      </c>
      <c r="AU198" s="863">
        <f>SUMIF($C$73:$C$101,$C198,AU$73:AU$101)-SUMIF($C$106:$C$134,$C198,AU$106:AU$134)</f>
        <v/>
      </c>
      <c r="AV198" s="863">
        <f>SUMIF($C$73:$C$101,$C198,AV$73:AV$101)-SUMIF($C$106:$C$134,$C198,AV$106:AV$134)</f>
        <v/>
      </c>
      <c r="AW198" s="863">
        <f>SUMIF($C$73:$C$101,$C198,AW$73:AW$101)-SUMIF($C$106:$C$134,$C198,AW$106:AW$134)</f>
        <v/>
      </c>
      <c r="AX198" s="863">
        <f>SUMIF($C$73:$C$101,$C198,AX$73:AX$101)-SUMIF($C$106:$C$134,$C198,AX$106:AX$134)</f>
        <v/>
      </c>
      <c r="AY198" s="863">
        <f>SUMIF($C$73:$C$101,$C198,AY$73:AY$101)-SUMIF($C$106:$C$134,$C198,AY$106:AY$134)</f>
        <v/>
      </c>
    </row>
    <row r="199" ht="17.25" customFormat="1" customHeight="1" s="85" thickBot="1" thickTop="1">
      <c r="A199" s="96" t="n"/>
      <c r="B199" s="83">
        <f>'Scale Calculation'!C11</f>
        <v/>
      </c>
      <c r="C199" s="335" t="inlineStr">
        <is>
          <t>Non-Federally Guaranteed Student Loans</t>
        </is>
      </c>
      <c r="D199" s="863">
        <f>SUMIF($C$73:$C$101,$C199,D$73:D$101)-SUMIF($C$106:$C$134,$C199,D$106:D$134)</f>
        <v/>
      </c>
      <c r="E199" s="863">
        <f>SUMIF($C$73:$C$101,$C199,E$73:E$101)-SUMIF($C$106:$C$134,$C199,E$106:E$134)</f>
        <v/>
      </c>
      <c r="F199" s="863">
        <f>SUMIF($C$73:$C$101,$C199,F$73:F$101)-SUMIF($C$106:$C$134,$C199,F$106:F$134)</f>
        <v/>
      </c>
      <c r="G199" s="863">
        <f>SUMIF($C$73:$C$101,$C199,G$73:G$101)-SUMIF($C$106:$C$134,$C199,G$106:G$134)</f>
        <v/>
      </c>
      <c r="H199" s="863">
        <f>SUMIF($C$73:$C$101,$C199,H$73:H$101)-SUMIF($C$106:$C$134,$C199,H$106:H$134)</f>
        <v/>
      </c>
      <c r="I199" s="863">
        <f>SUMIF($C$73:$C$101,$C199,I$73:I$101)-SUMIF($C$106:$C$134,$C199,I$106:I$134)</f>
        <v/>
      </c>
      <c r="J199" s="863">
        <f>SUMIF($C$73:$C$101,$C199,J$73:J$101)-SUMIF($C$106:$C$134,$C199,J$106:J$134)</f>
        <v/>
      </c>
      <c r="K199" s="863">
        <f>SUMIF($C$73:$C$101,$C199,K$73:K$101)-SUMIF($C$106:$C$134,$C199,K$106:K$134)</f>
        <v/>
      </c>
      <c r="L199" s="863">
        <f>SUMIF($C$73:$C$101,$C199,L$73:L$101)-SUMIF($C$106:$C$134,$C199,L$106:L$134)</f>
        <v/>
      </c>
      <c r="M199" s="863">
        <f>SUMIF($C$73:$C$101,$C199,M$73:M$101)-SUMIF($C$106:$C$134,$C199,M$106:M$134)</f>
        <v/>
      </c>
      <c r="N199" s="863">
        <f>SUMIF($C$73:$C$101,$C199,N$73:N$101)-SUMIF($C$106:$C$134,$C199,N$106:N$134)</f>
        <v/>
      </c>
      <c r="O199" s="863">
        <f>SUMIF($C$73:$C$101,$C199,O$73:O$101)-SUMIF($C$106:$C$134,$C199,O$106:O$134)</f>
        <v/>
      </c>
      <c r="P199" s="863">
        <f>SUMIF($C$73:$C$101,$C199,P$73:P$101)-SUMIF($C$106:$C$134,$C199,P$106:P$134)</f>
        <v/>
      </c>
      <c r="Q199" s="863">
        <f>SUMIF($C$73:$C$101,$C199,Q$73:Q$101)-SUMIF($C$106:$C$134,$C199,Q$106:Q$134)</f>
        <v/>
      </c>
      <c r="R199" s="863">
        <f>SUMIF($C$73:$C$101,$C199,R$73:R$101)-SUMIF($C$106:$C$134,$C199,R$106:R$134)</f>
        <v/>
      </c>
      <c r="S199" s="863">
        <f>SUMIF($C$73:$C$101,$C199,S$73:S$101)-SUMIF($C$106:$C$134,$C199,S$106:S$134)</f>
        <v/>
      </c>
      <c r="T199" s="863">
        <f>SUMIF($C$73:$C$101,$C199,T$73:T$101)-SUMIF($C$106:$C$134,$C199,T$106:T$134)</f>
        <v/>
      </c>
      <c r="U199" s="863">
        <f>SUMIF($C$73:$C$101,$C199,U$73:U$101)-SUMIF($C$106:$C$134,$C199,U$106:U$134)</f>
        <v/>
      </c>
      <c r="V199" s="863">
        <f>SUMIF($C$73:$C$101,$C199,V$73:V$101)-SUMIF($C$106:$C$134,$C199,V$106:V$134)</f>
        <v/>
      </c>
      <c r="W199" s="863">
        <f>SUMIF($C$73:$C$101,$C199,W$73:W$101)-SUMIF($C$106:$C$134,$C199,W$106:W$134)</f>
        <v/>
      </c>
      <c r="X199" s="863">
        <f>SUMIF($C$73:$C$101,$C199,X$73:X$101)-SUMIF($C$106:$C$134,$C199,X$106:X$134)</f>
        <v/>
      </c>
      <c r="Y199" s="863">
        <f>SUMIF($C$73:$C$101,$C199,Y$73:Y$101)-SUMIF($C$106:$C$134,$C199,Y$106:Y$134)</f>
        <v/>
      </c>
      <c r="Z199" s="863">
        <f>SUMIF($C$73:$C$101,$C199,Z$73:Z$101)-SUMIF($C$106:$C$134,$C199,Z$106:Z$134)</f>
        <v/>
      </c>
      <c r="AA199" s="863">
        <f>SUMIF($C$73:$C$101,$C199,AA$73:AA$101)-SUMIF($C$106:$C$134,$C199,AA$106:AA$134)</f>
        <v/>
      </c>
      <c r="AB199" s="863">
        <f>SUMIF($C$73:$C$101,$C199,AB$73:AB$101)-SUMIF($C$106:$C$134,$C199,AB$106:AB$134)</f>
        <v/>
      </c>
      <c r="AC199" s="863">
        <f>SUMIF($C$73:$C$101,$C199,AC$73:AC$101)-SUMIF($C$106:$C$134,$C199,AC$106:AC$134)</f>
        <v/>
      </c>
      <c r="AD199" s="863">
        <f>SUMIF($C$73:$C$101,$C199,AD$73:AD$101)-SUMIF($C$106:$C$134,$C199,AD$106:AD$134)</f>
        <v/>
      </c>
      <c r="AE199" s="863">
        <f>SUMIF($C$73:$C$101,$C199,AE$73:AE$101)-SUMIF($C$106:$C$134,$C199,AE$106:AE$134)</f>
        <v/>
      </c>
      <c r="AF199" s="863">
        <f>SUMIF($C$73:$C$101,$C199,AF$73:AF$101)-SUMIF($C$106:$C$134,$C199,AF$106:AF$134)</f>
        <v/>
      </c>
      <c r="AG199" s="863">
        <f>SUMIF($C$73:$C$101,$C199,AG$73:AG$101)-SUMIF($C$106:$C$134,$C199,AG$106:AG$134)</f>
        <v/>
      </c>
      <c r="AH199" s="863">
        <f>SUMIF($C$73:$C$101,$C199,AH$73:AH$101)-SUMIF($C$106:$C$134,$C199,AH$106:AH$134)</f>
        <v/>
      </c>
      <c r="AI199" s="863">
        <f>SUMIF($C$73:$C$101,$C199,AI$73:AI$101)-SUMIF($C$106:$C$134,$C199,AI$106:AI$134)</f>
        <v/>
      </c>
      <c r="AJ199" s="863">
        <f>SUMIF($C$73:$C$101,$C199,AJ$73:AJ$101)-SUMIF($C$106:$C$134,$C199,AJ$106:AJ$134)</f>
        <v/>
      </c>
      <c r="AK199" s="863">
        <f>SUMIF($C$73:$C$101,$C199,AK$73:AK$101)-SUMIF($C$106:$C$134,$C199,AK$106:AK$134)</f>
        <v/>
      </c>
      <c r="AL199" s="863">
        <f>SUMIF($C$73:$C$101,$C199,AL$73:AL$101)-SUMIF($C$106:$C$134,$C199,AL$106:AL$134)</f>
        <v/>
      </c>
      <c r="AM199" s="863">
        <f>SUMIF($C$73:$C$101,$C199,AM$73:AM$101)-SUMIF($C$106:$C$134,$C199,AM$106:AM$134)</f>
        <v/>
      </c>
      <c r="AN199" s="863">
        <f>SUMIF($C$73:$C$101,$C199,AN$73:AN$101)-SUMIF($C$106:$C$134,$C199,AN$106:AN$134)</f>
        <v/>
      </c>
      <c r="AO199" s="863">
        <f>SUMIF($C$73:$C$101,$C199,AO$73:AO$101)-SUMIF($C$106:$C$134,$C199,AO$106:AO$134)</f>
        <v/>
      </c>
      <c r="AP199" s="863">
        <f>SUMIF($C$73:$C$101,$C199,AP$73:AP$101)-SUMIF($C$106:$C$134,$C199,AP$106:AP$134)</f>
        <v/>
      </c>
      <c r="AQ199" s="863">
        <f>SUMIF($C$73:$C$101,$C199,AQ$73:AQ$101)-SUMIF($C$106:$C$134,$C199,AQ$106:AQ$134)</f>
        <v/>
      </c>
      <c r="AR199" s="863">
        <f>SUMIF($C$73:$C$101,$C199,AR$73:AR$101)-SUMIF($C$106:$C$134,$C199,AR$106:AR$134)</f>
        <v/>
      </c>
      <c r="AS199" s="863">
        <f>SUMIF($C$73:$C$101,$C199,AS$73:AS$101)-SUMIF($C$106:$C$134,$C199,AS$106:AS$134)</f>
        <v/>
      </c>
      <c r="AT199" s="863">
        <f>SUMIF($C$73:$C$101,$C199,AT$73:AT$101)-SUMIF($C$106:$C$134,$C199,AT$106:AT$134)</f>
        <v/>
      </c>
      <c r="AU199" s="863">
        <f>SUMIF($C$73:$C$101,$C199,AU$73:AU$101)-SUMIF($C$106:$C$134,$C199,AU$106:AU$134)</f>
        <v/>
      </c>
      <c r="AV199" s="863">
        <f>SUMIF($C$73:$C$101,$C199,AV$73:AV$101)-SUMIF($C$106:$C$134,$C199,AV$106:AV$134)</f>
        <v/>
      </c>
      <c r="AW199" s="863">
        <f>SUMIF($C$73:$C$101,$C199,AW$73:AW$101)-SUMIF($C$106:$C$134,$C199,AW$106:AW$134)</f>
        <v/>
      </c>
      <c r="AX199" s="863">
        <f>SUMIF($C$73:$C$101,$C199,AX$73:AX$101)-SUMIF($C$106:$C$134,$C199,AX$106:AX$134)</f>
        <v/>
      </c>
      <c r="AY199" s="863">
        <f>SUMIF($C$73:$C$101,$C199,AY$73:AY$101)-SUMIF($C$106:$C$134,$C199,AY$106:AY$134)</f>
        <v/>
      </c>
    </row>
    <row r="200" ht="17.25" customFormat="1" customHeight="1" s="85" thickBot="1" thickTop="1">
      <c r="A200" s="96" t="n"/>
      <c r="B200" s="83">
        <f>'Scale Calculation'!C12</f>
        <v/>
      </c>
      <c r="C200" s="335" t="inlineStr">
        <is>
          <t>All Other Unsecured Loans/Lines of Credit</t>
        </is>
      </c>
      <c r="D200" s="863">
        <f>SUMIF($C$73:$C$101,$C200,D$73:D$101)-SUMIF($C$106:$C$134,$C200,D$106:D$134)</f>
        <v/>
      </c>
      <c r="E200" s="863">
        <f>SUMIF($C$73:$C$101,$C200,E$73:E$101)-SUMIF($C$106:$C$134,$C200,E$106:E$134)</f>
        <v/>
      </c>
      <c r="F200" s="863">
        <f>SUMIF($C$73:$C$101,$C200,F$73:F$101)-SUMIF($C$106:$C$134,$C200,F$106:F$134)</f>
        <v/>
      </c>
      <c r="G200" s="863">
        <f>SUMIF($C$73:$C$101,$C200,G$73:G$101)-SUMIF($C$106:$C$134,$C200,G$106:G$134)</f>
        <v/>
      </c>
      <c r="H200" s="863">
        <f>SUMIF($C$73:$C$101,$C200,H$73:H$101)-SUMIF($C$106:$C$134,$C200,H$106:H$134)</f>
        <v/>
      </c>
      <c r="I200" s="863">
        <f>SUMIF($C$73:$C$101,$C200,I$73:I$101)-SUMIF($C$106:$C$134,$C200,I$106:I$134)</f>
        <v/>
      </c>
      <c r="J200" s="863">
        <f>SUMIF($C$73:$C$101,$C200,J$73:J$101)-SUMIF($C$106:$C$134,$C200,J$106:J$134)</f>
        <v/>
      </c>
      <c r="K200" s="863">
        <f>SUMIF($C$73:$C$101,$C200,K$73:K$101)-SUMIF($C$106:$C$134,$C200,K$106:K$134)</f>
        <v/>
      </c>
      <c r="L200" s="863">
        <f>SUMIF($C$73:$C$101,$C200,L$73:L$101)-SUMIF($C$106:$C$134,$C200,L$106:L$134)</f>
        <v/>
      </c>
      <c r="M200" s="863">
        <f>SUMIF($C$73:$C$101,$C200,M$73:M$101)-SUMIF($C$106:$C$134,$C200,M$106:M$134)</f>
        <v/>
      </c>
      <c r="N200" s="863">
        <f>SUMIF($C$73:$C$101,$C200,N$73:N$101)-SUMIF($C$106:$C$134,$C200,N$106:N$134)</f>
        <v/>
      </c>
      <c r="O200" s="863">
        <f>SUMIF($C$73:$C$101,$C200,O$73:O$101)-SUMIF($C$106:$C$134,$C200,O$106:O$134)</f>
        <v/>
      </c>
      <c r="P200" s="863">
        <f>SUMIF($C$73:$C$101,$C200,P$73:P$101)-SUMIF($C$106:$C$134,$C200,P$106:P$134)</f>
        <v/>
      </c>
      <c r="Q200" s="863">
        <f>SUMIF($C$73:$C$101,$C200,Q$73:Q$101)-SUMIF($C$106:$C$134,$C200,Q$106:Q$134)</f>
        <v/>
      </c>
      <c r="R200" s="863">
        <f>SUMIF($C$73:$C$101,$C200,R$73:R$101)-SUMIF($C$106:$C$134,$C200,R$106:R$134)</f>
        <v/>
      </c>
      <c r="S200" s="863">
        <f>SUMIF($C$73:$C$101,$C200,S$73:S$101)-SUMIF($C$106:$C$134,$C200,S$106:S$134)</f>
        <v/>
      </c>
      <c r="T200" s="863">
        <f>SUMIF($C$73:$C$101,$C200,T$73:T$101)-SUMIF($C$106:$C$134,$C200,T$106:T$134)</f>
        <v/>
      </c>
      <c r="U200" s="863">
        <f>SUMIF($C$73:$C$101,$C200,U$73:U$101)-SUMIF($C$106:$C$134,$C200,U$106:U$134)</f>
        <v/>
      </c>
      <c r="V200" s="863">
        <f>SUMIF($C$73:$C$101,$C200,V$73:V$101)-SUMIF($C$106:$C$134,$C200,V$106:V$134)</f>
        <v/>
      </c>
      <c r="W200" s="863">
        <f>SUMIF($C$73:$C$101,$C200,W$73:W$101)-SUMIF($C$106:$C$134,$C200,W$106:W$134)</f>
        <v/>
      </c>
      <c r="X200" s="863">
        <f>SUMIF($C$73:$C$101,$C200,X$73:X$101)-SUMIF($C$106:$C$134,$C200,X$106:X$134)</f>
        <v/>
      </c>
      <c r="Y200" s="863">
        <f>SUMIF($C$73:$C$101,$C200,Y$73:Y$101)-SUMIF($C$106:$C$134,$C200,Y$106:Y$134)</f>
        <v/>
      </c>
      <c r="Z200" s="863">
        <f>SUMIF($C$73:$C$101,$C200,Z$73:Z$101)-SUMIF($C$106:$C$134,$C200,Z$106:Z$134)</f>
        <v/>
      </c>
      <c r="AA200" s="863">
        <f>SUMIF($C$73:$C$101,$C200,AA$73:AA$101)-SUMIF($C$106:$C$134,$C200,AA$106:AA$134)</f>
        <v/>
      </c>
      <c r="AB200" s="863">
        <f>SUMIF($C$73:$C$101,$C200,AB$73:AB$101)-SUMIF($C$106:$C$134,$C200,AB$106:AB$134)</f>
        <v/>
      </c>
      <c r="AC200" s="863">
        <f>SUMIF($C$73:$C$101,$C200,AC$73:AC$101)-SUMIF($C$106:$C$134,$C200,AC$106:AC$134)</f>
        <v/>
      </c>
      <c r="AD200" s="863">
        <f>SUMIF($C$73:$C$101,$C200,AD$73:AD$101)-SUMIF($C$106:$C$134,$C200,AD$106:AD$134)</f>
        <v/>
      </c>
      <c r="AE200" s="863">
        <f>SUMIF($C$73:$C$101,$C200,AE$73:AE$101)-SUMIF($C$106:$C$134,$C200,AE$106:AE$134)</f>
        <v/>
      </c>
      <c r="AF200" s="863">
        <f>SUMIF($C$73:$C$101,$C200,AF$73:AF$101)-SUMIF($C$106:$C$134,$C200,AF$106:AF$134)</f>
        <v/>
      </c>
      <c r="AG200" s="863">
        <f>SUMIF($C$73:$C$101,$C200,AG$73:AG$101)-SUMIF($C$106:$C$134,$C200,AG$106:AG$134)</f>
        <v/>
      </c>
      <c r="AH200" s="863">
        <f>SUMIF($C$73:$C$101,$C200,AH$73:AH$101)-SUMIF($C$106:$C$134,$C200,AH$106:AH$134)</f>
        <v/>
      </c>
      <c r="AI200" s="863">
        <f>SUMIF($C$73:$C$101,$C200,AI$73:AI$101)-SUMIF($C$106:$C$134,$C200,AI$106:AI$134)</f>
        <v/>
      </c>
      <c r="AJ200" s="863">
        <f>SUMIF($C$73:$C$101,$C200,AJ$73:AJ$101)-SUMIF($C$106:$C$134,$C200,AJ$106:AJ$134)</f>
        <v/>
      </c>
      <c r="AK200" s="863">
        <f>SUMIF($C$73:$C$101,$C200,AK$73:AK$101)-SUMIF($C$106:$C$134,$C200,AK$106:AK$134)</f>
        <v/>
      </c>
      <c r="AL200" s="863">
        <f>SUMIF($C$73:$C$101,$C200,AL$73:AL$101)-SUMIF($C$106:$C$134,$C200,AL$106:AL$134)</f>
        <v/>
      </c>
      <c r="AM200" s="863">
        <f>SUMIF($C$73:$C$101,$C200,AM$73:AM$101)-SUMIF($C$106:$C$134,$C200,AM$106:AM$134)</f>
        <v/>
      </c>
      <c r="AN200" s="863">
        <f>SUMIF($C$73:$C$101,$C200,AN$73:AN$101)-SUMIF($C$106:$C$134,$C200,AN$106:AN$134)</f>
        <v/>
      </c>
      <c r="AO200" s="863">
        <f>SUMIF($C$73:$C$101,$C200,AO$73:AO$101)-SUMIF($C$106:$C$134,$C200,AO$106:AO$134)</f>
        <v/>
      </c>
      <c r="AP200" s="863">
        <f>SUMIF($C$73:$C$101,$C200,AP$73:AP$101)-SUMIF($C$106:$C$134,$C200,AP$106:AP$134)</f>
        <v/>
      </c>
      <c r="AQ200" s="863">
        <f>SUMIF($C$73:$C$101,$C200,AQ$73:AQ$101)-SUMIF($C$106:$C$134,$C200,AQ$106:AQ$134)</f>
        <v/>
      </c>
      <c r="AR200" s="863">
        <f>SUMIF($C$73:$C$101,$C200,AR$73:AR$101)-SUMIF($C$106:$C$134,$C200,AR$106:AR$134)</f>
        <v/>
      </c>
      <c r="AS200" s="863">
        <f>SUMIF($C$73:$C$101,$C200,AS$73:AS$101)-SUMIF($C$106:$C$134,$C200,AS$106:AS$134)</f>
        <v/>
      </c>
      <c r="AT200" s="863">
        <f>SUMIF($C$73:$C$101,$C200,AT$73:AT$101)-SUMIF($C$106:$C$134,$C200,AT$106:AT$134)</f>
        <v/>
      </c>
      <c r="AU200" s="863">
        <f>SUMIF($C$73:$C$101,$C200,AU$73:AU$101)-SUMIF($C$106:$C$134,$C200,AU$106:AU$134)</f>
        <v/>
      </c>
      <c r="AV200" s="863">
        <f>SUMIF($C$73:$C$101,$C200,AV$73:AV$101)-SUMIF($C$106:$C$134,$C200,AV$106:AV$134)</f>
        <v/>
      </c>
      <c r="AW200" s="863">
        <f>SUMIF($C$73:$C$101,$C200,AW$73:AW$101)-SUMIF($C$106:$C$134,$C200,AW$106:AW$134)</f>
        <v/>
      </c>
      <c r="AX200" s="863">
        <f>SUMIF($C$73:$C$101,$C200,AX$73:AX$101)-SUMIF($C$106:$C$134,$C200,AX$106:AX$134)</f>
        <v/>
      </c>
      <c r="AY200" s="863">
        <f>SUMIF($C$73:$C$101,$C200,AY$73:AY$101)-SUMIF($C$106:$C$134,$C200,AY$106:AY$134)</f>
        <v/>
      </c>
    </row>
    <row r="201" ht="17.25" customFormat="1" customHeight="1" s="85" thickBot="1" thickTop="1">
      <c r="A201" s="96" t="n"/>
      <c r="B201" s="83">
        <f>'Scale Calculation'!C13</f>
        <v/>
      </c>
      <c r="C201" s="335" t="inlineStr">
        <is>
          <t>New Vehicle Loans</t>
        </is>
      </c>
      <c r="D201" s="863">
        <f>SUMIF($C$73:$C$101,$C201,D$73:D$101)-SUMIF($C$106:$C$134,$C201,D$106:D$134)</f>
        <v/>
      </c>
      <c r="E201" s="863">
        <f>SUMIF($C$73:$C$101,$C201,E$73:E$101)-SUMIF($C$106:$C$134,$C201,E$106:E$134)</f>
        <v/>
      </c>
      <c r="F201" s="863">
        <f>SUMIF($C$73:$C$101,$C201,F$73:F$101)-SUMIF($C$106:$C$134,$C201,F$106:F$134)</f>
        <v/>
      </c>
      <c r="G201" s="863">
        <f>SUMIF($C$73:$C$101,$C201,G$73:G$101)-SUMIF($C$106:$C$134,$C201,G$106:G$134)</f>
        <v/>
      </c>
      <c r="H201" s="863">
        <f>SUMIF($C$73:$C$101,$C201,H$73:H$101)-SUMIF($C$106:$C$134,$C201,H$106:H$134)</f>
        <v/>
      </c>
      <c r="I201" s="863">
        <f>SUMIF($C$73:$C$101,$C201,I$73:I$101)-SUMIF($C$106:$C$134,$C201,I$106:I$134)</f>
        <v/>
      </c>
      <c r="J201" s="863">
        <f>SUMIF($C$73:$C$101,$C201,J$73:J$101)-SUMIF($C$106:$C$134,$C201,J$106:J$134)</f>
        <v/>
      </c>
      <c r="K201" s="863">
        <f>SUMIF($C$73:$C$101,$C201,K$73:K$101)-SUMIF($C$106:$C$134,$C201,K$106:K$134)</f>
        <v/>
      </c>
      <c r="L201" s="863">
        <f>SUMIF($C$73:$C$101,$C201,L$73:L$101)-SUMIF($C$106:$C$134,$C201,L$106:L$134)</f>
        <v/>
      </c>
      <c r="M201" s="863">
        <f>SUMIF($C$73:$C$101,$C201,M$73:M$101)-SUMIF($C$106:$C$134,$C201,M$106:M$134)</f>
        <v/>
      </c>
      <c r="N201" s="863">
        <f>SUMIF($C$73:$C$101,$C201,N$73:N$101)-SUMIF($C$106:$C$134,$C201,N$106:N$134)</f>
        <v/>
      </c>
      <c r="O201" s="863">
        <f>SUMIF($C$73:$C$101,$C201,O$73:O$101)-SUMIF($C$106:$C$134,$C201,O$106:O$134)</f>
        <v/>
      </c>
      <c r="P201" s="863">
        <f>SUMIF($C$73:$C$101,$C201,P$73:P$101)-SUMIF($C$106:$C$134,$C201,P$106:P$134)</f>
        <v/>
      </c>
      <c r="Q201" s="863">
        <f>SUMIF($C$73:$C$101,$C201,Q$73:Q$101)-SUMIF($C$106:$C$134,$C201,Q$106:Q$134)</f>
        <v/>
      </c>
      <c r="R201" s="863">
        <f>SUMIF($C$73:$C$101,$C201,R$73:R$101)-SUMIF($C$106:$C$134,$C201,R$106:R$134)</f>
        <v/>
      </c>
      <c r="S201" s="863">
        <f>SUMIF($C$73:$C$101,$C201,S$73:S$101)-SUMIF($C$106:$C$134,$C201,S$106:S$134)</f>
        <v/>
      </c>
      <c r="T201" s="863">
        <f>SUMIF($C$73:$C$101,$C201,T$73:T$101)-SUMIF($C$106:$C$134,$C201,T$106:T$134)</f>
        <v/>
      </c>
      <c r="U201" s="863">
        <f>SUMIF($C$73:$C$101,$C201,U$73:U$101)-SUMIF($C$106:$C$134,$C201,U$106:U$134)</f>
        <v/>
      </c>
      <c r="V201" s="863">
        <f>SUMIF($C$73:$C$101,$C201,V$73:V$101)-SUMIF($C$106:$C$134,$C201,V$106:V$134)</f>
        <v/>
      </c>
      <c r="W201" s="863">
        <f>SUMIF($C$73:$C$101,$C201,W$73:W$101)-SUMIF($C$106:$C$134,$C201,W$106:W$134)</f>
        <v/>
      </c>
      <c r="X201" s="863">
        <f>SUMIF($C$73:$C$101,$C201,X$73:X$101)-SUMIF($C$106:$C$134,$C201,X$106:X$134)</f>
        <v/>
      </c>
      <c r="Y201" s="863">
        <f>SUMIF($C$73:$C$101,$C201,Y$73:Y$101)-SUMIF($C$106:$C$134,$C201,Y$106:Y$134)</f>
        <v/>
      </c>
      <c r="Z201" s="863">
        <f>SUMIF($C$73:$C$101,$C201,Z$73:Z$101)-SUMIF($C$106:$C$134,$C201,Z$106:Z$134)</f>
        <v/>
      </c>
      <c r="AA201" s="863">
        <f>SUMIF($C$73:$C$101,$C201,AA$73:AA$101)-SUMIF($C$106:$C$134,$C201,AA$106:AA$134)</f>
        <v/>
      </c>
      <c r="AB201" s="863">
        <f>SUMIF($C$73:$C$101,$C201,AB$73:AB$101)-SUMIF($C$106:$C$134,$C201,AB$106:AB$134)</f>
        <v/>
      </c>
      <c r="AC201" s="863">
        <f>SUMIF($C$73:$C$101,$C201,AC$73:AC$101)-SUMIF($C$106:$C$134,$C201,AC$106:AC$134)</f>
        <v/>
      </c>
      <c r="AD201" s="863">
        <f>SUMIF($C$73:$C$101,$C201,AD$73:AD$101)-SUMIF($C$106:$C$134,$C201,AD$106:AD$134)</f>
        <v/>
      </c>
      <c r="AE201" s="863">
        <f>SUMIF($C$73:$C$101,$C201,AE$73:AE$101)-SUMIF($C$106:$C$134,$C201,AE$106:AE$134)</f>
        <v/>
      </c>
      <c r="AF201" s="863">
        <f>SUMIF($C$73:$C$101,$C201,AF$73:AF$101)-SUMIF($C$106:$C$134,$C201,AF$106:AF$134)</f>
        <v/>
      </c>
      <c r="AG201" s="863">
        <f>SUMIF($C$73:$C$101,$C201,AG$73:AG$101)-SUMIF($C$106:$C$134,$C201,AG$106:AG$134)</f>
        <v/>
      </c>
      <c r="AH201" s="863">
        <f>SUMIF($C$73:$C$101,$C201,AH$73:AH$101)-SUMIF($C$106:$C$134,$C201,AH$106:AH$134)</f>
        <v/>
      </c>
      <c r="AI201" s="863">
        <f>SUMIF($C$73:$C$101,$C201,AI$73:AI$101)-SUMIF($C$106:$C$134,$C201,AI$106:AI$134)</f>
        <v/>
      </c>
      <c r="AJ201" s="863">
        <f>SUMIF($C$73:$C$101,$C201,AJ$73:AJ$101)-SUMIF($C$106:$C$134,$C201,AJ$106:AJ$134)</f>
        <v/>
      </c>
      <c r="AK201" s="863">
        <f>SUMIF($C$73:$C$101,$C201,AK$73:AK$101)-SUMIF($C$106:$C$134,$C201,AK$106:AK$134)</f>
        <v/>
      </c>
      <c r="AL201" s="863">
        <f>SUMIF($C$73:$C$101,$C201,AL$73:AL$101)-SUMIF($C$106:$C$134,$C201,AL$106:AL$134)</f>
        <v/>
      </c>
      <c r="AM201" s="863">
        <f>SUMIF($C$73:$C$101,$C201,AM$73:AM$101)-SUMIF($C$106:$C$134,$C201,AM$106:AM$134)</f>
        <v/>
      </c>
      <c r="AN201" s="863">
        <f>SUMIF($C$73:$C$101,$C201,AN$73:AN$101)-SUMIF($C$106:$C$134,$C201,AN$106:AN$134)</f>
        <v/>
      </c>
      <c r="AO201" s="863">
        <f>SUMIF($C$73:$C$101,$C201,AO$73:AO$101)-SUMIF($C$106:$C$134,$C201,AO$106:AO$134)</f>
        <v/>
      </c>
      <c r="AP201" s="863">
        <f>SUMIF($C$73:$C$101,$C201,AP$73:AP$101)-SUMIF($C$106:$C$134,$C201,AP$106:AP$134)</f>
        <v/>
      </c>
      <c r="AQ201" s="863">
        <f>SUMIF($C$73:$C$101,$C201,AQ$73:AQ$101)-SUMIF($C$106:$C$134,$C201,AQ$106:AQ$134)</f>
        <v/>
      </c>
      <c r="AR201" s="863">
        <f>SUMIF($C$73:$C$101,$C201,AR$73:AR$101)-SUMIF($C$106:$C$134,$C201,AR$106:AR$134)</f>
        <v/>
      </c>
      <c r="AS201" s="863">
        <f>SUMIF($C$73:$C$101,$C201,AS$73:AS$101)-SUMIF($C$106:$C$134,$C201,AS$106:AS$134)</f>
        <v/>
      </c>
      <c r="AT201" s="863">
        <f>SUMIF($C$73:$C$101,$C201,AT$73:AT$101)-SUMIF($C$106:$C$134,$C201,AT$106:AT$134)</f>
        <v/>
      </c>
      <c r="AU201" s="863">
        <f>SUMIF($C$73:$C$101,$C201,AU$73:AU$101)-SUMIF($C$106:$C$134,$C201,AU$106:AU$134)</f>
        <v/>
      </c>
      <c r="AV201" s="863">
        <f>SUMIF($C$73:$C$101,$C201,AV$73:AV$101)-SUMIF($C$106:$C$134,$C201,AV$106:AV$134)</f>
        <v/>
      </c>
      <c r="AW201" s="863">
        <f>SUMIF($C$73:$C$101,$C201,AW$73:AW$101)-SUMIF($C$106:$C$134,$C201,AW$106:AW$134)</f>
        <v/>
      </c>
      <c r="AX201" s="863">
        <f>SUMIF($C$73:$C$101,$C201,AX$73:AX$101)-SUMIF($C$106:$C$134,$C201,AX$106:AX$134)</f>
        <v/>
      </c>
      <c r="AY201" s="863">
        <f>SUMIF($C$73:$C$101,$C201,AY$73:AY$101)-SUMIF($C$106:$C$134,$C201,AY$106:AY$134)</f>
        <v/>
      </c>
    </row>
    <row r="202" ht="17.25" customFormat="1" customHeight="1" s="85" thickBot="1" thickTop="1">
      <c r="A202" s="96" t="n"/>
      <c r="B202" s="83">
        <f>'Scale Calculation'!C14</f>
        <v/>
      </c>
      <c r="C202" s="335" t="inlineStr">
        <is>
          <t>Used Vehicle Loans</t>
        </is>
      </c>
      <c r="D202" s="863">
        <f>SUMIF($C$73:$C$101,$C202,D$73:D$101)-SUMIF($C$106:$C$134,$C202,D$106:D$134)</f>
        <v/>
      </c>
      <c r="E202" s="863">
        <f>SUMIF($C$73:$C$101,$C202,E$73:E$101)-SUMIF($C$106:$C$134,$C202,E$106:E$134)</f>
        <v/>
      </c>
      <c r="F202" s="863">
        <f>SUMIF($C$73:$C$101,$C202,F$73:F$101)-SUMIF($C$106:$C$134,$C202,F$106:F$134)</f>
        <v/>
      </c>
      <c r="G202" s="863">
        <f>SUMIF($C$73:$C$101,$C202,G$73:G$101)-SUMIF($C$106:$C$134,$C202,G$106:G$134)</f>
        <v/>
      </c>
      <c r="H202" s="863">
        <f>SUMIF($C$73:$C$101,$C202,H$73:H$101)-SUMIF($C$106:$C$134,$C202,H$106:H$134)</f>
        <v/>
      </c>
      <c r="I202" s="863">
        <f>SUMIF($C$73:$C$101,$C202,I$73:I$101)-SUMIF($C$106:$C$134,$C202,I$106:I$134)</f>
        <v/>
      </c>
      <c r="J202" s="863">
        <f>SUMIF($C$73:$C$101,$C202,J$73:J$101)-SUMIF($C$106:$C$134,$C202,J$106:J$134)</f>
        <v/>
      </c>
      <c r="K202" s="863">
        <f>SUMIF($C$73:$C$101,$C202,K$73:K$101)-SUMIF($C$106:$C$134,$C202,K$106:K$134)</f>
        <v/>
      </c>
      <c r="L202" s="863">
        <f>SUMIF($C$73:$C$101,$C202,L$73:L$101)-SUMIF($C$106:$C$134,$C202,L$106:L$134)</f>
        <v/>
      </c>
      <c r="M202" s="863">
        <f>SUMIF($C$73:$C$101,$C202,M$73:M$101)-SUMIF($C$106:$C$134,$C202,M$106:M$134)</f>
        <v/>
      </c>
      <c r="N202" s="863">
        <f>SUMIF($C$73:$C$101,$C202,N$73:N$101)-SUMIF($C$106:$C$134,$C202,N$106:N$134)</f>
        <v/>
      </c>
      <c r="O202" s="863">
        <f>SUMIF($C$73:$C$101,$C202,O$73:O$101)-SUMIF($C$106:$C$134,$C202,O$106:O$134)</f>
        <v/>
      </c>
      <c r="P202" s="863">
        <f>SUMIF($C$73:$C$101,$C202,P$73:P$101)-SUMIF($C$106:$C$134,$C202,P$106:P$134)</f>
        <v/>
      </c>
      <c r="Q202" s="863">
        <f>SUMIF($C$73:$C$101,$C202,Q$73:Q$101)-SUMIF($C$106:$C$134,$C202,Q$106:Q$134)</f>
        <v/>
      </c>
      <c r="R202" s="863">
        <f>SUMIF($C$73:$C$101,$C202,R$73:R$101)-SUMIF($C$106:$C$134,$C202,R$106:R$134)</f>
        <v/>
      </c>
      <c r="S202" s="863">
        <f>SUMIF($C$73:$C$101,$C202,S$73:S$101)-SUMIF($C$106:$C$134,$C202,S$106:S$134)</f>
        <v/>
      </c>
      <c r="T202" s="863">
        <f>SUMIF($C$73:$C$101,$C202,T$73:T$101)-SUMIF($C$106:$C$134,$C202,T$106:T$134)</f>
        <v/>
      </c>
      <c r="U202" s="863">
        <f>SUMIF($C$73:$C$101,$C202,U$73:U$101)-SUMIF($C$106:$C$134,$C202,U$106:U$134)</f>
        <v/>
      </c>
      <c r="V202" s="863">
        <f>SUMIF($C$73:$C$101,$C202,V$73:V$101)-SUMIF($C$106:$C$134,$C202,V$106:V$134)</f>
        <v/>
      </c>
      <c r="W202" s="863">
        <f>SUMIF($C$73:$C$101,$C202,W$73:W$101)-SUMIF($C$106:$C$134,$C202,W$106:W$134)</f>
        <v/>
      </c>
      <c r="X202" s="863">
        <f>SUMIF($C$73:$C$101,$C202,X$73:X$101)-SUMIF($C$106:$C$134,$C202,X$106:X$134)</f>
        <v/>
      </c>
      <c r="Y202" s="863">
        <f>SUMIF($C$73:$C$101,$C202,Y$73:Y$101)-SUMIF($C$106:$C$134,$C202,Y$106:Y$134)</f>
        <v/>
      </c>
      <c r="Z202" s="863">
        <f>SUMIF($C$73:$C$101,$C202,Z$73:Z$101)-SUMIF($C$106:$C$134,$C202,Z$106:Z$134)</f>
        <v/>
      </c>
      <c r="AA202" s="863">
        <f>SUMIF($C$73:$C$101,$C202,AA$73:AA$101)-SUMIF($C$106:$C$134,$C202,AA$106:AA$134)</f>
        <v/>
      </c>
      <c r="AB202" s="863">
        <f>SUMIF($C$73:$C$101,$C202,AB$73:AB$101)-SUMIF($C$106:$C$134,$C202,AB$106:AB$134)</f>
        <v/>
      </c>
      <c r="AC202" s="863">
        <f>SUMIF($C$73:$C$101,$C202,AC$73:AC$101)-SUMIF($C$106:$C$134,$C202,AC$106:AC$134)</f>
        <v/>
      </c>
      <c r="AD202" s="863">
        <f>SUMIF($C$73:$C$101,$C202,AD$73:AD$101)-SUMIF($C$106:$C$134,$C202,AD$106:AD$134)</f>
        <v/>
      </c>
      <c r="AE202" s="863">
        <f>SUMIF($C$73:$C$101,$C202,AE$73:AE$101)-SUMIF($C$106:$C$134,$C202,AE$106:AE$134)</f>
        <v/>
      </c>
      <c r="AF202" s="863">
        <f>SUMIF($C$73:$C$101,$C202,AF$73:AF$101)-SUMIF($C$106:$C$134,$C202,AF$106:AF$134)</f>
        <v/>
      </c>
      <c r="AG202" s="863">
        <f>SUMIF($C$73:$C$101,$C202,AG$73:AG$101)-SUMIF($C$106:$C$134,$C202,AG$106:AG$134)</f>
        <v/>
      </c>
      <c r="AH202" s="863">
        <f>SUMIF($C$73:$C$101,$C202,AH$73:AH$101)-SUMIF($C$106:$C$134,$C202,AH$106:AH$134)</f>
        <v/>
      </c>
      <c r="AI202" s="863">
        <f>SUMIF($C$73:$C$101,$C202,AI$73:AI$101)-SUMIF($C$106:$C$134,$C202,AI$106:AI$134)</f>
        <v/>
      </c>
      <c r="AJ202" s="863">
        <f>SUMIF($C$73:$C$101,$C202,AJ$73:AJ$101)-SUMIF($C$106:$C$134,$C202,AJ$106:AJ$134)</f>
        <v/>
      </c>
      <c r="AK202" s="863">
        <f>SUMIF($C$73:$C$101,$C202,AK$73:AK$101)-SUMIF($C$106:$C$134,$C202,AK$106:AK$134)</f>
        <v/>
      </c>
      <c r="AL202" s="863">
        <f>SUMIF($C$73:$C$101,$C202,AL$73:AL$101)-SUMIF($C$106:$C$134,$C202,AL$106:AL$134)</f>
        <v/>
      </c>
      <c r="AM202" s="863">
        <f>SUMIF($C$73:$C$101,$C202,AM$73:AM$101)-SUMIF($C$106:$C$134,$C202,AM$106:AM$134)</f>
        <v/>
      </c>
      <c r="AN202" s="863">
        <f>SUMIF($C$73:$C$101,$C202,AN$73:AN$101)-SUMIF($C$106:$C$134,$C202,AN$106:AN$134)</f>
        <v/>
      </c>
      <c r="AO202" s="863">
        <f>SUMIF($C$73:$C$101,$C202,AO$73:AO$101)-SUMIF($C$106:$C$134,$C202,AO$106:AO$134)</f>
        <v/>
      </c>
      <c r="AP202" s="863">
        <f>SUMIF($C$73:$C$101,$C202,AP$73:AP$101)-SUMIF($C$106:$C$134,$C202,AP$106:AP$134)</f>
        <v/>
      </c>
      <c r="AQ202" s="863">
        <f>SUMIF($C$73:$C$101,$C202,AQ$73:AQ$101)-SUMIF($C$106:$C$134,$C202,AQ$106:AQ$134)</f>
        <v/>
      </c>
      <c r="AR202" s="863">
        <f>SUMIF($C$73:$C$101,$C202,AR$73:AR$101)-SUMIF($C$106:$C$134,$C202,AR$106:AR$134)</f>
        <v/>
      </c>
      <c r="AS202" s="863">
        <f>SUMIF($C$73:$C$101,$C202,AS$73:AS$101)-SUMIF($C$106:$C$134,$C202,AS$106:AS$134)</f>
        <v/>
      </c>
      <c r="AT202" s="863">
        <f>SUMIF($C$73:$C$101,$C202,AT$73:AT$101)-SUMIF($C$106:$C$134,$C202,AT$106:AT$134)</f>
        <v/>
      </c>
      <c r="AU202" s="863">
        <f>SUMIF($C$73:$C$101,$C202,AU$73:AU$101)-SUMIF($C$106:$C$134,$C202,AU$106:AU$134)</f>
        <v/>
      </c>
      <c r="AV202" s="863">
        <f>SUMIF($C$73:$C$101,$C202,AV$73:AV$101)-SUMIF($C$106:$C$134,$C202,AV$106:AV$134)</f>
        <v/>
      </c>
      <c r="AW202" s="863">
        <f>SUMIF($C$73:$C$101,$C202,AW$73:AW$101)-SUMIF($C$106:$C$134,$C202,AW$106:AW$134)</f>
        <v/>
      </c>
      <c r="AX202" s="863">
        <f>SUMIF($C$73:$C$101,$C202,AX$73:AX$101)-SUMIF($C$106:$C$134,$C202,AX$106:AX$134)</f>
        <v/>
      </c>
      <c r="AY202" s="863">
        <f>SUMIF($C$73:$C$101,$C202,AY$73:AY$101)-SUMIF($C$106:$C$134,$C202,AY$106:AY$134)</f>
        <v/>
      </c>
    </row>
    <row r="203" ht="17.25" customFormat="1" customHeight="1" s="85" thickBot="1" thickTop="1">
      <c r="A203" s="96" t="n"/>
      <c r="B203" s="83">
        <f>'Scale Calculation'!C15</f>
        <v/>
      </c>
      <c r="C203" s="335" t="inlineStr">
        <is>
          <t>Leases Receivable</t>
        </is>
      </c>
      <c r="D203" s="863">
        <f>SUMIF($C$73:$C$101,$C203,D$73:D$101)-SUMIF($C$106:$C$134,$C203,D$106:D$134)</f>
        <v/>
      </c>
      <c r="E203" s="863">
        <f>SUMIF($C$73:$C$101,$C203,E$73:E$101)-SUMIF($C$106:$C$134,$C203,E$106:E$134)</f>
        <v/>
      </c>
      <c r="F203" s="863">
        <f>SUMIF($C$73:$C$101,$C203,F$73:F$101)-SUMIF($C$106:$C$134,$C203,F$106:F$134)</f>
        <v/>
      </c>
      <c r="G203" s="863">
        <f>SUMIF($C$73:$C$101,$C203,G$73:G$101)-SUMIF($C$106:$C$134,$C203,G$106:G$134)</f>
        <v/>
      </c>
      <c r="H203" s="863">
        <f>SUMIF($C$73:$C$101,$C203,H$73:H$101)-SUMIF($C$106:$C$134,$C203,H$106:H$134)</f>
        <v/>
      </c>
      <c r="I203" s="863">
        <f>SUMIF($C$73:$C$101,$C203,I$73:I$101)-SUMIF($C$106:$C$134,$C203,I$106:I$134)</f>
        <v/>
      </c>
      <c r="J203" s="863">
        <f>SUMIF($C$73:$C$101,$C203,J$73:J$101)-SUMIF($C$106:$C$134,$C203,J$106:J$134)</f>
        <v/>
      </c>
      <c r="K203" s="863">
        <f>SUMIF($C$73:$C$101,$C203,K$73:K$101)-SUMIF($C$106:$C$134,$C203,K$106:K$134)</f>
        <v/>
      </c>
      <c r="L203" s="863">
        <f>SUMIF($C$73:$C$101,$C203,L$73:L$101)-SUMIF($C$106:$C$134,$C203,L$106:L$134)</f>
        <v/>
      </c>
      <c r="M203" s="863">
        <f>SUMIF($C$73:$C$101,$C203,M$73:M$101)-SUMIF($C$106:$C$134,$C203,M$106:M$134)</f>
        <v/>
      </c>
      <c r="N203" s="863">
        <f>SUMIF($C$73:$C$101,$C203,N$73:N$101)-SUMIF($C$106:$C$134,$C203,N$106:N$134)</f>
        <v/>
      </c>
      <c r="O203" s="863">
        <f>SUMIF($C$73:$C$101,$C203,O$73:O$101)-SUMIF($C$106:$C$134,$C203,O$106:O$134)</f>
        <v/>
      </c>
      <c r="P203" s="863">
        <f>SUMIF($C$73:$C$101,$C203,P$73:P$101)-SUMIF($C$106:$C$134,$C203,P$106:P$134)</f>
        <v/>
      </c>
      <c r="Q203" s="863">
        <f>SUMIF($C$73:$C$101,$C203,Q$73:Q$101)-SUMIF($C$106:$C$134,$C203,Q$106:Q$134)</f>
        <v/>
      </c>
      <c r="R203" s="863">
        <f>SUMIF($C$73:$C$101,$C203,R$73:R$101)-SUMIF($C$106:$C$134,$C203,R$106:R$134)</f>
        <v/>
      </c>
      <c r="S203" s="863">
        <f>SUMIF($C$73:$C$101,$C203,S$73:S$101)-SUMIF($C$106:$C$134,$C203,S$106:S$134)</f>
        <v/>
      </c>
      <c r="T203" s="863">
        <f>SUMIF($C$73:$C$101,$C203,T$73:T$101)-SUMIF($C$106:$C$134,$C203,T$106:T$134)</f>
        <v/>
      </c>
      <c r="U203" s="863">
        <f>SUMIF($C$73:$C$101,$C203,U$73:U$101)-SUMIF($C$106:$C$134,$C203,U$106:U$134)</f>
        <v/>
      </c>
      <c r="V203" s="863">
        <f>SUMIF($C$73:$C$101,$C203,V$73:V$101)-SUMIF($C$106:$C$134,$C203,V$106:V$134)</f>
        <v/>
      </c>
      <c r="W203" s="863">
        <f>SUMIF($C$73:$C$101,$C203,W$73:W$101)-SUMIF($C$106:$C$134,$C203,W$106:W$134)</f>
        <v/>
      </c>
      <c r="X203" s="863">
        <f>SUMIF($C$73:$C$101,$C203,X$73:X$101)-SUMIF($C$106:$C$134,$C203,X$106:X$134)</f>
        <v/>
      </c>
      <c r="Y203" s="863">
        <f>SUMIF($C$73:$C$101,$C203,Y$73:Y$101)-SUMIF($C$106:$C$134,$C203,Y$106:Y$134)</f>
        <v/>
      </c>
      <c r="Z203" s="863">
        <f>SUMIF($C$73:$C$101,$C203,Z$73:Z$101)-SUMIF($C$106:$C$134,$C203,Z$106:Z$134)</f>
        <v/>
      </c>
      <c r="AA203" s="863">
        <f>SUMIF($C$73:$C$101,$C203,AA$73:AA$101)-SUMIF($C$106:$C$134,$C203,AA$106:AA$134)</f>
        <v/>
      </c>
      <c r="AB203" s="863">
        <f>SUMIF($C$73:$C$101,$C203,AB$73:AB$101)-SUMIF($C$106:$C$134,$C203,AB$106:AB$134)</f>
        <v/>
      </c>
      <c r="AC203" s="863">
        <f>SUMIF($C$73:$C$101,$C203,AC$73:AC$101)-SUMIF($C$106:$C$134,$C203,AC$106:AC$134)</f>
        <v/>
      </c>
      <c r="AD203" s="863">
        <f>SUMIF($C$73:$C$101,$C203,AD$73:AD$101)-SUMIF($C$106:$C$134,$C203,AD$106:AD$134)</f>
        <v/>
      </c>
      <c r="AE203" s="863">
        <f>SUMIF($C$73:$C$101,$C203,AE$73:AE$101)-SUMIF($C$106:$C$134,$C203,AE$106:AE$134)</f>
        <v/>
      </c>
      <c r="AF203" s="863">
        <f>SUMIF($C$73:$C$101,$C203,AF$73:AF$101)-SUMIF($C$106:$C$134,$C203,AF$106:AF$134)</f>
        <v/>
      </c>
      <c r="AG203" s="863">
        <f>SUMIF($C$73:$C$101,$C203,AG$73:AG$101)-SUMIF($C$106:$C$134,$C203,AG$106:AG$134)</f>
        <v/>
      </c>
      <c r="AH203" s="863">
        <f>SUMIF($C$73:$C$101,$C203,AH$73:AH$101)-SUMIF($C$106:$C$134,$C203,AH$106:AH$134)</f>
        <v/>
      </c>
      <c r="AI203" s="863">
        <f>SUMIF($C$73:$C$101,$C203,AI$73:AI$101)-SUMIF($C$106:$C$134,$C203,AI$106:AI$134)</f>
        <v/>
      </c>
      <c r="AJ203" s="863">
        <f>SUMIF($C$73:$C$101,$C203,AJ$73:AJ$101)-SUMIF($C$106:$C$134,$C203,AJ$106:AJ$134)</f>
        <v/>
      </c>
      <c r="AK203" s="863">
        <f>SUMIF($C$73:$C$101,$C203,AK$73:AK$101)-SUMIF($C$106:$C$134,$C203,AK$106:AK$134)</f>
        <v/>
      </c>
      <c r="AL203" s="863">
        <f>SUMIF($C$73:$C$101,$C203,AL$73:AL$101)-SUMIF($C$106:$C$134,$C203,AL$106:AL$134)</f>
        <v/>
      </c>
      <c r="AM203" s="863">
        <f>SUMIF($C$73:$C$101,$C203,AM$73:AM$101)-SUMIF($C$106:$C$134,$C203,AM$106:AM$134)</f>
        <v/>
      </c>
      <c r="AN203" s="863">
        <f>SUMIF($C$73:$C$101,$C203,AN$73:AN$101)-SUMIF($C$106:$C$134,$C203,AN$106:AN$134)</f>
        <v/>
      </c>
      <c r="AO203" s="863">
        <f>SUMIF($C$73:$C$101,$C203,AO$73:AO$101)-SUMIF($C$106:$C$134,$C203,AO$106:AO$134)</f>
        <v/>
      </c>
      <c r="AP203" s="863">
        <f>SUMIF($C$73:$C$101,$C203,AP$73:AP$101)-SUMIF($C$106:$C$134,$C203,AP$106:AP$134)</f>
        <v/>
      </c>
      <c r="AQ203" s="863">
        <f>SUMIF($C$73:$C$101,$C203,AQ$73:AQ$101)-SUMIF($C$106:$C$134,$C203,AQ$106:AQ$134)</f>
        <v/>
      </c>
      <c r="AR203" s="863">
        <f>SUMIF($C$73:$C$101,$C203,AR$73:AR$101)-SUMIF($C$106:$C$134,$C203,AR$106:AR$134)</f>
        <v/>
      </c>
      <c r="AS203" s="863">
        <f>SUMIF($C$73:$C$101,$C203,AS$73:AS$101)-SUMIF($C$106:$C$134,$C203,AS$106:AS$134)</f>
        <v/>
      </c>
      <c r="AT203" s="863">
        <f>SUMIF($C$73:$C$101,$C203,AT$73:AT$101)-SUMIF($C$106:$C$134,$C203,AT$106:AT$134)</f>
        <v/>
      </c>
      <c r="AU203" s="863">
        <f>SUMIF($C$73:$C$101,$C203,AU$73:AU$101)-SUMIF($C$106:$C$134,$C203,AU$106:AU$134)</f>
        <v/>
      </c>
      <c r="AV203" s="863">
        <f>SUMIF($C$73:$C$101,$C203,AV$73:AV$101)-SUMIF($C$106:$C$134,$C203,AV$106:AV$134)</f>
        <v/>
      </c>
      <c r="AW203" s="863">
        <f>SUMIF($C$73:$C$101,$C203,AW$73:AW$101)-SUMIF($C$106:$C$134,$C203,AW$106:AW$134)</f>
        <v/>
      </c>
      <c r="AX203" s="863">
        <f>SUMIF($C$73:$C$101,$C203,AX$73:AX$101)-SUMIF($C$106:$C$134,$C203,AX$106:AX$134)</f>
        <v/>
      </c>
      <c r="AY203" s="863">
        <f>SUMIF($C$73:$C$101,$C203,AY$73:AY$101)-SUMIF($C$106:$C$134,$C203,AY$106:AY$134)</f>
        <v/>
      </c>
    </row>
    <row r="204" ht="17.25" customFormat="1" customHeight="1" s="85" thickBot="1" thickTop="1">
      <c r="A204" s="96" t="n"/>
      <c r="B204" s="83">
        <f>'Scale Calculation'!C16</f>
        <v/>
      </c>
      <c r="C204" s="335" t="inlineStr">
        <is>
          <t>All Other Secured Non-Real Estate Loans/Lines of Credit</t>
        </is>
      </c>
      <c r="D204" s="863">
        <f>SUMIF($C$73:$C$101,$C204,D$73:D$101)-SUMIF($C$106:$C$134,$C204,D$106:D$134)</f>
        <v/>
      </c>
      <c r="E204" s="863">
        <f>SUMIF($C$73:$C$101,$C204,E$73:E$101)-SUMIF($C$106:$C$134,$C204,E$106:E$134)</f>
        <v/>
      </c>
      <c r="F204" s="863">
        <f>SUMIF($C$73:$C$101,$C204,F$73:F$101)-SUMIF($C$106:$C$134,$C204,F$106:F$134)</f>
        <v/>
      </c>
      <c r="G204" s="863">
        <f>SUMIF($C$73:$C$101,$C204,G$73:G$101)-SUMIF($C$106:$C$134,$C204,G$106:G$134)</f>
        <v/>
      </c>
      <c r="H204" s="863">
        <f>SUMIF($C$73:$C$101,$C204,H$73:H$101)-SUMIF($C$106:$C$134,$C204,H$106:H$134)</f>
        <v/>
      </c>
      <c r="I204" s="863">
        <f>SUMIF($C$73:$C$101,$C204,I$73:I$101)-SUMIF($C$106:$C$134,$C204,I$106:I$134)</f>
        <v/>
      </c>
      <c r="J204" s="863">
        <f>SUMIF($C$73:$C$101,$C204,J$73:J$101)-SUMIF($C$106:$C$134,$C204,J$106:J$134)</f>
        <v/>
      </c>
      <c r="K204" s="863">
        <f>SUMIF($C$73:$C$101,$C204,K$73:K$101)-SUMIF($C$106:$C$134,$C204,K$106:K$134)</f>
        <v/>
      </c>
      <c r="L204" s="863">
        <f>SUMIF($C$73:$C$101,$C204,L$73:L$101)-SUMIF($C$106:$C$134,$C204,L$106:L$134)</f>
        <v/>
      </c>
      <c r="M204" s="863">
        <f>SUMIF($C$73:$C$101,$C204,M$73:M$101)-SUMIF($C$106:$C$134,$C204,M$106:M$134)</f>
        <v/>
      </c>
      <c r="N204" s="863">
        <f>SUMIF($C$73:$C$101,$C204,N$73:N$101)-SUMIF($C$106:$C$134,$C204,N$106:N$134)</f>
        <v/>
      </c>
      <c r="O204" s="863">
        <f>SUMIF($C$73:$C$101,$C204,O$73:O$101)-SUMIF($C$106:$C$134,$C204,O$106:O$134)</f>
        <v/>
      </c>
      <c r="P204" s="863">
        <f>SUMIF($C$73:$C$101,$C204,P$73:P$101)-SUMIF($C$106:$C$134,$C204,P$106:P$134)</f>
        <v/>
      </c>
      <c r="Q204" s="863">
        <f>SUMIF($C$73:$C$101,$C204,Q$73:Q$101)-SUMIF($C$106:$C$134,$C204,Q$106:Q$134)</f>
        <v/>
      </c>
      <c r="R204" s="863">
        <f>SUMIF($C$73:$C$101,$C204,R$73:R$101)-SUMIF($C$106:$C$134,$C204,R$106:R$134)</f>
        <v/>
      </c>
      <c r="S204" s="863">
        <f>SUMIF($C$73:$C$101,$C204,S$73:S$101)-SUMIF($C$106:$C$134,$C204,S$106:S$134)</f>
        <v/>
      </c>
      <c r="T204" s="863">
        <f>SUMIF($C$73:$C$101,$C204,T$73:T$101)-SUMIF($C$106:$C$134,$C204,T$106:T$134)</f>
        <v/>
      </c>
      <c r="U204" s="863">
        <f>SUMIF($C$73:$C$101,$C204,U$73:U$101)-SUMIF($C$106:$C$134,$C204,U$106:U$134)</f>
        <v/>
      </c>
      <c r="V204" s="863">
        <f>SUMIF($C$73:$C$101,$C204,V$73:V$101)-SUMIF($C$106:$C$134,$C204,V$106:V$134)</f>
        <v/>
      </c>
      <c r="W204" s="863">
        <f>SUMIF($C$73:$C$101,$C204,W$73:W$101)-SUMIF($C$106:$C$134,$C204,W$106:W$134)</f>
        <v/>
      </c>
      <c r="X204" s="863">
        <f>SUMIF($C$73:$C$101,$C204,X$73:X$101)-SUMIF($C$106:$C$134,$C204,X$106:X$134)</f>
        <v/>
      </c>
      <c r="Y204" s="863">
        <f>SUMIF($C$73:$C$101,$C204,Y$73:Y$101)-SUMIF($C$106:$C$134,$C204,Y$106:Y$134)</f>
        <v/>
      </c>
      <c r="Z204" s="863">
        <f>SUMIF($C$73:$C$101,$C204,Z$73:Z$101)-SUMIF($C$106:$C$134,$C204,Z$106:Z$134)</f>
        <v/>
      </c>
      <c r="AA204" s="863">
        <f>SUMIF($C$73:$C$101,$C204,AA$73:AA$101)-SUMIF($C$106:$C$134,$C204,AA$106:AA$134)</f>
        <v/>
      </c>
      <c r="AB204" s="863">
        <f>SUMIF($C$73:$C$101,$C204,AB$73:AB$101)-SUMIF($C$106:$C$134,$C204,AB$106:AB$134)</f>
        <v/>
      </c>
      <c r="AC204" s="863">
        <f>SUMIF($C$73:$C$101,$C204,AC$73:AC$101)-SUMIF($C$106:$C$134,$C204,AC$106:AC$134)</f>
        <v/>
      </c>
      <c r="AD204" s="863">
        <f>SUMIF($C$73:$C$101,$C204,AD$73:AD$101)-SUMIF($C$106:$C$134,$C204,AD$106:AD$134)</f>
        <v/>
      </c>
      <c r="AE204" s="863">
        <f>SUMIF($C$73:$C$101,$C204,AE$73:AE$101)-SUMIF($C$106:$C$134,$C204,AE$106:AE$134)</f>
        <v/>
      </c>
      <c r="AF204" s="863">
        <f>SUMIF($C$73:$C$101,$C204,AF$73:AF$101)-SUMIF($C$106:$C$134,$C204,AF$106:AF$134)</f>
        <v/>
      </c>
      <c r="AG204" s="863">
        <f>SUMIF($C$73:$C$101,$C204,AG$73:AG$101)-SUMIF($C$106:$C$134,$C204,AG$106:AG$134)</f>
        <v/>
      </c>
      <c r="AH204" s="863">
        <f>SUMIF($C$73:$C$101,$C204,AH$73:AH$101)-SUMIF($C$106:$C$134,$C204,AH$106:AH$134)</f>
        <v/>
      </c>
      <c r="AI204" s="863">
        <f>SUMIF($C$73:$C$101,$C204,AI$73:AI$101)-SUMIF($C$106:$C$134,$C204,AI$106:AI$134)</f>
        <v/>
      </c>
      <c r="AJ204" s="863">
        <f>SUMIF($C$73:$C$101,$C204,AJ$73:AJ$101)-SUMIF($C$106:$C$134,$C204,AJ$106:AJ$134)</f>
        <v/>
      </c>
      <c r="AK204" s="863">
        <f>SUMIF($C$73:$C$101,$C204,AK$73:AK$101)-SUMIF($C$106:$C$134,$C204,AK$106:AK$134)</f>
        <v/>
      </c>
      <c r="AL204" s="863">
        <f>SUMIF($C$73:$C$101,$C204,AL$73:AL$101)-SUMIF($C$106:$C$134,$C204,AL$106:AL$134)</f>
        <v/>
      </c>
      <c r="AM204" s="863">
        <f>SUMIF($C$73:$C$101,$C204,AM$73:AM$101)-SUMIF($C$106:$C$134,$C204,AM$106:AM$134)</f>
        <v/>
      </c>
      <c r="AN204" s="863">
        <f>SUMIF($C$73:$C$101,$C204,AN$73:AN$101)-SUMIF($C$106:$C$134,$C204,AN$106:AN$134)</f>
        <v/>
      </c>
      <c r="AO204" s="863">
        <f>SUMIF($C$73:$C$101,$C204,AO$73:AO$101)-SUMIF($C$106:$C$134,$C204,AO$106:AO$134)</f>
        <v/>
      </c>
      <c r="AP204" s="863">
        <f>SUMIF($C$73:$C$101,$C204,AP$73:AP$101)-SUMIF($C$106:$C$134,$C204,AP$106:AP$134)</f>
        <v/>
      </c>
      <c r="AQ204" s="863">
        <f>SUMIF($C$73:$C$101,$C204,AQ$73:AQ$101)-SUMIF($C$106:$C$134,$C204,AQ$106:AQ$134)</f>
        <v/>
      </c>
      <c r="AR204" s="863">
        <f>SUMIF($C$73:$C$101,$C204,AR$73:AR$101)-SUMIF($C$106:$C$134,$C204,AR$106:AR$134)</f>
        <v/>
      </c>
      <c r="AS204" s="863">
        <f>SUMIF($C$73:$C$101,$C204,AS$73:AS$101)-SUMIF($C$106:$C$134,$C204,AS$106:AS$134)</f>
        <v/>
      </c>
      <c r="AT204" s="863">
        <f>SUMIF($C$73:$C$101,$C204,AT$73:AT$101)-SUMIF($C$106:$C$134,$C204,AT$106:AT$134)</f>
        <v/>
      </c>
      <c r="AU204" s="863">
        <f>SUMIF($C$73:$C$101,$C204,AU$73:AU$101)-SUMIF($C$106:$C$134,$C204,AU$106:AU$134)</f>
        <v/>
      </c>
      <c r="AV204" s="863">
        <f>SUMIF($C$73:$C$101,$C204,AV$73:AV$101)-SUMIF($C$106:$C$134,$C204,AV$106:AV$134)</f>
        <v/>
      </c>
      <c r="AW204" s="863">
        <f>SUMIF($C$73:$C$101,$C204,AW$73:AW$101)-SUMIF($C$106:$C$134,$C204,AW$106:AW$134)</f>
        <v/>
      </c>
      <c r="AX204" s="863">
        <f>SUMIF($C$73:$C$101,$C204,AX$73:AX$101)-SUMIF($C$106:$C$134,$C204,AX$106:AX$134)</f>
        <v/>
      </c>
      <c r="AY204" s="863">
        <f>SUMIF($C$73:$C$101,$C204,AY$73:AY$101)-SUMIF($C$106:$C$134,$C204,AY$106:AY$134)</f>
        <v/>
      </c>
    </row>
    <row r="205" ht="17.25" customFormat="1" customHeight="1" s="85" thickBot="1" thickTop="1">
      <c r="A205" s="96" t="n"/>
      <c r="B205" s="83">
        <f>'Scale Calculation'!C17</f>
        <v/>
      </c>
      <c r="C205" s="335" t="inlineStr">
        <is>
          <t>Loans/Lines of Credit Secured by a First Lien on a single 1- to 4-Family Residential Property</t>
        </is>
      </c>
      <c r="D205" s="863">
        <f>SUMIF($C$73:$C$101,$C205,D$73:D$101)-SUMIF($C$106:$C$134,$C205,D$106:D$134)</f>
        <v/>
      </c>
      <c r="E205" s="863">
        <f>SUMIF($C$73:$C$101,$C205,E$73:E$101)-SUMIF($C$106:$C$134,$C205,E$106:E$134)</f>
        <v/>
      </c>
      <c r="F205" s="863">
        <f>SUMIF($C$73:$C$101,$C205,F$73:F$101)-SUMIF($C$106:$C$134,$C205,F$106:F$134)</f>
        <v/>
      </c>
      <c r="G205" s="863">
        <f>SUMIF($C$73:$C$101,$C205,G$73:G$101)-SUMIF($C$106:$C$134,$C205,G$106:G$134)</f>
        <v/>
      </c>
      <c r="H205" s="863">
        <f>SUMIF($C$73:$C$101,$C205,H$73:H$101)-SUMIF($C$106:$C$134,$C205,H$106:H$134)</f>
        <v/>
      </c>
      <c r="I205" s="863">
        <f>SUMIF($C$73:$C$101,$C205,I$73:I$101)-SUMIF($C$106:$C$134,$C205,I$106:I$134)</f>
        <v/>
      </c>
      <c r="J205" s="863">
        <f>SUMIF($C$73:$C$101,$C205,J$73:J$101)-SUMIF($C$106:$C$134,$C205,J$106:J$134)</f>
        <v/>
      </c>
      <c r="K205" s="863">
        <f>SUMIF($C$73:$C$101,$C205,K$73:K$101)-SUMIF($C$106:$C$134,$C205,K$106:K$134)</f>
        <v/>
      </c>
      <c r="L205" s="863">
        <f>SUMIF($C$73:$C$101,$C205,L$73:L$101)-SUMIF($C$106:$C$134,$C205,L$106:L$134)</f>
        <v/>
      </c>
      <c r="M205" s="863">
        <f>SUMIF($C$73:$C$101,$C205,M$73:M$101)-SUMIF($C$106:$C$134,$C205,M$106:M$134)</f>
        <v/>
      </c>
      <c r="N205" s="863">
        <f>SUMIF($C$73:$C$101,$C205,N$73:N$101)-SUMIF($C$106:$C$134,$C205,N$106:N$134)</f>
        <v/>
      </c>
      <c r="O205" s="863">
        <f>SUMIF($C$73:$C$101,$C205,O$73:O$101)-SUMIF($C$106:$C$134,$C205,O$106:O$134)</f>
        <v/>
      </c>
      <c r="P205" s="863">
        <f>SUMIF($C$73:$C$101,$C205,P$73:P$101)-SUMIF($C$106:$C$134,$C205,P$106:P$134)</f>
        <v/>
      </c>
      <c r="Q205" s="863">
        <f>SUMIF($C$73:$C$101,$C205,Q$73:Q$101)-SUMIF($C$106:$C$134,$C205,Q$106:Q$134)</f>
        <v/>
      </c>
      <c r="R205" s="863">
        <f>SUMIF($C$73:$C$101,$C205,R$73:R$101)-SUMIF($C$106:$C$134,$C205,R$106:R$134)</f>
        <v/>
      </c>
      <c r="S205" s="863">
        <f>SUMIF($C$73:$C$101,$C205,S$73:S$101)-SUMIF($C$106:$C$134,$C205,S$106:S$134)</f>
        <v/>
      </c>
      <c r="T205" s="863">
        <f>SUMIF($C$73:$C$101,$C205,T$73:T$101)-SUMIF($C$106:$C$134,$C205,T$106:T$134)</f>
        <v/>
      </c>
      <c r="U205" s="863">
        <f>SUMIF($C$73:$C$101,$C205,U$73:U$101)-SUMIF($C$106:$C$134,$C205,U$106:U$134)</f>
        <v/>
      </c>
      <c r="V205" s="863">
        <f>SUMIF($C$73:$C$101,$C205,V$73:V$101)-SUMIF($C$106:$C$134,$C205,V$106:V$134)</f>
        <v/>
      </c>
      <c r="W205" s="863">
        <f>SUMIF($C$73:$C$101,$C205,W$73:W$101)-SUMIF($C$106:$C$134,$C205,W$106:W$134)</f>
        <v/>
      </c>
      <c r="X205" s="863">
        <f>SUMIF($C$73:$C$101,$C205,X$73:X$101)-SUMIF($C$106:$C$134,$C205,X$106:X$134)</f>
        <v/>
      </c>
      <c r="Y205" s="863">
        <f>SUMIF($C$73:$C$101,$C205,Y$73:Y$101)-SUMIF($C$106:$C$134,$C205,Y$106:Y$134)</f>
        <v/>
      </c>
      <c r="Z205" s="863">
        <f>SUMIF($C$73:$C$101,$C205,Z$73:Z$101)-SUMIF($C$106:$C$134,$C205,Z$106:Z$134)</f>
        <v/>
      </c>
      <c r="AA205" s="863">
        <f>SUMIF($C$73:$C$101,$C205,AA$73:AA$101)-SUMIF($C$106:$C$134,$C205,AA$106:AA$134)</f>
        <v/>
      </c>
      <c r="AB205" s="863">
        <f>SUMIF($C$73:$C$101,$C205,AB$73:AB$101)-SUMIF($C$106:$C$134,$C205,AB$106:AB$134)</f>
        <v/>
      </c>
      <c r="AC205" s="863">
        <f>SUMIF($C$73:$C$101,$C205,AC$73:AC$101)-SUMIF($C$106:$C$134,$C205,AC$106:AC$134)</f>
        <v/>
      </c>
      <c r="AD205" s="863">
        <f>SUMIF($C$73:$C$101,$C205,AD$73:AD$101)-SUMIF($C$106:$C$134,$C205,AD$106:AD$134)</f>
        <v/>
      </c>
      <c r="AE205" s="863">
        <f>SUMIF($C$73:$C$101,$C205,AE$73:AE$101)-SUMIF($C$106:$C$134,$C205,AE$106:AE$134)</f>
        <v/>
      </c>
      <c r="AF205" s="863">
        <f>SUMIF($C$73:$C$101,$C205,AF$73:AF$101)-SUMIF($C$106:$C$134,$C205,AF$106:AF$134)</f>
        <v/>
      </c>
      <c r="AG205" s="863">
        <f>SUMIF($C$73:$C$101,$C205,AG$73:AG$101)-SUMIF($C$106:$C$134,$C205,AG$106:AG$134)</f>
        <v/>
      </c>
      <c r="AH205" s="863">
        <f>SUMIF($C$73:$C$101,$C205,AH$73:AH$101)-SUMIF($C$106:$C$134,$C205,AH$106:AH$134)</f>
        <v/>
      </c>
      <c r="AI205" s="863">
        <f>SUMIF($C$73:$C$101,$C205,AI$73:AI$101)-SUMIF($C$106:$C$134,$C205,AI$106:AI$134)</f>
        <v/>
      </c>
      <c r="AJ205" s="863">
        <f>SUMIF($C$73:$C$101,$C205,AJ$73:AJ$101)-SUMIF($C$106:$C$134,$C205,AJ$106:AJ$134)</f>
        <v/>
      </c>
      <c r="AK205" s="863">
        <f>SUMIF($C$73:$C$101,$C205,AK$73:AK$101)-SUMIF($C$106:$C$134,$C205,AK$106:AK$134)</f>
        <v/>
      </c>
      <c r="AL205" s="863">
        <f>SUMIF($C$73:$C$101,$C205,AL$73:AL$101)-SUMIF($C$106:$C$134,$C205,AL$106:AL$134)</f>
        <v/>
      </c>
      <c r="AM205" s="863">
        <f>SUMIF($C$73:$C$101,$C205,AM$73:AM$101)-SUMIF($C$106:$C$134,$C205,AM$106:AM$134)</f>
        <v/>
      </c>
      <c r="AN205" s="863">
        <f>SUMIF($C$73:$C$101,$C205,AN$73:AN$101)-SUMIF($C$106:$C$134,$C205,AN$106:AN$134)</f>
        <v/>
      </c>
      <c r="AO205" s="863">
        <f>SUMIF($C$73:$C$101,$C205,AO$73:AO$101)-SUMIF($C$106:$C$134,$C205,AO$106:AO$134)</f>
        <v/>
      </c>
      <c r="AP205" s="863">
        <f>SUMIF($C$73:$C$101,$C205,AP$73:AP$101)-SUMIF($C$106:$C$134,$C205,AP$106:AP$134)</f>
        <v/>
      </c>
      <c r="AQ205" s="863">
        <f>SUMIF($C$73:$C$101,$C205,AQ$73:AQ$101)-SUMIF($C$106:$C$134,$C205,AQ$106:AQ$134)</f>
        <v/>
      </c>
      <c r="AR205" s="863">
        <f>SUMIF($C$73:$C$101,$C205,AR$73:AR$101)-SUMIF($C$106:$C$134,$C205,AR$106:AR$134)</f>
        <v/>
      </c>
      <c r="AS205" s="863">
        <f>SUMIF($C$73:$C$101,$C205,AS$73:AS$101)-SUMIF($C$106:$C$134,$C205,AS$106:AS$134)</f>
        <v/>
      </c>
      <c r="AT205" s="863">
        <f>SUMIF($C$73:$C$101,$C205,AT$73:AT$101)-SUMIF($C$106:$C$134,$C205,AT$106:AT$134)</f>
        <v/>
      </c>
      <c r="AU205" s="863">
        <f>SUMIF($C$73:$C$101,$C205,AU$73:AU$101)-SUMIF($C$106:$C$134,$C205,AU$106:AU$134)</f>
        <v/>
      </c>
      <c r="AV205" s="863">
        <f>SUMIF($C$73:$C$101,$C205,AV$73:AV$101)-SUMIF($C$106:$C$134,$C205,AV$106:AV$134)</f>
        <v/>
      </c>
      <c r="AW205" s="863">
        <f>SUMIF($C$73:$C$101,$C205,AW$73:AW$101)-SUMIF($C$106:$C$134,$C205,AW$106:AW$134)</f>
        <v/>
      </c>
      <c r="AX205" s="863">
        <f>SUMIF($C$73:$C$101,$C205,AX$73:AX$101)-SUMIF($C$106:$C$134,$C205,AX$106:AX$134)</f>
        <v/>
      </c>
      <c r="AY205" s="863">
        <f>SUMIF($C$73:$C$101,$C205,AY$73:AY$101)-SUMIF($C$106:$C$134,$C205,AY$106:AY$134)</f>
        <v/>
      </c>
    </row>
    <row r="206" ht="17.25" customFormat="1" customHeight="1" s="85" thickBot="1" thickTop="1">
      <c r="A206" s="96" t="n"/>
      <c r="B206" s="83">
        <f>'Scale Calculation'!C18</f>
        <v/>
      </c>
      <c r="C206" s="335" t="inlineStr">
        <is>
          <t>Loans/Lines of Credit Secured by a Junior Lien on a single 1- to 4-Family Residential Property</t>
        </is>
      </c>
      <c r="D206" s="863">
        <f>SUMIF($C$73:$C$101,$C206,D$73:D$101)-SUMIF($C$106:$C$134,$C206,D$106:D$134)</f>
        <v/>
      </c>
      <c r="E206" s="863">
        <f>SUMIF($C$73:$C$101,$C206,E$73:E$101)-SUMIF($C$106:$C$134,$C206,E$106:E$134)</f>
        <v/>
      </c>
      <c r="F206" s="863">
        <f>SUMIF($C$73:$C$101,$C206,F$73:F$101)-SUMIF($C$106:$C$134,$C206,F$106:F$134)</f>
        <v/>
      </c>
      <c r="G206" s="863">
        <f>SUMIF($C$73:$C$101,$C206,G$73:G$101)-SUMIF($C$106:$C$134,$C206,G$106:G$134)</f>
        <v/>
      </c>
      <c r="H206" s="863">
        <f>SUMIF($C$73:$C$101,$C206,H$73:H$101)-SUMIF($C$106:$C$134,$C206,H$106:H$134)</f>
        <v/>
      </c>
      <c r="I206" s="863">
        <f>SUMIF($C$73:$C$101,$C206,I$73:I$101)-SUMIF($C$106:$C$134,$C206,I$106:I$134)</f>
        <v/>
      </c>
      <c r="J206" s="863">
        <f>SUMIF($C$73:$C$101,$C206,J$73:J$101)-SUMIF($C$106:$C$134,$C206,J$106:J$134)</f>
        <v/>
      </c>
      <c r="K206" s="863">
        <f>SUMIF($C$73:$C$101,$C206,K$73:K$101)-SUMIF($C$106:$C$134,$C206,K$106:K$134)</f>
        <v/>
      </c>
      <c r="L206" s="863">
        <f>SUMIF($C$73:$C$101,$C206,L$73:L$101)-SUMIF($C$106:$C$134,$C206,L$106:L$134)</f>
        <v/>
      </c>
      <c r="M206" s="863">
        <f>SUMIF($C$73:$C$101,$C206,M$73:M$101)-SUMIF($C$106:$C$134,$C206,M$106:M$134)</f>
        <v/>
      </c>
      <c r="N206" s="863">
        <f>SUMIF($C$73:$C$101,$C206,N$73:N$101)-SUMIF($C$106:$C$134,$C206,N$106:N$134)</f>
        <v/>
      </c>
      <c r="O206" s="863">
        <f>SUMIF($C$73:$C$101,$C206,O$73:O$101)-SUMIF($C$106:$C$134,$C206,O$106:O$134)</f>
        <v/>
      </c>
      <c r="P206" s="863">
        <f>SUMIF($C$73:$C$101,$C206,P$73:P$101)-SUMIF($C$106:$C$134,$C206,P$106:P$134)</f>
        <v/>
      </c>
      <c r="Q206" s="863">
        <f>SUMIF($C$73:$C$101,$C206,Q$73:Q$101)-SUMIF($C$106:$C$134,$C206,Q$106:Q$134)</f>
        <v/>
      </c>
      <c r="R206" s="863">
        <f>SUMIF($C$73:$C$101,$C206,R$73:R$101)-SUMIF($C$106:$C$134,$C206,R$106:R$134)</f>
        <v/>
      </c>
      <c r="S206" s="863">
        <f>SUMIF($C$73:$C$101,$C206,S$73:S$101)-SUMIF($C$106:$C$134,$C206,S$106:S$134)</f>
        <v/>
      </c>
      <c r="T206" s="863">
        <f>SUMIF($C$73:$C$101,$C206,T$73:T$101)-SUMIF($C$106:$C$134,$C206,T$106:T$134)</f>
        <v/>
      </c>
      <c r="U206" s="863">
        <f>SUMIF($C$73:$C$101,$C206,U$73:U$101)-SUMIF($C$106:$C$134,$C206,U$106:U$134)</f>
        <v/>
      </c>
      <c r="V206" s="863">
        <f>SUMIF($C$73:$C$101,$C206,V$73:V$101)-SUMIF($C$106:$C$134,$C206,V$106:V$134)</f>
        <v/>
      </c>
      <c r="W206" s="863">
        <f>SUMIF($C$73:$C$101,$C206,W$73:W$101)-SUMIF($C$106:$C$134,$C206,W$106:W$134)</f>
        <v/>
      </c>
      <c r="X206" s="863">
        <f>SUMIF($C$73:$C$101,$C206,X$73:X$101)-SUMIF($C$106:$C$134,$C206,X$106:X$134)</f>
        <v/>
      </c>
      <c r="Y206" s="863">
        <f>SUMIF($C$73:$C$101,$C206,Y$73:Y$101)-SUMIF($C$106:$C$134,$C206,Y$106:Y$134)</f>
        <v/>
      </c>
      <c r="Z206" s="863">
        <f>SUMIF($C$73:$C$101,$C206,Z$73:Z$101)-SUMIF($C$106:$C$134,$C206,Z$106:Z$134)</f>
        <v/>
      </c>
      <c r="AA206" s="863">
        <f>SUMIF($C$73:$C$101,$C206,AA$73:AA$101)-SUMIF($C$106:$C$134,$C206,AA$106:AA$134)</f>
        <v/>
      </c>
      <c r="AB206" s="863">
        <f>SUMIF($C$73:$C$101,$C206,AB$73:AB$101)-SUMIF($C$106:$C$134,$C206,AB$106:AB$134)</f>
        <v/>
      </c>
      <c r="AC206" s="863">
        <f>SUMIF($C$73:$C$101,$C206,AC$73:AC$101)-SUMIF($C$106:$C$134,$C206,AC$106:AC$134)</f>
        <v/>
      </c>
      <c r="AD206" s="863">
        <f>SUMIF($C$73:$C$101,$C206,AD$73:AD$101)-SUMIF($C$106:$C$134,$C206,AD$106:AD$134)</f>
        <v/>
      </c>
      <c r="AE206" s="863">
        <f>SUMIF($C$73:$C$101,$C206,AE$73:AE$101)-SUMIF($C$106:$C$134,$C206,AE$106:AE$134)</f>
        <v/>
      </c>
      <c r="AF206" s="863">
        <f>SUMIF($C$73:$C$101,$C206,AF$73:AF$101)-SUMIF($C$106:$C$134,$C206,AF$106:AF$134)</f>
        <v/>
      </c>
      <c r="AG206" s="863">
        <f>SUMIF($C$73:$C$101,$C206,AG$73:AG$101)-SUMIF($C$106:$C$134,$C206,AG$106:AG$134)</f>
        <v/>
      </c>
      <c r="AH206" s="863">
        <f>SUMIF($C$73:$C$101,$C206,AH$73:AH$101)-SUMIF($C$106:$C$134,$C206,AH$106:AH$134)</f>
        <v/>
      </c>
      <c r="AI206" s="863">
        <f>SUMIF($C$73:$C$101,$C206,AI$73:AI$101)-SUMIF($C$106:$C$134,$C206,AI$106:AI$134)</f>
        <v/>
      </c>
      <c r="AJ206" s="863">
        <f>SUMIF($C$73:$C$101,$C206,AJ$73:AJ$101)-SUMIF($C$106:$C$134,$C206,AJ$106:AJ$134)</f>
        <v/>
      </c>
      <c r="AK206" s="863">
        <f>SUMIF($C$73:$C$101,$C206,AK$73:AK$101)-SUMIF($C$106:$C$134,$C206,AK$106:AK$134)</f>
        <v/>
      </c>
      <c r="AL206" s="863">
        <f>SUMIF($C$73:$C$101,$C206,AL$73:AL$101)-SUMIF($C$106:$C$134,$C206,AL$106:AL$134)</f>
        <v/>
      </c>
      <c r="AM206" s="863">
        <f>SUMIF($C$73:$C$101,$C206,AM$73:AM$101)-SUMIF($C$106:$C$134,$C206,AM$106:AM$134)</f>
        <v/>
      </c>
      <c r="AN206" s="863">
        <f>SUMIF($C$73:$C$101,$C206,AN$73:AN$101)-SUMIF($C$106:$C$134,$C206,AN$106:AN$134)</f>
        <v/>
      </c>
      <c r="AO206" s="863">
        <f>SUMIF($C$73:$C$101,$C206,AO$73:AO$101)-SUMIF($C$106:$C$134,$C206,AO$106:AO$134)</f>
        <v/>
      </c>
      <c r="AP206" s="863">
        <f>SUMIF($C$73:$C$101,$C206,AP$73:AP$101)-SUMIF($C$106:$C$134,$C206,AP$106:AP$134)</f>
        <v/>
      </c>
      <c r="AQ206" s="863">
        <f>SUMIF($C$73:$C$101,$C206,AQ$73:AQ$101)-SUMIF($C$106:$C$134,$C206,AQ$106:AQ$134)</f>
        <v/>
      </c>
      <c r="AR206" s="863">
        <f>SUMIF($C$73:$C$101,$C206,AR$73:AR$101)-SUMIF($C$106:$C$134,$C206,AR$106:AR$134)</f>
        <v/>
      </c>
      <c r="AS206" s="863">
        <f>SUMIF($C$73:$C$101,$C206,AS$73:AS$101)-SUMIF($C$106:$C$134,$C206,AS$106:AS$134)</f>
        <v/>
      </c>
      <c r="AT206" s="863">
        <f>SUMIF($C$73:$C$101,$C206,AT$73:AT$101)-SUMIF($C$106:$C$134,$C206,AT$106:AT$134)</f>
        <v/>
      </c>
      <c r="AU206" s="863">
        <f>SUMIF($C$73:$C$101,$C206,AU$73:AU$101)-SUMIF($C$106:$C$134,$C206,AU$106:AU$134)</f>
        <v/>
      </c>
      <c r="AV206" s="863">
        <f>SUMIF($C$73:$C$101,$C206,AV$73:AV$101)-SUMIF($C$106:$C$134,$C206,AV$106:AV$134)</f>
        <v/>
      </c>
      <c r="AW206" s="863">
        <f>SUMIF($C$73:$C$101,$C206,AW$73:AW$101)-SUMIF($C$106:$C$134,$C206,AW$106:AW$134)</f>
        <v/>
      </c>
      <c r="AX206" s="863">
        <f>SUMIF($C$73:$C$101,$C206,AX$73:AX$101)-SUMIF($C$106:$C$134,$C206,AX$106:AX$134)</f>
        <v/>
      </c>
      <c r="AY206" s="863">
        <f>SUMIF($C$73:$C$101,$C206,AY$73:AY$101)-SUMIF($C$106:$C$134,$C206,AY$106:AY$134)</f>
        <v/>
      </c>
    </row>
    <row r="207" ht="17.25" customFormat="1" customHeight="1" s="85" thickBot="1" thickTop="1">
      <c r="A207" s="96" t="n"/>
      <c r="B207" s="83">
        <f>'Scale Calculation'!C19</f>
        <v/>
      </c>
      <c r="C207" s="335" t="inlineStr">
        <is>
          <t>All Other (Non-Commercial) Real Estate Loans/Lines of Credit</t>
        </is>
      </c>
      <c r="D207" s="875">
        <f>SUMIF($C$73:$C$101,$C207,D$73:D$101)-SUMIF($C$106:$C$134,$C207,D$106:D$134)</f>
        <v/>
      </c>
      <c r="E207" s="863">
        <f>SUMIF($C$73:$C$101,$C207,E$73:E$101)-SUMIF($C$106:$C$134,$C207,E$106:E$134)</f>
        <v/>
      </c>
      <c r="F207" s="863">
        <f>SUMIF($C$73:$C$101,$C207,F$73:F$101)-SUMIF($C$106:$C$134,$C207,F$106:F$134)</f>
        <v/>
      </c>
      <c r="G207" s="863">
        <f>SUMIF($C$73:$C$101,$C207,G$73:G$101)-SUMIF($C$106:$C$134,$C207,G$106:G$134)</f>
        <v/>
      </c>
      <c r="H207" s="863">
        <f>SUMIF($C$73:$C$101,$C207,H$73:H$101)-SUMIF($C$106:$C$134,$C207,H$106:H$134)</f>
        <v/>
      </c>
      <c r="I207" s="863">
        <f>SUMIF($C$73:$C$101,$C207,I$73:I$101)-SUMIF($C$106:$C$134,$C207,I$106:I$134)</f>
        <v/>
      </c>
      <c r="J207" s="863">
        <f>SUMIF($C$73:$C$101,$C207,J$73:J$101)-SUMIF($C$106:$C$134,$C207,J$106:J$134)</f>
        <v/>
      </c>
      <c r="K207" s="863">
        <f>SUMIF($C$73:$C$101,$C207,K$73:K$101)-SUMIF($C$106:$C$134,$C207,K$106:K$134)</f>
        <v/>
      </c>
      <c r="L207" s="863">
        <f>SUMIF($C$73:$C$101,$C207,L$73:L$101)-SUMIF($C$106:$C$134,$C207,L$106:L$134)</f>
        <v/>
      </c>
      <c r="M207" s="863">
        <f>SUMIF($C$73:$C$101,$C207,M$73:M$101)-SUMIF($C$106:$C$134,$C207,M$106:M$134)</f>
        <v/>
      </c>
      <c r="N207" s="863">
        <f>SUMIF($C$73:$C$101,$C207,N$73:N$101)-SUMIF($C$106:$C$134,$C207,N$106:N$134)</f>
        <v/>
      </c>
      <c r="O207" s="863">
        <f>SUMIF($C$73:$C$101,$C207,O$73:O$101)-SUMIF($C$106:$C$134,$C207,O$106:O$134)</f>
        <v/>
      </c>
      <c r="P207" s="863">
        <f>SUMIF($C$73:$C$101,$C207,P$73:P$101)-SUMIF($C$106:$C$134,$C207,P$106:P$134)</f>
        <v/>
      </c>
      <c r="Q207" s="863">
        <f>SUMIF($C$73:$C$101,$C207,Q$73:Q$101)-SUMIF($C$106:$C$134,$C207,Q$106:Q$134)</f>
        <v/>
      </c>
      <c r="R207" s="863">
        <f>SUMIF($C$73:$C$101,$C207,R$73:R$101)-SUMIF($C$106:$C$134,$C207,R$106:R$134)</f>
        <v/>
      </c>
      <c r="S207" s="863">
        <f>SUMIF($C$73:$C$101,$C207,S$73:S$101)-SUMIF($C$106:$C$134,$C207,S$106:S$134)</f>
        <v/>
      </c>
      <c r="T207" s="863">
        <f>SUMIF($C$73:$C$101,$C207,T$73:T$101)-SUMIF($C$106:$C$134,$C207,T$106:T$134)</f>
        <v/>
      </c>
      <c r="U207" s="863">
        <f>SUMIF($C$73:$C$101,$C207,U$73:U$101)-SUMIF($C$106:$C$134,$C207,U$106:U$134)</f>
        <v/>
      </c>
      <c r="V207" s="863">
        <f>SUMIF($C$73:$C$101,$C207,V$73:V$101)-SUMIF($C$106:$C$134,$C207,V$106:V$134)</f>
        <v/>
      </c>
      <c r="W207" s="863">
        <f>SUMIF($C$73:$C$101,$C207,W$73:W$101)-SUMIF($C$106:$C$134,$C207,W$106:W$134)</f>
        <v/>
      </c>
      <c r="X207" s="863">
        <f>SUMIF($C$73:$C$101,$C207,X$73:X$101)-SUMIF($C$106:$C$134,$C207,X$106:X$134)</f>
        <v/>
      </c>
      <c r="Y207" s="863">
        <f>SUMIF($C$73:$C$101,$C207,Y$73:Y$101)-SUMIF($C$106:$C$134,$C207,Y$106:Y$134)</f>
        <v/>
      </c>
      <c r="Z207" s="863">
        <f>SUMIF($C$73:$C$101,$C207,Z$73:Z$101)-SUMIF($C$106:$C$134,$C207,Z$106:Z$134)</f>
        <v/>
      </c>
      <c r="AA207" s="863">
        <f>SUMIF($C$73:$C$101,$C207,AA$73:AA$101)-SUMIF($C$106:$C$134,$C207,AA$106:AA$134)</f>
        <v/>
      </c>
      <c r="AB207" s="863">
        <f>SUMIF($C$73:$C$101,$C207,AB$73:AB$101)-SUMIF($C$106:$C$134,$C207,AB$106:AB$134)</f>
        <v/>
      </c>
      <c r="AC207" s="863">
        <f>SUMIF($C$73:$C$101,$C207,AC$73:AC$101)-SUMIF($C$106:$C$134,$C207,AC$106:AC$134)</f>
        <v/>
      </c>
      <c r="AD207" s="863">
        <f>SUMIF($C$73:$C$101,$C207,AD$73:AD$101)-SUMIF($C$106:$C$134,$C207,AD$106:AD$134)</f>
        <v/>
      </c>
      <c r="AE207" s="863">
        <f>SUMIF($C$73:$C$101,$C207,AE$73:AE$101)-SUMIF($C$106:$C$134,$C207,AE$106:AE$134)</f>
        <v/>
      </c>
      <c r="AF207" s="863">
        <f>SUMIF($C$73:$C$101,$C207,AF$73:AF$101)-SUMIF($C$106:$C$134,$C207,AF$106:AF$134)</f>
        <v/>
      </c>
      <c r="AG207" s="863">
        <f>SUMIF($C$73:$C$101,$C207,AG$73:AG$101)-SUMIF($C$106:$C$134,$C207,AG$106:AG$134)</f>
        <v/>
      </c>
      <c r="AH207" s="863">
        <f>SUMIF($C$73:$C$101,$C207,AH$73:AH$101)-SUMIF($C$106:$C$134,$C207,AH$106:AH$134)</f>
        <v/>
      </c>
      <c r="AI207" s="863">
        <f>SUMIF($C$73:$C$101,$C207,AI$73:AI$101)-SUMIF($C$106:$C$134,$C207,AI$106:AI$134)</f>
        <v/>
      </c>
      <c r="AJ207" s="863">
        <f>SUMIF($C$73:$C$101,$C207,AJ$73:AJ$101)-SUMIF($C$106:$C$134,$C207,AJ$106:AJ$134)</f>
        <v/>
      </c>
      <c r="AK207" s="863">
        <f>SUMIF($C$73:$C$101,$C207,AK$73:AK$101)-SUMIF($C$106:$C$134,$C207,AK$106:AK$134)</f>
        <v/>
      </c>
      <c r="AL207" s="863">
        <f>SUMIF($C$73:$C$101,$C207,AL$73:AL$101)-SUMIF($C$106:$C$134,$C207,AL$106:AL$134)</f>
        <v/>
      </c>
      <c r="AM207" s="863">
        <f>SUMIF($C$73:$C$101,$C207,AM$73:AM$101)-SUMIF($C$106:$C$134,$C207,AM$106:AM$134)</f>
        <v/>
      </c>
      <c r="AN207" s="863">
        <f>SUMIF($C$73:$C$101,$C207,AN$73:AN$101)-SUMIF($C$106:$C$134,$C207,AN$106:AN$134)</f>
        <v/>
      </c>
      <c r="AO207" s="863">
        <f>SUMIF($C$73:$C$101,$C207,AO$73:AO$101)-SUMIF($C$106:$C$134,$C207,AO$106:AO$134)</f>
        <v/>
      </c>
      <c r="AP207" s="863">
        <f>SUMIF($C$73:$C$101,$C207,AP$73:AP$101)-SUMIF($C$106:$C$134,$C207,AP$106:AP$134)</f>
        <v/>
      </c>
      <c r="AQ207" s="863">
        <f>SUMIF($C$73:$C$101,$C207,AQ$73:AQ$101)-SUMIF($C$106:$C$134,$C207,AQ$106:AQ$134)</f>
        <v/>
      </c>
      <c r="AR207" s="863">
        <f>SUMIF($C$73:$C$101,$C207,AR$73:AR$101)-SUMIF($C$106:$C$134,$C207,AR$106:AR$134)</f>
        <v/>
      </c>
      <c r="AS207" s="863">
        <f>SUMIF($C$73:$C$101,$C207,AS$73:AS$101)-SUMIF($C$106:$C$134,$C207,AS$106:AS$134)</f>
        <v/>
      </c>
      <c r="AT207" s="863">
        <f>SUMIF($C$73:$C$101,$C207,AT$73:AT$101)-SUMIF($C$106:$C$134,$C207,AT$106:AT$134)</f>
        <v/>
      </c>
      <c r="AU207" s="863">
        <f>SUMIF($C$73:$C$101,$C207,AU$73:AU$101)-SUMIF($C$106:$C$134,$C207,AU$106:AU$134)</f>
        <v/>
      </c>
      <c r="AV207" s="863">
        <f>SUMIF($C$73:$C$101,$C207,AV$73:AV$101)-SUMIF($C$106:$C$134,$C207,AV$106:AV$134)</f>
        <v/>
      </c>
      <c r="AW207" s="863">
        <f>SUMIF($C$73:$C$101,$C207,AW$73:AW$101)-SUMIF($C$106:$C$134,$C207,AW$106:AW$134)</f>
        <v/>
      </c>
      <c r="AX207" s="863">
        <f>SUMIF($C$73:$C$101,$C207,AX$73:AX$101)-SUMIF($C$106:$C$134,$C207,AX$106:AX$134)</f>
        <v/>
      </c>
      <c r="AY207" s="863">
        <f>SUMIF($C$73:$C$101,$C207,AY$73:AY$101)-SUMIF($C$106:$C$134,$C207,AY$106:AY$134)</f>
        <v/>
      </c>
    </row>
    <row r="208" ht="17.25" customFormat="1" customHeight="1" s="85" thickBot="1" thickTop="1">
      <c r="A208" s="96" t="n"/>
      <c r="B208" s="83">
        <f>'Scale Calculation'!C20</f>
        <v/>
      </c>
      <c r="C208" s="335" t="inlineStr">
        <is>
          <t>Commercial Loans/Lines of Credit Real Estate Secured</t>
        </is>
      </c>
      <c r="D208" s="863">
        <f>SUMIF($C$73:$C$101,$C208,D$73:D$101)-SUMIF($C$106:$C$134,$C208,D$106:D$134)</f>
        <v/>
      </c>
      <c r="E208" s="863">
        <f>SUMIF($C$73:$C$101,$C208,E$73:E$101)-SUMIF($C$106:$C$134,$C208,E$106:E$134)</f>
        <v/>
      </c>
      <c r="F208" s="863">
        <f>SUMIF($C$73:$C$101,$C208,F$73:F$101)-SUMIF($C$106:$C$134,$C208,F$106:F$134)</f>
        <v/>
      </c>
      <c r="G208" s="863">
        <f>SUMIF($C$73:$C$101,$C208,G$73:G$101)-SUMIF($C$106:$C$134,$C208,G$106:G$134)</f>
        <v/>
      </c>
      <c r="H208" s="863">
        <f>SUMIF($C$73:$C$101,$C208,H$73:H$101)-SUMIF($C$106:$C$134,$C208,H$106:H$134)</f>
        <v/>
      </c>
      <c r="I208" s="863">
        <f>SUMIF($C$73:$C$101,$C208,I$73:I$101)-SUMIF($C$106:$C$134,$C208,I$106:I$134)</f>
        <v/>
      </c>
      <c r="J208" s="863">
        <f>SUMIF($C$73:$C$101,$C208,J$73:J$101)-SUMIF($C$106:$C$134,$C208,J$106:J$134)</f>
        <v/>
      </c>
      <c r="K208" s="863">
        <f>SUMIF($C$73:$C$101,$C208,K$73:K$101)-SUMIF($C$106:$C$134,$C208,K$106:K$134)</f>
        <v/>
      </c>
      <c r="L208" s="863">
        <f>SUMIF($C$73:$C$101,$C208,L$73:L$101)-SUMIF($C$106:$C$134,$C208,L$106:L$134)</f>
        <v/>
      </c>
      <c r="M208" s="863">
        <f>SUMIF($C$73:$C$101,$C208,M$73:M$101)-SUMIF($C$106:$C$134,$C208,M$106:M$134)</f>
        <v/>
      </c>
      <c r="N208" s="863">
        <f>SUMIF($C$73:$C$101,$C208,N$73:N$101)-SUMIF($C$106:$C$134,$C208,N$106:N$134)</f>
        <v/>
      </c>
      <c r="O208" s="863">
        <f>SUMIF($C$73:$C$101,$C208,O$73:O$101)-SUMIF($C$106:$C$134,$C208,O$106:O$134)</f>
        <v/>
      </c>
      <c r="P208" s="863">
        <f>SUMIF($C$73:$C$101,$C208,P$73:P$101)-SUMIF($C$106:$C$134,$C208,P$106:P$134)</f>
        <v/>
      </c>
      <c r="Q208" s="863">
        <f>SUMIF($C$73:$C$101,$C208,Q$73:Q$101)-SUMIF($C$106:$C$134,$C208,Q$106:Q$134)</f>
        <v/>
      </c>
      <c r="R208" s="863">
        <f>SUMIF($C$73:$C$101,$C208,R$73:R$101)-SUMIF($C$106:$C$134,$C208,R$106:R$134)</f>
        <v/>
      </c>
      <c r="S208" s="863">
        <f>SUMIF($C$73:$C$101,$C208,S$73:S$101)-SUMIF($C$106:$C$134,$C208,S$106:S$134)</f>
        <v/>
      </c>
      <c r="T208" s="863">
        <f>SUMIF($C$73:$C$101,$C208,T$73:T$101)-SUMIF($C$106:$C$134,$C208,T$106:T$134)</f>
        <v/>
      </c>
      <c r="U208" s="863">
        <f>SUMIF($C$73:$C$101,$C208,U$73:U$101)-SUMIF($C$106:$C$134,$C208,U$106:U$134)</f>
        <v/>
      </c>
      <c r="V208" s="863">
        <f>SUMIF($C$73:$C$101,$C208,V$73:V$101)-SUMIF($C$106:$C$134,$C208,V$106:V$134)</f>
        <v/>
      </c>
      <c r="W208" s="863">
        <f>SUMIF($C$73:$C$101,$C208,W$73:W$101)-SUMIF($C$106:$C$134,$C208,W$106:W$134)</f>
        <v/>
      </c>
      <c r="X208" s="863">
        <f>SUMIF($C$73:$C$101,$C208,X$73:X$101)-SUMIF($C$106:$C$134,$C208,X$106:X$134)</f>
        <v/>
      </c>
      <c r="Y208" s="863">
        <f>SUMIF($C$73:$C$101,$C208,Y$73:Y$101)-SUMIF($C$106:$C$134,$C208,Y$106:Y$134)</f>
        <v/>
      </c>
      <c r="Z208" s="863">
        <f>SUMIF($C$73:$C$101,$C208,Z$73:Z$101)-SUMIF($C$106:$C$134,$C208,Z$106:Z$134)</f>
        <v/>
      </c>
      <c r="AA208" s="863">
        <f>SUMIF($C$73:$C$101,$C208,AA$73:AA$101)-SUMIF($C$106:$C$134,$C208,AA$106:AA$134)</f>
        <v/>
      </c>
      <c r="AB208" s="863">
        <f>SUMIF($C$73:$C$101,$C208,AB$73:AB$101)-SUMIF($C$106:$C$134,$C208,AB$106:AB$134)</f>
        <v/>
      </c>
      <c r="AC208" s="863">
        <f>SUMIF($C$73:$C$101,$C208,AC$73:AC$101)-SUMIF($C$106:$C$134,$C208,AC$106:AC$134)</f>
        <v/>
      </c>
      <c r="AD208" s="863">
        <f>SUMIF($C$73:$C$101,$C208,AD$73:AD$101)-SUMIF($C$106:$C$134,$C208,AD$106:AD$134)</f>
        <v/>
      </c>
      <c r="AE208" s="863">
        <f>SUMIF($C$73:$C$101,$C208,AE$73:AE$101)-SUMIF($C$106:$C$134,$C208,AE$106:AE$134)</f>
        <v/>
      </c>
      <c r="AF208" s="863">
        <f>SUMIF($C$73:$C$101,$C208,AF$73:AF$101)-SUMIF($C$106:$C$134,$C208,AF$106:AF$134)</f>
        <v/>
      </c>
      <c r="AG208" s="863">
        <f>SUMIF($C$73:$C$101,$C208,AG$73:AG$101)-SUMIF($C$106:$C$134,$C208,AG$106:AG$134)</f>
        <v/>
      </c>
      <c r="AH208" s="863">
        <f>SUMIF($C$73:$C$101,$C208,AH$73:AH$101)-SUMIF($C$106:$C$134,$C208,AH$106:AH$134)</f>
        <v/>
      </c>
      <c r="AI208" s="863">
        <f>SUMIF($C$73:$C$101,$C208,AI$73:AI$101)-SUMIF($C$106:$C$134,$C208,AI$106:AI$134)</f>
        <v/>
      </c>
      <c r="AJ208" s="863">
        <f>SUMIF($C$73:$C$101,$C208,AJ$73:AJ$101)-SUMIF($C$106:$C$134,$C208,AJ$106:AJ$134)</f>
        <v/>
      </c>
      <c r="AK208" s="863">
        <f>SUMIF($C$73:$C$101,$C208,AK$73:AK$101)-SUMIF($C$106:$C$134,$C208,AK$106:AK$134)</f>
        <v/>
      </c>
      <c r="AL208" s="863">
        <f>SUMIF($C$73:$C$101,$C208,AL$73:AL$101)-SUMIF($C$106:$C$134,$C208,AL$106:AL$134)</f>
        <v/>
      </c>
      <c r="AM208" s="863">
        <f>SUMIF($C$73:$C$101,$C208,AM$73:AM$101)-SUMIF($C$106:$C$134,$C208,AM$106:AM$134)</f>
        <v/>
      </c>
      <c r="AN208" s="863">
        <f>SUMIF($C$73:$C$101,$C208,AN$73:AN$101)-SUMIF($C$106:$C$134,$C208,AN$106:AN$134)</f>
        <v/>
      </c>
      <c r="AO208" s="863">
        <f>SUMIF($C$73:$C$101,$C208,AO$73:AO$101)-SUMIF($C$106:$C$134,$C208,AO$106:AO$134)</f>
        <v/>
      </c>
      <c r="AP208" s="863">
        <f>SUMIF($C$73:$C$101,$C208,AP$73:AP$101)-SUMIF($C$106:$C$134,$C208,AP$106:AP$134)</f>
        <v/>
      </c>
      <c r="AQ208" s="863">
        <f>SUMIF($C$73:$C$101,$C208,AQ$73:AQ$101)-SUMIF($C$106:$C$134,$C208,AQ$106:AQ$134)</f>
        <v/>
      </c>
      <c r="AR208" s="863">
        <f>SUMIF($C$73:$C$101,$C208,AR$73:AR$101)-SUMIF($C$106:$C$134,$C208,AR$106:AR$134)</f>
        <v/>
      </c>
      <c r="AS208" s="863">
        <f>SUMIF($C$73:$C$101,$C208,AS$73:AS$101)-SUMIF($C$106:$C$134,$C208,AS$106:AS$134)</f>
        <v/>
      </c>
      <c r="AT208" s="863">
        <f>SUMIF($C$73:$C$101,$C208,AT$73:AT$101)-SUMIF($C$106:$C$134,$C208,AT$106:AT$134)</f>
        <v/>
      </c>
      <c r="AU208" s="863">
        <f>SUMIF($C$73:$C$101,$C208,AU$73:AU$101)-SUMIF($C$106:$C$134,$C208,AU$106:AU$134)</f>
        <v/>
      </c>
      <c r="AV208" s="863">
        <f>SUMIF($C$73:$C$101,$C208,AV$73:AV$101)-SUMIF($C$106:$C$134,$C208,AV$106:AV$134)</f>
        <v/>
      </c>
      <c r="AW208" s="863">
        <f>SUMIF($C$73:$C$101,$C208,AW$73:AW$101)-SUMIF($C$106:$C$134,$C208,AW$106:AW$134)</f>
        <v/>
      </c>
      <c r="AX208" s="863">
        <f>SUMIF($C$73:$C$101,$C208,AX$73:AX$101)-SUMIF($C$106:$C$134,$C208,AX$106:AX$134)</f>
        <v/>
      </c>
      <c r="AY208" s="863">
        <f>SUMIF($C$73:$C$101,$C208,AY$73:AY$101)-SUMIF($C$106:$C$134,$C208,AY$106:AY$134)</f>
        <v/>
      </c>
    </row>
    <row r="209" ht="17.25" customFormat="1" customHeight="1" s="85" thickBot="1" thickTop="1">
      <c r="A209" s="96" t="n"/>
      <c r="B209" s="83">
        <f>'Scale Calculation'!C21</f>
        <v/>
      </c>
      <c r="C209" s="335" t="inlineStr">
        <is>
          <t>Commercial Loans/Lines of Credit Not Real Estate Secured</t>
        </is>
      </c>
      <c r="D209" s="877">
        <f>SUMIF($C$73:$C$101,$C209,D$73:D$101)-SUMIF($C$106:$C$134,$C209,D$106:D$134)</f>
        <v/>
      </c>
      <c r="E209" s="867">
        <f>SUMIF($C$73:$C$101,$C209,E$73:E$101)-SUMIF($C$106:$C$134,$C209,E$106:E$134)</f>
        <v/>
      </c>
      <c r="F209" s="867">
        <f>SUMIF($C$73:$C$101,$C209,F$73:F$101)-SUMIF($C$106:$C$134,$C209,F$106:F$134)</f>
        <v/>
      </c>
      <c r="G209" s="867">
        <f>SUMIF($C$73:$C$101,$C209,G$73:G$101)-SUMIF($C$106:$C$134,$C209,G$106:G$134)</f>
        <v/>
      </c>
      <c r="H209" s="867">
        <f>SUMIF($C$73:$C$101,$C209,H$73:H$101)-SUMIF($C$106:$C$134,$C209,H$106:H$134)</f>
        <v/>
      </c>
      <c r="I209" s="867">
        <f>SUMIF($C$73:$C$101,$C209,I$73:I$101)-SUMIF($C$106:$C$134,$C209,I$106:I$134)</f>
        <v/>
      </c>
      <c r="J209" s="867">
        <f>SUMIF($C$73:$C$101,$C209,J$73:J$101)-SUMIF($C$106:$C$134,$C209,J$106:J$134)</f>
        <v/>
      </c>
      <c r="K209" s="867">
        <f>SUMIF($C$73:$C$101,$C209,K$73:K$101)-SUMIF($C$106:$C$134,$C209,K$106:K$134)</f>
        <v/>
      </c>
      <c r="L209" s="867">
        <f>SUMIF($C$73:$C$101,$C209,L$73:L$101)-SUMIF($C$106:$C$134,$C209,L$106:L$134)</f>
        <v/>
      </c>
      <c r="M209" s="867">
        <f>SUMIF($C$73:$C$101,$C209,M$73:M$101)-SUMIF($C$106:$C$134,$C209,M$106:M$134)</f>
        <v/>
      </c>
      <c r="N209" s="867">
        <f>SUMIF($C$73:$C$101,$C209,N$73:N$101)-SUMIF($C$106:$C$134,$C209,N$106:N$134)</f>
        <v/>
      </c>
      <c r="O209" s="867">
        <f>SUMIF($C$73:$C$101,$C209,O$73:O$101)-SUMIF($C$106:$C$134,$C209,O$106:O$134)</f>
        <v/>
      </c>
      <c r="P209" s="867">
        <f>SUMIF($C$73:$C$101,$C209,P$73:P$101)-SUMIF($C$106:$C$134,$C209,P$106:P$134)</f>
        <v/>
      </c>
      <c r="Q209" s="867">
        <f>SUMIF($C$73:$C$101,$C209,Q$73:Q$101)-SUMIF($C$106:$C$134,$C209,Q$106:Q$134)</f>
        <v/>
      </c>
      <c r="R209" s="867">
        <f>SUMIF($C$73:$C$101,$C209,R$73:R$101)-SUMIF($C$106:$C$134,$C209,R$106:R$134)</f>
        <v/>
      </c>
      <c r="S209" s="867">
        <f>SUMIF($C$73:$C$101,$C209,S$73:S$101)-SUMIF($C$106:$C$134,$C209,S$106:S$134)</f>
        <v/>
      </c>
      <c r="T209" s="867">
        <f>SUMIF($C$73:$C$101,$C209,T$73:T$101)-SUMIF($C$106:$C$134,$C209,T$106:T$134)</f>
        <v/>
      </c>
      <c r="U209" s="867">
        <f>SUMIF($C$73:$C$101,$C209,U$73:U$101)-SUMIF($C$106:$C$134,$C209,U$106:U$134)</f>
        <v/>
      </c>
      <c r="V209" s="867">
        <f>SUMIF($C$73:$C$101,$C209,V$73:V$101)-SUMIF($C$106:$C$134,$C209,V$106:V$134)</f>
        <v/>
      </c>
      <c r="W209" s="867">
        <f>SUMIF($C$73:$C$101,$C209,W$73:W$101)-SUMIF($C$106:$C$134,$C209,W$106:W$134)</f>
        <v/>
      </c>
      <c r="X209" s="867">
        <f>SUMIF($C$73:$C$101,$C209,X$73:X$101)-SUMIF($C$106:$C$134,$C209,X$106:X$134)</f>
        <v/>
      </c>
      <c r="Y209" s="867">
        <f>SUMIF($C$73:$C$101,$C209,Y$73:Y$101)-SUMIF($C$106:$C$134,$C209,Y$106:Y$134)</f>
        <v/>
      </c>
      <c r="Z209" s="867">
        <f>SUMIF($C$73:$C$101,$C209,Z$73:Z$101)-SUMIF($C$106:$C$134,$C209,Z$106:Z$134)</f>
        <v/>
      </c>
      <c r="AA209" s="867">
        <f>SUMIF($C$73:$C$101,$C209,AA$73:AA$101)-SUMIF($C$106:$C$134,$C209,AA$106:AA$134)</f>
        <v/>
      </c>
      <c r="AB209" s="867">
        <f>SUMIF($C$73:$C$101,$C209,AB$73:AB$101)-SUMIF($C$106:$C$134,$C209,AB$106:AB$134)</f>
        <v/>
      </c>
      <c r="AC209" s="867">
        <f>SUMIF($C$73:$C$101,$C209,AC$73:AC$101)-SUMIF($C$106:$C$134,$C209,AC$106:AC$134)</f>
        <v/>
      </c>
      <c r="AD209" s="867">
        <f>SUMIF($C$73:$C$101,$C209,AD$73:AD$101)-SUMIF($C$106:$C$134,$C209,AD$106:AD$134)</f>
        <v/>
      </c>
      <c r="AE209" s="867">
        <f>SUMIF($C$73:$C$101,$C209,AE$73:AE$101)-SUMIF($C$106:$C$134,$C209,AE$106:AE$134)</f>
        <v/>
      </c>
      <c r="AF209" s="867">
        <f>SUMIF($C$73:$C$101,$C209,AF$73:AF$101)-SUMIF($C$106:$C$134,$C209,AF$106:AF$134)</f>
        <v/>
      </c>
      <c r="AG209" s="867">
        <f>SUMIF($C$73:$C$101,$C209,AG$73:AG$101)-SUMIF($C$106:$C$134,$C209,AG$106:AG$134)</f>
        <v/>
      </c>
      <c r="AH209" s="867">
        <f>SUMIF($C$73:$C$101,$C209,AH$73:AH$101)-SUMIF($C$106:$C$134,$C209,AH$106:AH$134)</f>
        <v/>
      </c>
      <c r="AI209" s="867">
        <f>SUMIF($C$73:$C$101,$C209,AI$73:AI$101)-SUMIF($C$106:$C$134,$C209,AI$106:AI$134)</f>
        <v/>
      </c>
      <c r="AJ209" s="867">
        <f>SUMIF($C$73:$C$101,$C209,AJ$73:AJ$101)-SUMIF($C$106:$C$134,$C209,AJ$106:AJ$134)</f>
        <v/>
      </c>
      <c r="AK209" s="867">
        <f>SUMIF($C$73:$C$101,$C209,AK$73:AK$101)-SUMIF($C$106:$C$134,$C209,AK$106:AK$134)</f>
        <v/>
      </c>
      <c r="AL209" s="867">
        <f>SUMIF($C$73:$C$101,$C209,AL$73:AL$101)-SUMIF($C$106:$C$134,$C209,AL$106:AL$134)</f>
        <v/>
      </c>
      <c r="AM209" s="867">
        <f>SUMIF($C$73:$C$101,$C209,AM$73:AM$101)-SUMIF($C$106:$C$134,$C209,AM$106:AM$134)</f>
        <v/>
      </c>
      <c r="AN209" s="867">
        <f>SUMIF($C$73:$C$101,$C209,AN$73:AN$101)-SUMIF($C$106:$C$134,$C209,AN$106:AN$134)</f>
        <v/>
      </c>
      <c r="AO209" s="867">
        <f>SUMIF($C$73:$C$101,$C209,AO$73:AO$101)-SUMIF($C$106:$C$134,$C209,AO$106:AO$134)</f>
        <v/>
      </c>
      <c r="AP209" s="867">
        <f>SUMIF($C$73:$C$101,$C209,AP$73:AP$101)-SUMIF($C$106:$C$134,$C209,AP$106:AP$134)</f>
        <v/>
      </c>
      <c r="AQ209" s="867">
        <f>SUMIF($C$73:$C$101,$C209,AQ$73:AQ$101)-SUMIF($C$106:$C$134,$C209,AQ$106:AQ$134)</f>
        <v/>
      </c>
      <c r="AR209" s="867">
        <f>SUMIF($C$73:$C$101,$C209,AR$73:AR$101)-SUMIF($C$106:$C$134,$C209,AR$106:AR$134)</f>
        <v/>
      </c>
      <c r="AS209" s="867">
        <f>SUMIF($C$73:$C$101,$C209,AS$73:AS$101)-SUMIF($C$106:$C$134,$C209,AS$106:AS$134)</f>
        <v/>
      </c>
      <c r="AT209" s="867">
        <f>SUMIF($C$73:$C$101,$C209,AT$73:AT$101)-SUMIF($C$106:$C$134,$C209,AT$106:AT$134)</f>
        <v/>
      </c>
      <c r="AU209" s="867">
        <f>SUMIF($C$73:$C$101,$C209,AU$73:AU$101)-SUMIF($C$106:$C$134,$C209,AU$106:AU$134)</f>
        <v/>
      </c>
      <c r="AV209" s="867">
        <f>SUMIF($C$73:$C$101,$C209,AV$73:AV$101)-SUMIF($C$106:$C$134,$C209,AV$106:AV$134)</f>
        <v/>
      </c>
      <c r="AW209" s="867">
        <f>SUMIF($C$73:$C$101,$C209,AW$73:AW$101)-SUMIF($C$106:$C$134,$C209,AW$106:AW$134)</f>
        <v/>
      </c>
      <c r="AX209" s="867">
        <f>SUMIF($C$73:$C$101,$C209,AX$73:AX$101)-SUMIF($C$106:$C$134,$C209,AX$106:AX$134)</f>
        <v/>
      </c>
      <c r="AY209" s="867">
        <f>SUMIF($C$73:$C$101,$C209,AY$73:AY$101)-SUMIF($C$106:$C$134,$C209,AY$106:AY$134)</f>
        <v/>
      </c>
    </row>
    <row r="210" ht="17.25" customFormat="1" customHeight="1" s="85" thickBot="1" thickTop="1">
      <c r="A210" s="96" t="n"/>
      <c r="B210" s="89" t="inlineStr">
        <is>
          <t>YTD Net Charge offs</t>
        </is>
      </c>
      <c r="C210" s="332" t="n"/>
      <c r="D210" s="867">
        <f>SUM(D197:D209)</f>
        <v/>
      </c>
      <c r="E210" s="867">
        <f>SUM(E197:E209)</f>
        <v/>
      </c>
      <c r="F210" s="867">
        <f>SUM(F197:F209)</f>
        <v/>
      </c>
      <c r="G210" s="867">
        <f>SUM(G197:G209)</f>
        <v/>
      </c>
      <c r="H210" s="867">
        <f>SUM(H197:H209)</f>
        <v/>
      </c>
      <c r="I210" s="867">
        <f>SUM(I197:I209)</f>
        <v/>
      </c>
      <c r="J210" s="867">
        <f>SUM(J197:J209)</f>
        <v/>
      </c>
      <c r="K210" s="867">
        <f>SUM(K197:K209)</f>
        <v/>
      </c>
      <c r="L210" s="867">
        <f>SUM(L197:L209)</f>
        <v/>
      </c>
      <c r="M210" s="867">
        <f>SUM(M197:M209)</f>
        <v/>
      </c>
      <c r="N210" s="867">
        <f>SUM(N197:N209)</f>
        <v/>
      </c>
      <c r="O210" s="867">
        <f>SUM(O197:O209)</f>
        <v/>
      </c>
      <c r="P210" s="867">
        <f>SUM(P197:P209)</f>
        <v/>
      </c>
      <c r="Q210" s="867">
        <f>SUM(Q197:Q209)</f>
        <v/>
      </c>
      <c r="R210" s="867">
        <f>SUM(R197:R209)</f>
        <v/>
      </c>
      <c r="S210" s="867">
        <f>SUM(S197:S209)</f>
        <v/>
      </c>
      <c r="T210" s="867">
        <f>SUM(T197:T209)</f>
        <v/>
      </c>
      <c r="U210" s="867">
        <f>SUM(U197:U209)</f>
        <v/>
      </c>
      <c r="V210" s="867">
        <f>SUM(V197:V209)</f>
        <v/>
      </c>
      <c r="W210" s="867">
        <f>SUM(W197:W209)</f>
        <v/>
      </c>
      <c r="X210" s="867">
        <f>SUM(X197:X209)</f>
        <v/>
      </c>
      <c r="Y210" s="867">
        <f>SUM(Y197:Y209)</f>
        <v/>
      </c>
      <c r="Z210" s="867">
        <f>SUM(Z197:Z209)</f>
        <v/>
      </c>
      <c r="AA210" s="867">
        <f>SUM(AA197:AA209)</f>
        <v/>
      </c>
      <c r="AB210" s="867">
        <f>SUM(AB197:AB209)</f>
        <v/>
      </c>
      <c r="AC210" s="867">
        <f>SUM(AC197:AC209)</f>
        <v/>
      </c>
      <c r="AD210" s="867">
        <f>SUM(AD197:AD209)</f>
        <v/>
      </c>
      <c r="AE210" s="867">
        <f>SUM(AE197:AE209)</f>
        <v/>
      </c>
      <c r="AF210" s="867">
        <f>SUM(AF197:AF209)</f>
        <v/>
      </c>
      <c r="AG210" s="867">
        <f>SUM(AG197:AG209)</f>
        <v/>
      </c>
      <c r="AH210" s="867">
        <f>SUM(AH197:AH209)</f>
        <v/>
      </c>
      <c r="AI210" s="867">
        <f>SUM(AI197:AI209)</f>
        <v/>
      </c>
      <c r="AJ210" s="867">
        <f>SUM(AJ197:AJ209)</f>
        <v/>
      </c>
      <c r="AK210" s="867">
        <f>SUM(AK197:AK209)</f>
        <v/>
      </c>
      <c r="AL210" s="867">
        <f>SUM(AL197:AL209)</f>
        <v/>
      </c>
      <c r="AM210" s="867">
        <f>SUM(AM197:AM209)</f>
        <v/>
      </c>
      <c r="AN210" s="867">
        <f>SUM(AN197:AN209)</f>
        <v/>
      </c>
      <c r="AO210" s="867">
        <f>SUM(AO197:AO209)</f>
        <v/>
      </c>
      <c r="AP210" s="867">
        <f>SUM(AP197:AP209)</f>
        <v/>
      </c>
      <c r="AQ210" s="867">
        <f>SUM(AQ197:AQ209)</f>
        <v/>
      </c>
      <c r="AR210" s="867">
        <f>SUM(AR197:AR209)</f>
        <v/>
      </c>
      <c r="AS210" s="867">
        <f>SUM(AS197:AS209)</f>
        <v/>
      </c>
      <c r="AT210" s="867">
        <f>SUM(AT197:AT209)</f>
        <v/>
      </c>
      <c r="AU210" s="867">
        <f>SUM(AU197:AU209)</f>
        <v/>
      </c>
      <c r="AV210" s="867">
        <f>SUM(AV197:AV209)</f>
        <v/>
      </c>
      <c r="AW210" s="867">
        <f>SUM(AW197:AW209)</f>
        <v/>
      </c>
      <c r="AX210" s="867">
        <f>SUM(AX197:AX209)</f>
        <v/>
      </c>
      <c r="AY210" s="867">
        <f>SUM(AY197:AY209)</f>
        <v/>
      </c>
    </row>
    <row r="212" ht="13.5" customFormat="1" customHeight="1" s="85" thickBot="1">
      <c r="A212" s="96" t="inlineStr">
        <is>
          <t>Column Reference</t>
        </is>
      </c>
      <c r="D212" s="85">
        <f>COLUMN(D213)</f>
        <v/>
      </c>
      <c r="E212" s="85">
        <f>COLUMN(E213)</f>
        <v/>
      </c>
      <c r="F212" s="85">
        <f>COLUMN(F213)</f>
        <v/>
      </c>
      <c r="G212" s="85">
        <f>COLUMN(G213)</f>
        <v/>
      </c>
      <c r="H212" s="85">
        <f>COLUMN(H213)</f>
        <v/>
      </c>
      <c r="I212" s="85">
        <f>COLUMN(I213)</f>
        <v/>
      </c>
      <c r="J212" s="85">
        <f>COLUMN(J213)</f>
        <v/>
      </c>
      <c r="K212" s="85">
        <f>COLUMN(K213)</f>
        <v/>
      </c>
      <c r="L212" s="85">
        <f>COLUMN(L213)</f>
        <v/>
      </c>
      <c r="M212" s="85">
        <f>COLUMN(M213)</f>
        <v/>
      </c>
      <c r="N212" s="85">
        <f>COLUMN(N213)</f>
        <v/>
      </c>
      <c r="O212" s="85">
        <f>COLUMN(O213)</f>
        <v/>
      </c>
      <c r="P212" s="85">
        <f>COLUMN(P213)</f>
        <v/>
      </c>
      <c r="Q212" s="85">
        <f>COLUMN(Q213)</f>
        <v/>
      </c>
      <c r="R212" s="85">
        <f>COLUMN(R213)</f>
        <v/>
      </c>
      <c r="S212" s="85">
        <f>COLUMN(S213)</f>
        <v/>
      </c>
      <c r="T212" s="85">
        <f>COLUMN(T213)</f>
        <v/>
      </c>
      <c r="U212" s="85">
        <f>COLUMN(U213)</f>
        <v/>
      </c>
      <c r="V212" s="85">
        <f>COLUMN(V213)</f>
        <v/>
      </c>
      <c r="W212" s="85">
        <f>COLUMN(W213)</f>
        <v/>
      </c>
      <c r="X212" s="85">
        <f>COLUMN(X213)</f>
        <v/>
      </c>
      <c r="Y212" s="85">
        <f>COLUMN(Y213)</f>
        <v/>
      </c>
      <c r="Z212" s="85">
        <f>COLUMN(Z213)</f>
        <v/>
      </c>
      <c r="AA212" s="85">
        <f>COLUMN(AA213)</f>
        <v/>
      </c>
      <c r="AB212" s="85">
        <f>COLUMN(AB213)</f>
        <v/>
      </c>
      <c r="AC212" s="85">
        <f>COLUMN(AC213)</f>
        <v/>
      </c>
      <c r="AD212" s="85">
        <f>COLUMN(AD213)</f>
        <v/>
      </c>
      <c r="AE212" s="85">
        <f>COLUMN(AE213)</f>
        <v/>
      </c>
      <c r="AF212" s="85">
        <f>COLUMN(AF213)</f>
        <v/>
      </c>
      <c r="AG212" s="85">
        <f>COLUMN(AG213)</f>
        <v/>
      </c>
      <c r="AH212" s="85">
        <f>COLUMN(AH213)</f>
        <v/>
      </c>
      <c r="AI212" s="85">
        <f>COLUMN(AI213)</f>
        <v/>
      </c>
      <c r="AJ212" s="85">
        <f>COLUMN(AJ213)</f>
        <v/>
      </c>
      <c r="AK212" s="85">
        <f>COLUMN(AK213)</f>
        <v/>
      </c>
      <c r="AL212" s="85">
        <f>COLUMN(AL213)</f>
        <v/>
      </c>
      <c r="AM212" s="85">
        <f>COLUMN(AM213)</f>
        <v/>
      </c>
      <c r="AN212" s="85">
        <f>COLUMN(AN213)</f>
        <v/>
      </c>
      <c r="AO212" s="85">
        <f>COLUMN(AO213)</f>
        <v/>
      </c>
      <c r="AP212" s="85">
        <f>COLUMN(AP213)</f>
        <v/>
      </c>
      <c r="AQ212" s="85">
        <f>COLUMN(AQ213)</f>
        <v/>
      </c>
      <c r="AR212" s="85">
        <f>COLUMN(AR213)</f>
        <v/>
      </c>
      <c r="AS212" s="85">
        <f>COLUMN(AS213)</f>
        <v/>
      </c>
      <c r="AT212" s="85">
        <f>COLUMN(AT213)</f>
        <v/>
      </c>
      <c r="AU212" s="85">
        <f>COLUMN(AU213)</f>
        <v/>
      </c>
      <c r="AV212" s="85">
        <f>COLUMN(AV213)</f>
        <v/>
      </c>
      <c r="AW212" s="85">
        <f>COLUMN(AW213)</f>
        <v/>
      </c>
      <c r="AX212" s="85">
        <f>COLUMN(AX213)</f>
        <v/>
      </c>
      <c r="AY212" s="85">
        <f>COLUMN(AY213)</f>
        <v/>
      </c>
    </row>
    <row r="213" ht="13.5" customFormat="1" customHeight="1" s="85" thickBot="1">
      <c r="A213" s="96" t="n"/>
      <c r="B213" s="80" t="inlineStr">
        <is>
          <t>YTD Net Charge offs</t>
        </is>
      </c>
      <c r="C213" s="327" t="n"/>
      <c r="D213" s="81">
        <f>D196</f>
        <v/>
      </c>
      <c r="E213" s="81">
        <f>E196</f>
        <v/>
      </c>
      <c r="F213" s="81">
        <f>F196</f>
        <v/>
      </c>
      <c r="G213" s="81">
        <f>G196</f>
        <v/>
      </c>
      <c r="H213" s="81">
        <f>H196</f>
        <v/>
      </c>
      <c r="I213" s="81">
        <f>I196</f>
        <v/>
      </c>
      <c r="J213" s="81">
        <f>J196</f>
        <v/>
      </c>
      <c r="K213" s="81">
        <f>K196</f>
        <v/>
      </c>
      <c r="L213" s="81">
        <f>L196</f>
        <v/>
      </c>
      <c r="M213" s="81">
        <f>M196</f>
        <v/>
      </c>
      <c r="N213" s="81">
        <f>N196</f>
        <v/>
      </c>
      <c r="O213" s="81">
        <f>O196</f>
        <v/>
      </c>
      <c r="P213" s="81">
        <f>P196</f>
        <v/>
      </c>
      <c r="Q213" s="81">
        <f>Q196</f>
        <v/>
      </c>
      <c r="R213" s="81">
        <f>R196</f>
        <v/>
      </c>
      <c r="S213" s="81">
        <f>S196</f>
        <v/>
      </c>
      <c r="T213" s="81">
        <f>T196</f>
        <v/>
      </c>
      <c r="U213" s="81">
        <f>U196</f>
        <v/>
      </c>
      <c r="V213" s="81">
        <f>V196</f>
        <v/>
      </c>
      <c r="W213" s="81">
        <f>W196</f>
        <v/>
      </c>
      <c r="X213" s="81">
        <f>X196</f>
        <v/>
      </c>
      <c r="Y213" s="81">
        <f>Y196</f>
        <v/>
      </c>
      <c r="Z213" s="81">
        <f>Z196</f>
        <v/>
      </c>
      <c r="AA213" s="81">
        <f>AA196</f>
        <v/>
      </c>
      <c r="AB213" s="81">
        <f>AB196</f>
        <v/>
      </c>
      <c r="AC213" s="81">
        <f>AC196</f>
        <v/>
      </c>
      <c r="AD213" s="81">
        <f>AD196</f>
        <v/>
      </c>
      <c r="AE213" s="81">
        <f>AE196</f>
        <v/>
      </c>
      <c r="AF213" s="81">
        <f>AF196</f>
        <v/>
      </c>
      <c r="AG213" s="81">
        <f>AG196</f>
        <v/>
      </c>
      <c r="AH213" s="81">
        <f>AH196</f>
        <v/>
      </c>
      <c r="AI213" s="81">
        <f>AI196</f>
        <v/>
      </c>
      <c r="AJ213" s="81">
        <f>AJ196</f>
        <v/>
      </c>
      <c r="AK213" s="81">
        <f>AK196</f>
        <v/>
      </c>
      <c r="AL213" s="81">
        <f>AL196</f>
        <v/>
      </c>
      <c r="AM213" s="81">
        <f>AM196</f>
        <v/>
      </c>
      <c r="AN213" s="81">
        <f>AN196</f>
        <v/>
      </c>
      <c r="AO213" s="81">
        <f>AO196</f>
        <v/>
      </c>
      <c r="AP213" s="81">
        <f>AP196</f>
        <v/>
      </c>
      <c r="AQ213" s="81">
        <f>AQ196</f>
        <v/>
      </c>
      <c r="AR213" s="81">
        <f>AR196</f>
        <v/>
      </c>
      <c r="AS213" s="81">
        <f>AS196</f>
        <v/>
      </c>
      <c r="AT213" s="81">
        <f>AT196</f>
        <v/>
      </c>
      <c r="AU213" s="81">
        <f>AU196</f>
        <v/>
      </c>
      <c r="AV213" s="81">
        <f>AV196</f>
        <v/>
      </c>
      <c r="AW213" s="81">
        <f>AW196</f>
        <v/>
      </c>
      <c r="AX213" s="81">
        <f>AX196</f>
        <v/>
      </c>
      <c r="AY213" s="81">
        <f>AY196</f>
        <v/>
      </c>
    </row>
    <row r="214" ht="17.25" customFormat="1" customHeight="1" s="85" thickBot="1" thickTop="1">
      <c r="A214" s="96" t="n"/>
      <c r="B214" s="83">
        <f>B197</f>
        <v/>
      </c>
      <c r="C214" s="335" t="inlineStr">
        <is>
          <t>Unsecured Credit Card Loans</t>
        </is>
      </c>
      <c r="D214" s="863">
        <f>D197</f>
        <v/>
      </c>
      <c r="E214" s="863">
        <f>IF(E$229=3,E197,E197-_xlfn.XLOOKUP(E$212-1,$212:$212,197:197,,0,1))</f>
        <v/>
      </c>
      <c r="F214" s="863">
        <f>IF(F$229=3,F197,F197-_xlfn.XLOOKUP(F$212-1,$212:$212,197:197,,0,1))</f>
        <v/>
      </c>
      <c r="G214" s="863">
        <f>IF(G$229=3,G197,G197-_xlfn.XLOOKUP(G$212-1,$212:$212,197:197,,0,1))</f>
        <v/>
      </c>
      <c r="H214" s="863">
        <f>IF(H$229=3,H197,H197-_xlfn.XLOOKUP(H$212-1,$212:$212,197:197,,0,1))</f>
        <v/>
      </c>
      <c r="I214" s="863">
        <f>IF(I$229=3,I197,I197-_xlfn.XLOOKUP(I$212-1,$212:$212,197:197,,0,1))</f>
        <v/>
      </c>
      <c r="J214" s="863">
        <f>IF(J$229=3,J197,J197-_xlfn.XLOOKUP(J$212-1,$212:$212,197:197,,0,1))</f>
        <v/>
      </c>
      <c r="K214" s="863">
        <f>IF(K$229=3,K197,K197-_xlfn.XLOOKUP(K$212-1,$212:$212,197:197,,0,1))</f>
        <v/>
      </c>
      <c r="L214" s="863">
        <f>IF(L$229=3,L197,L197-_xlfn.XLOOKUP(L$212-1,$212:$212,197:197,,0,1))</f>
        <v/>
      </c>
      <c r="M214" s="863">
        <f>IF(M$229=3,M197,M197-_xlfn.XLOOKUP(M$212-1,$212:$212,197:197,,0,1))</f>
        <v/>
      </c>
      <c r="N214" s="863">
        <f>IF(N$229=3,N197,N197-_xlfn.XLOOKUP(N$212-1,$212:$212,197:197,,0,1))</f>
        <v/>
      </c>
      <c r="O214" s="863">
        <f>IF(O$229=3,O197,O197-_xlfn.XLOOKUP(O$212-1,$212:$212,197:197,,0,1))</f>
        <v/>
      </c>
      <c r="P214" s="863">
        <f>IF(P$229=3,P197,P197-_xlfn.XLOOKUP(P$212-1,$212:$212,197:197,,0,1))</f>
        <v/>
      </c>
      <c r="Q214" s="863">
        <f>IF(Q$229=3,Q197,Q197-_xlfn.XLOOKUP(Q$212-1,$212:$212,197:197,,0,1))</f>
        <v/>
      </c>
      <c r="R214" s="863">
        <f>IF(R$229=3,R197,R197-_xlfn.XLOOKUP(R$212-1,$212:$212,197:197,,0,1))</f>
        <v/>
      </c>
      <c r="S214" s="863">
        <f>IF(S$229=3,S197,S197-_xlfn.XLOOKUP(S$212-1,$212:$212,197:197,,0,1))</f>
        <v/>
      </c>
      <c r="T214" s="863">
        <f>IF(T$229=3,T197,T197-_xlfn.XLOOKUP(T$212-1,$212:$212,197:197,,0,1))</f>
        <v/>
      </c>
      <c r="U214" s="863">
        <f>IF(U$229=3,U197,U197-_xlfn.XLOOKUP(U$212-1,$212:$212,197:197,,0,1))</f>
        <v/>
      </c>
      <c r="V214" s="863">
        <f>IF(V$229=3,V197,V197-_xlfn.XLOOKUP(V$212-1,$212:$212,197:197,,0,1))</f>
        <v/>
      </c>
      <c r="W214" s="863">
        <f>IF(W$229=3,W197,W197-_xlfn.XLOOKUP(W$212-1,$212:$212,197:197,,0,1))</f>
        <v/>
      </c>
      <c r="X214" s="863">
        <f>IF(X$229=3,X197,X197-_xlfn.XLOOKUP(X$212-1,$212:$212,197:197,,0,1))</f>
        <v/>
      </c>
      <c r="Y214" s="863">
        <f>IF(Y$229=3,Y197,Y197-_xlfn.XLOOKUP(Y$212-1,$212:$212,197:197,,0,1))</f>
        <v/>
      </c>
      <c r="Z214" s="863">
        <f>IF(Z$229=3,Z197,Z197-_xlfn.XLOOKUP(Z$212-1,$212:$212,197:197,,0,1))</f>
        <v/>
      </c>
      <c r="AA214" s="863">
        <f>IF(AA$229=3,AA197,AA197-_xlfn.XLOOKUP(AA$212-1,$212:$212,197:197,,0,1))</f>
        <v/>
      </c>
      <c r="AB214" s="863">
        <f>IF(AB$229=3,AB197,AB197-_xlfn.XLOOKUP(AB$212-1,$212:$212,197:197,,0,1))</f>
        <v/>
      </c>
      <c r="AC214" s="863">
        <f>IF(AC$229=3,AC197,AC197-_xlfn.XLOOKUP(AC$212-1,$212:$212,197:197,,0,1))</f>
        <v/>
      </c>
      <c r="AD214" s="863">
        <f>IF(AD$229=3,AD197,AD197-_xlfn.XLOOKUP(AD$212-1,$212:$212,197:197,,0,1))</f>
        <v/>
      </c>
      <c r="AE214" s="863">
        <f>IF(AE$229=3,AE197,AE197-_xlfn.XLOOKUP(AE$212-1,$212:$212,197:197,,0,1))</f>
        <v/>
      </c>
      <c r="AF214" s="863">
        <f>IF(AF$229=3,AF197,AF197-_xlfn.XLOOKUP(AF$212-1,$212:$212,197:197,,0,1))</f>
        <v/>
      </c>
      <c r="AG214" s="863">
        <f>IF(AG$229=3,AG197,AG197-_xlfn.XLOOKUP(AG$212-1,$212:$212,197:197,,0,1))</f>
        <v/>
      </c>
      <c r="AH214" s="863">
        <f>IF(AH$229=3,AH197,AH197-_xlfn.XLOOKUP(AH$212-1,$212:$212,197:197,,0,1))</f>
        <v/>
      </c>
      <c r="AI214" s="863">
        <f>IF(AI$229=3,AI197,AI197-_xlfn.XLOOKUP(AI$212-1,$212:$212,197:197,,0,1))</f>
        <v/>
      </c>
      <c r="AJ214" s="863">
        <f>IF(AJ$229=3,AJ197,AJ197-_xlfn.XLOOKUP(AJ$212-1,$212:$212,197:197,,0,1))</f>
        <v/>
      </c>
      <c r="AK214" s="863">
        <f>IF(AK$229=3,AK197,AK197-_xlfn.XLOOKUP(AK$212-1,$212:$212,197:197,,0,1))</f>
        <v/>
      </c>
      <c r="AL214" s="863">
        <f>IF(AL$229=3,AL197,AL197-_xlfn.XLOOKUP(AL$212-1,$212:$212,197:197,,0,1))</f>
        <v/>
      </c>
      <c r="AM214" s="863">
        <f>IF(AM$229=3,AM197,AM197-_xlfn.XLOOKUP(AM$212-1,$212:$212,197:197,,0,1))</f>
        <v/>
      </c>
      <c r="AN214" s="863">
        <f>IF(AN$229=3,AN197,AN197-_xlfn.XLOOKUP(AN$212-1,$212:$212,197:197,,0,1))</f>
        <v/>
      </c>
      <c r="AO214" s="863">
        <f>IF(AO$229=3,AO197,AO197-_xlfn.XLOOKUP(AO$212-1,$212:$212,197:197,,0,1))</f>
        <v/>
      </c>
      <c r="AP214" s="863">
        <f>IF(AP$229=3,AP197,AP197-_xlfn.XLOOKUP(AP$212-1,$212:$212,197:197,,0,1))</f>
        <v/>
      </c>
      <c r="AQ214" s="863">
        <f>IF(AQ$229=3,AQ197,AQ197-_xlfn.XLOOKUP(AQ$212-1,$212:$212,197:197,,0,1))</f>
        <v/>
      </c>
      <c r="AR214" s="863">
        <f>IF(AR$229=3,AR197,AR197-_xlfn.XLOOKUP(AR$212-1,$212:$212,197:197,,0,1))</f>
        <v/>
      </c>
      <c r="AS214" s="863">
        <f>IF(AS$229=3,AS197,AS197-_xlfn.XLOOKUP(AS$212-1,$212:$212,197:197,,0,1))</f>
        <v/>
      </c>
      <c r="AT214" s="863">
        <f>IF(AT$229=3,AT197,AT197-_xlfn.XLOOKUP(AT$212-1,$212:$212,197:197,,0,1))</f>
        <v/>
      </c>
      <c r="AU214" s="863">
        <f>IF(AU$229=3,AU197,AU197-_xlfn.XLOOKUP(AU$212-1,$212:$212,197:197,,0,1))</f>
        <v/>
      </c>
      <c r="AV214" s="863">
        <f>IF(AV$229=3,AV197,AV197-_xlfn.XLOOKUP(AV$212-1,$212:$212,197:197,,0,1))</f>
        <v/>
      </c>
      <c r="AW214" s="863">
        <f>IF(AW$229=3,AW197,AW197-_xlfn.XLOOKUP(AW$212-1,$212:$212,197:197,,0,1))</f>
        <v/>
      </c>
      <c r="AX214" s="863">
        <f>IF(AX$229=3,AX197,AX197-_xlfn.XLOOKUP(AX$212-1,$212:$212,197:197,,0,1))</f>
        <v/>
      </c>
      <c r="AY214" s="863">
        <f>IF(AY$229=3,AY197,AY197-_xlfn.XLOOKUP(AY$212-1,$212:$212,197:197,,0,1))</f>
        <v/>
      </c>
    </row>
    <row r="215" ht="17.25" customFormat="1" customHeight="1" s="85" thickBot="1" thickTop="1">
      <c r="A215" s="96" t="n"/>
      <c r="B215" s="83">
        <f>B198</f>
        <v/>
      </c>
      <c r="C215" s="335" t="inlineStr">
        <is>
          <t>Payday Alternative Loans</t>
        </is>
      </c>
      <c r="D215" s="863">
        <f>D198</f>
        <v/>
      </c>
      <c r="E215" s="863">
        <f>IF(E$229=3,E198,E198-_xlfn.XLOOKUP(E$212-1,$212:$212,198:198,,0,1))</f>
        <v/>
      </c>
      <c r="F215" s="863">
        <f>IF(F$229=3,F198,F198-_xlfn.XLOOKUP(F$212-1,$212:$212,198:198,,0,1))</f>
        <v/>
      </c>
      <c r="G215" s="863">
        <f>IF(G$229=3,G198,G198-_xlfn.XLOOKUP(G$212-1,$212:$212,198:198,,0,1))</f>
        <v/>
      </c>
      <c r="H215" s="863">
        <f>IF(H$229=3,H198,H198-_xlfn.XLOOKUP(H$212-1,$212:$212,198:198,,0,1))</f>
        <v/>
      </c>
      <c r="I215" s="863">
        <f>IF(I$229=3,I198,I198-_xlfn.XLOOKUP(I$212-1,$212:$212,198:198,,0,1))</f>
        <v/>
      </c>
      <c r="J215" s="863">
        <f>IF(J$229=3,J198,J198-_xlfn.XLOOKUP(J$212-1,$212:$212,198:198,,0,1))</f>
        <v/>
      </c>
      <c r="K215" s="863">
        <f>IF(K$229=3,K198,K198-_xlfn.XLOOKUP(K$212-1,$212:$212,198:198,,0,1))</f>
        <v/>
      </c>
      <c r="L215" s="863">
        <f>IF(L$229=3,L198,L198-_xlfn.XLOOKUP(L$212-1,$212:$212,198:198,,0,1))</f>
        <v/>
      </c>
      <c r="M215" s="863">
        <f>IF(M$229=3,M198,M198-_xlfn.XLOOKUP(M$212-1,$212:$212,198:198,,0,1))</f>
        <v/>
      </c>
      <c r="N215" s="863">
        <f>IF(N$229=3,N198,N198-_xlfn.XLOOKUP(N$212-1,$212:$212,198:198,,0,1))</f>
        <v/>
      </c>
      <c r="O215" s="863">
        <f>IF(O$229=3,O198,O198-_xlfn.XLOOKUP(O$212-1,$212:$212,198:198,,0,1))</f>
        <v/>
      </c>
      <c r="P215" s="863">
        <f>IF(P$229=3,P198,P198-_xlfn.XLOOKUP(P$212-1,$212:$212,198:198,,0,1))</f>
        <v/>
      </c>
      <c r="Q215" s="863">
        <f>IF(Q$229=3,Q198,Q198-_xlfn.XLOOKUP(Q$212-1,$212:$212,198:198,,0,1))</f>
        <v/>
      </c>
      <c r="R215" s="863">
        <f>IF(R$229=3,R198,R198-_xlfn.XLOOKUP(R$212-1,$212:$212,198:198,,0,1))</f>
        <v/>
      </c>
      <c r="S215" s="863">
        <f>IF(S$229=3,S198,S198-_xlfn.XLOOKUP(S$212-1,$212:$212,198:198,,0,1))</f>
        <v/>
      </c>
      <c r="T215" s="863">
        <f>IF(T$229=3,T198,T198-_xlfn.XLOOKUP(T$212-1,$212:$212,198:198,,0,1))</f>
        <v/>
      </c>
      <c r="U215" s="863">
        <f>IF(U$229=3,U198,U198-_xlfn.XLOOKUP(U$212-1,$212:$212,198:198,,0,1))</f>
        <v/>
      </c>
      <c r="V215" s="863">
        <f>IF(V$229=3,V198,V198-_xlfn.XLOOKUP(V$212-1,$212:$212,198:198,,0,1))</f>
        <v/>
      </c>
      <c r="W215" s="863">
        <f>IF(W$229=3,W198,W198-_xlfn.XLOOKUP(W$212-1,$212:$212,198:198,,0,1))</f>
        <v/>
      </c>
      <c r="X215" s="863">
        <f>IF(X$229=3,X198,X198-_xlfn.XLOOKUP(X$212-1,$212:$212,198:198,,0,1))</f>
        <v/>
      </c>
      <c r="Y215" s="863">
        <f>IF(Y$229=3,Y198,Y198-_xlfn.XLOOKUP(Y$212-1,$212:$212,198:198,,0,1))</f>
        <v/>
      </c>
      <c r="Z215" s="863">
        <f>IF(Z$229=3,Z198,Z198-_xlfn.XLOOKUP(Z$212-1,$212:$212,198:198,,0,1))</f>
        <v/>
      </c>
      <c r="AA215" s="863">
        <f>IF(AA$229=3,AA198,AA198-_xlfn.XLOOKUP(AA$212-1,$212:$212,198:198,,0,1))</f>
        <v/>
      </c>
      <c r="AB215" s="863">
        <f>IF(AB$229=3,AB198,AB198-_xlfn.XLOOKUP(AB$212-1,$212:$212,198:198,,0,1))</f>
        <v/>
      </c>
      <c r="AC215" s="863">
        <f>IF(AC$229=3,AC198,AC198-_xlfn.XLOOKUP(AC$212-1,$212:$212,198:198,,0,1))</f>
        <v/>
      </c>
      <c r="AD215" s="863">
        <f>IF(AD$229=3,AD198,AD198-_xlfn.XLOOKUP(AD$212-1,$212:$212,198:198,,0,1))</f>
        <v/>
      </c>
      <c r="AE215" s="863">
        <f>IF(AE$229=3,AE198,AE198-_xlfn.XLOOKUP(AE$212-1,$212:$212,198:198,,0,1))</f>
        <v/>
      </c>
      <c r="AF215" s="863">
        <f>IF(AF$229=3,AF198,AF198-_xlfn.XLOOKUP(AF$212-1,$212:$212,198:198,,0,1))</f>
        <v/>
      </c>
      <c r="AG215" s="863">
        <f>IF(AG$229=3,AG198,AG198-_xlfn.XLOOKUP(AG$212-1,$212:$212,198:198,,0,1))</f>
        <v/>
      </c>
      <c r="AH215" s="863">
        <f>IF(AH$229=3,AH198,AH198-_xlfn.XLOOKUP(AH$212-1,$212:$212,198:198,,0,1))</f>
        <v/>
      </c>
      <c r="AI215" s="863">
        <f>IF(AI$229=3,AI198,AI198-_xlfn.XLOOKUP(AI$212-1,$212:$212,198:198,,0,1))</f>
        <v/>
      </c>
      <c r="AJ215" s="863">
        <f>IF(AJ$229=3,AJ198,AJ198-_xlfn.XLOOKUP(AJ$212-1,$212:$212,198:198,,0,1))</f>
        <v/>
      </c>
      <c r="AK215" s="863">
        <f>IF(AK$229=3,AK198,AK198-_xlfn.XLOOKUP(AK$212-1,$212:$212,198:198,,0,1))</f>
        <v/>
      </c>
      <c r="AL215" s="863">
        <f>IF(AL$229=3,AL198,AL198-_xlfn.XLOOKUP(AL$212-1,$212:$212,198:198,,0,1))</f>
        <v/>
      </c>
      <c r="AM215" s="863">
        <f>IF(AM$229=3,AM198,AM198-_xlfn.XLOOKUP(AM$212-1,$212:$212,198:198,,0,1))</f>
        <v/>
      </c>
      <c r="AN215" s="863">
        <f>IF(AN$229=3,AN198,AN198-_xlfn.XLOOKUP(AN$212-1,$212:$212,198:198,,0,1))</f>
        <v/>
      </c>
      <c r="AO215" s="863">
        <f>IF(AO$229=3,AO198,AO198-_xlfn.XLOOKUP(AO$212-1,$212:$212,198:198,,0,1))</f>
        <v/>
      </c>
      <c r="AP215" s="863">
        <f>IF(AP$229=3,AP198,AP198-_xlfn.XLOOKUP(AP$212-1,$212:$212,198:198,,0,1))</f>
        <v/>
      </c>
      <c r="AQ215" s="863">
        <f>IF(AQ$229=3,AQ198,AQ198-_xlfn.XLOOKUP(AQ$212-1,$212:$212,198:198,,0,1))</f>
        <v/>
      </c>
      <c r="AR215" s="863">
        <f>IF(AR$229=3,AR198,AR198-_xlfn.XLOOKUP(AR$212-1,$212:$212,198:198,,0,1))</f>
        <v/>
      </c>
      <c r="AS215" s="863">
        <f>IF(AS$229=3,AS198,AS198-_xlfn.XLOOKUP(AS$212-1,$212:$212,198:198,,0,1))</f>
        <v/>
      </c>
      <c r="AT215" s="863">
        <f>IF(AT$229=3,AT198,AT198-_xlfn.XLOOKUP(AT$212-1,$212:$212,198:198,,0,1))</f>
        <v/>
      </c>
      <c r="AU215" s="863">
        <f>IF(AU$229=3,AU198,AU198-_xlfn.XLOOKUP(AU$212-1,$212:$212,198:198,,0,1))</f>
        <v/>
      </c>
      <c r="AV215" s="863">
        <f>IF(AV$229=3,AV198,AV198-_xlfn.XLOOKUP(AV$212-1,$212:$212,198:198,,0,1))</f>
        <v/>
      </c>
      <c r="AW215" s="863">
        <f>IF(AW$229=3,AW198,AW198-_xlfn.XLOOKUP(AW$212-1,$212:$212,198:198,,0,1))</f>
        <v/>
      </c>
      <c r="AX215" s="863">
        <f>IF(AX$229=3,AX198,AX198-_xlfn.XLOOKUP(AX$212-1,$212:$212,198:198,,0,1))</f>
        <v/>
      </c>
      <c r="AY215" s="863">
        <f>IF(AY$229=3,AY198,AY198-_xlfn.XLOOKUP(AY$212-1,$212:$212,198:198,,0,1))</f>
        <v/>
      </c>
    </row>
    <row r="216" ht="17.25" customFormat="1" customHeight="1" s="85" thickBot="1" thickTop="1">
      <c r="A216" s="96" t="n"/>
      <c r="B216" s="83">
        <f>B199</f>
        <v/>
      </c>
      <c r="C216" s="335" t="inlineStr">
        <is>
          <t>Non-Federally Guaranteed Student Loans</t>
        </is>
      </c>
      <c r="D216" s="863">
        <f>D199</f>
        <v/>
      </c>
      <c r="E216" s="863">
        <f>IF(E$229=3,E199,E199-_xlfn.XLOOKUP(E$212-1,$212:$212,199:199,,0,1))</f>
        <v/>
      </c>
      <c r="F216" s="863">
        <f>IF(F$229=3,F199,F199-_xlfn.XLOOKUP(F$212-1,$212:$212,199:199,,0,1))</f>
        <v/>
      </c>
      <c r="G216" s="863">
        <f>IF(G$229=3,G199,G199-_xlfn.XLOOKUP(G$212-1,$212:$212,199:199,,0,1))</f>
        <v/>
      </c>
      <c r="H216" s="863">
        <f>IF(H$229=3,H199,H199-_xlfn.XLOOKUP(H$212-1,$212:$212,199:199,,0,1))</f>
        <v/>
      </c>
      <c r="I216" s="863">
        <f>IF(I$229=3,I199,I199-_xlfn.XLOOKUP(I$212-1,$212:$212,199:199,,0,1))</f>
        <v/>
      </c>
      <c r="J216" s="863">
        <f>IF(J$229=3,J199,J199-_xlfn.XLOOKUP(J$212-1,$212:$212,199:199,,0,1))</f>
        <v/>
      </c>
      <c r="K216" s="863">
        <f>IF(K$229=3,K199,K199-_xlfn.XLOOKUP(K$212-1,$212:$212,199:199,,0,1))</f>
        <v/>
      </c>
      <c r="L216" s="863">
        <f>IF(L$229=3,L199,L199-_xlfn.XLOOKUP(L$212-1,$212:$212,199:199,,0,1))</f>
        <v/>
      </c>
      <c r="M216" s="863">
        <f>IF(M$229=3,M199,M199-_xlfn.XLOOKUP(M$212-1,$212:$212,199:199,,0,1))</f>
        <v/>
      </c>
      <c r="N216" s="863">
        <f>IF(N$229=3,N199,N199-_xlfn.XLOOKUP(N$212-1,$212:$212,199:199,,0,1))</f>
        <v/>
      </c>
      <c r="O216" s="863">
        <f>IF(O$229=3,O199,O199-_xlfn.XLOOKUP(O$212-1,$212:$212,199:199,,0,1))</f>
        <v/>
      </c>
      <c r="P216" s="863">
        <f>IF(P$229=3,P199,P199-_xlfn.XLOOKUP(P$212-1,$212:$212,199:199,,0,1))</f>
        <v/>
      </c>
      <c r="Q216" s="863">
        <f>IF(Q$229=3,Q199,Q199-_xlfn.XLOOKUP(Q$212-1,$212:$212,199:199,,0,1))</f>
        <v/>
      </c>
      <c r="R216" s="863">
        <f>IF(R$229=3,R199,R199-_xlfn.XLOOKUP(R$212-1,$212:$212,199:199,,0,1))</f>
        <v/>
      </c>
      <c r="S216" s="863">
        <f>IF(S$229=3,S199,S199-_xlfn.XLOOKUP(S$212-1,$212:$212,199:199,,0,1))</f>
        <v/>
      </c>
      <c r="T216" s="863">
        <f>IF(T$229=3,T199,T199-_xlfn.XLOOKUP(T$212-1,$212:$212,199:199,,0,1))</f>
        <v/>
      </c>
      <c r="U216" s="863">
        <f>IF(U$229=3,U199,U199-_xlfn.XLOOKUP(U$212-1,$212:$212,199:199,,0,1))</f>
        <v/>
      </c>
      <c r="V216" s="863">
        <f>IF(V$229=3,V199,V199-_xlfn.XLOOKUP(V$212-1,$212:$212,199:199,,0,1))</f>
        <v/>
      </c>
      <c r="W216" s="863">
        <f>IF(W$229=3,W199,W199-_xlfn.XLOOKUP(W$212-1,$212:$212,199:199,,0,1))</f>
        <v/>
      </c>
      <c r="X216" s="863">
        <f>IF(X$229=3,X199,X199-_xlfn.XLOOKUP(X$212-1,$212:$212,199:199,,0,1))</f>
        <v/>
      </c>
      <c r="Y216" s="863">
        <f>IF(Y$229=3,Y199,Y199-_xlfn.XLOOKUP(Y$212-1,$212:$212,199:199,,0,1))</f>
        <v/>
      </c>
      <c r="Z216" s="863">
        <f>IF(Z$229=3,Z199,Z199-_xlfn.XLOOKUP(Z$212-1,$212:$212,199:199,,0,1))</f>
        <v/>
      </c>
      <c r="AA216" s="863">
        <f>IF(AA$229=3,AA199,AA199-_xlfn.XLOOKUP(AA$212-1,$212:$212,199:199,,0,1))</f>
        <v/>
      </c>
      <c r="AB216" s="863">
        <f>IF(AB$229=3,AB199,AB199-_xlfn.XLOOKUP(AB$212-1,$212:$212,199:199,,0,1))</f>
        <v/>
      </c>
      <c r="AC216" s="863">
        <f>IF(AC$229=3,AC199,AC199-_xlfn.XLOOKUP(AC$212-1,$212:$212,199:199,,0,1))</f>
        <v/>
      </c>
      <c r="AD216" s="863">
        <f>IF(AD$229=3,AD199,AD199-_xlfn.XLOOKUP(AD$212-1,$212:$212,199:199,,0,1))</f>
        <v/>
      </c>
      <c r="AE216" s="863">
        <f>IF(AE$229=3,AE199,AE199-_xlfn.XLOOKUP(AE$212-1,$212:$212,199:199,,0,1))</f>
        <v/>
      </c>
      <c r="AF216" s="863">
        <f>IF(AF$229=3,AF199,AF199-_xlfn.XLOOKUP(AF$212-1,$212:$212,199:199,,0,1))</f>
        <v/>
      </c>
      <c r="AG216" s="863">
        <f>IF(AG$229=3,AG199,AG199-_xlfn.XLOOKUP(AG$212-1,$212:$212,199:199,,0,1))</f>
        <v/>
      </c>
      <c r="AH216" s="863">
        <f>IF(AH$229=3,AH199,AH199-_xlfn.XLOOKUP(AH$212-1,$212:$212,199:199,,0,1))</f>
        <v/>
      </c>
      <c r="AI216" s="863">
        <f>IF(AI$229=3,AI199,AI199-_xlfn.XLOOKUP(AI$212-1,$212:$212,199:199,,0,1))</f>
        <v/>
      </c>
      <c r="AJ216" s="863">
        <f>IF(AJ$229=3,AJ199,AJ199-_xlfn.XLOOKUP(AJ$212-1,$212:$212,199:199,,0,1))</f>
        <v/>
      </c>
      <c r="AK216" s="863">
        <f>IF(AK$229=3,AK199,AK199-_xlfn.XLOOKUP(AK$212-1,$212:$212,199:199,,0,1))</f>
        <v/>
      </c>
      <c r="AL216" s="863">
        <f>IF(AL$229=3,AL199,AL199-_xlfn.XLOOKUP(AL$212-1,$212:$212,199:199,,0,1))</f>
        <v/>
      </c>
      <c r="AM216" s="863">
        <f>IF(AM$229=3,AM199,AM199-_xlfn.XLOOKUP(AM$212-1,$212:$212,199:199,,0,1))</f>
        <v/>
      </c>
      <c r="AN216" s="863">
        <f>IF(AN$229=3,AN199,AN199-_xlfn.XLOOKUP(AN$212-1,$212:$212,199:199,,0,1))</f>
        <v/>
      </c>
      <c r="AO216" s="863">
        <f>IF(AO$229=3,AO199,AO199-_xlfn.XLOOKUP(AO$212-1,$212:$212,199:199,,0,1))</f>
        <v/>
      </c>
      <c r="AP216" s="863">
        <f>IF(AP$229=3,AP199,AP199-_xlfn.XLOOKUP(AP$212-1,$212:$212,199:199,,0,1))</f>
        <v/>
      </c>
      <c r="AQ216" s="863">
        <f>IF(AQ$229=3,AQ199,AQ199-_xlfn.XLOOKUP(AQ$212-1,$212:$212,199:199,,0,1))</f>
        <v/>
      </c>
      <c r="AR216" s="863">
        <f>IF(AR$229=3,AR199,AR199-_xlfn.XLOOKUP(AR$212-1,$212:$212,199:199,,0,1))</f>
        <v/>
      </c>
      <c r="AS216" s="863">
        <f>IF(AS$229=3,AS199,AS199-_xlfn.XLOOKUP(AS$212-1,$212:$212,199:199,,0,1))</f>
        <v/>
      </c>
      <c r="AT216" s="863">
        <f>IF(AT$229=3,AT199,AT199-_xlfn.XLOOKUP(AT$212-1,$212:$212,199:199,,0,1))</f>
        <v/>
      </c>
      <c r="AU216" s="863">
        <f>IF(AU$229=3,AU199,AU199-_xlfn.XLOOKUP(AU$212-1,$212:$212,199:199,,0,1))</f>
        <v/>
      </c>
      <c r="AV216" s="863">
        <f>IF(AV$229=3,AV199,AV199-_xlfn.XLOOKUP(AV$212-1,$212:$212,199:199,,0,1))</f>
        <v/>
      </c>
      <c r="AW216" s="863">
        <f>IF(AW$229=3,AW199,AW199-_xlfn.XLOOKUP(AW$212-1,$212:$212,199:199,,0,1))</f>
        <v/>
      </c>
      <c r="AX216" s="863">
        <f>IF(AX$229=3,AX199,AX199-_xlfn.XLOOKUP(AX$212-1,$212:$212,199:199,,0,1))</f>
        <v/>
      </c>
      <c r="AY216" s="863">
        <f>IF(AY$229=3,AY199,AY199-_xlfn.XLOOKUP(AY$212-1,$212:$212,199:199,,0,1))</f>
        <v/>
      </c>
    </row>
    <row r="217" ht="17.25" customFormat="1" customHeight="1" s="85" thickBot="1" thickTop="1">
      <c r="A217" s="96" t="n"/>
      <c r="B217" s="83">
        <f>B200</f>
        <v/>
      </c>
      <c r="C217" s="335" t="inlineStr">
        <is>
          <t>All Other Unsecured Loans/Lines of Credit</t>
        </is>
      </c>
      <c r="D217" s="863">
        <f>D200</f>
        <v/>
      </c>
      <c r="E217" s="863">
        <f>IF(E$229=3,E200,E200-_xlfn.XLOOKUP(E$212-1,$212:$212,200:200,,0,1))</f>
        <v/>
      </c>
      <c r="F217" s="863">
        <f>IF(F$229=3,F200,F200-_xlfn.XLOOKUP(F$212-1,$212:$212,200:200,,0,1))</f>
        <v/>
      </c>
      <c r="G217" s="863">
        <f>IF(G$229=3,G200,G200-_xlfn.XLOOKUP(G$212-1,$212:$212,200:200,,0,1))</f>
        <v/>
      </c>
      <c r="H217" s="863">
        <f>IF(H$229=3,H200,H200-_xlfn.XLOOKUP(H$212-1,$212:$212,200:200,,0,1))</f>
        <v/>
      </c>
      <c r="I217" s="863">
        <f>IF(I$229=3,I200,I200-_xlfn.XLOOKUP(I$212-1,$212:$212,200:200,,0,1))</f>
        <v/>
      </c>
      <c r="J217" s="863">
        <f>IF(J$229=3,J200,J200-_xlfn.XLOOKUP(J$212-1,$212:$212,200:200,,0,1))</f>
        <v/>
      </c>
      <c r="K217" s="863">
        <f>IF(K$229=3,K200,K200-_xlfn.XLOOKUP(K$212-1,$212:$212,200:200,,0,1))</f>
        <v/>
      </c>
      <c r="L217" s="863">
        <f>IF(L$229=3,L200,L200-_xlfn.XLOOKUP(L$212-1,$212:$212,200:200,,0,1))</f>
        <v/>
      </c>
      <c r="M217" s="863">
        <f>IF(M$229=3,M200,M200-_xlfn.XLOOKUP(M$212-1,$212:$212,200:200,,0,1))</f>
        <v/>
      </c>
      <c r="N217" s="863">
        <f>IF(N$229=3,N200,N200-_xlfn.XLOOKUP(N$212-1,$212:$212,200:200,,0,1))</f>
        <v/>
      </c>
      <c r="O217" s="863">
        <f>IF(O$229=3,O200,O200-_xlfn.XLOOKUP(O$212-1,$212:$212,200:200,,0,1))</f>
        <v/>
      </c>
      <c r="P217" s="863">
        <f>IF(P$229=3,P200,P200-_xlfn.XLOOKUP(P$212-1,$212:$212,200:200,,0,1))</f>
        <v/>
      </c>
      <c r="Q217" s="863">
        <f>IF(Q$229=3,Q200,Q200-_xlfn.XLOOKUP(Q$212-1,$212:$212,200:200,,0,1))</f>
        <v/>
      </c>
      <c r="R217" s="863">
        <f>IF(R$229=3,R200,R200-_xlfn.XLOOKUP(R$212-1,$212:$212,200:200,,0,1))</f>
        <v/>
      </c>
      <c r="S217" s="863">
        <f>IF(S$229=3,S200,S200-_xlfn.XLOOKUP(S$212-1,$212:$212,200:200,,0,1))</f>
        <v/>
      </c>
      <c r="T217" s="863">
        <f>IF(T$229=3,T200,T200-_xlfn.XLOOKUP(T$212-1,$212:$212,200:200,,0,1))</f>
        <v/>
      </c>
      <c r="U217" s="863">
        <f>IF(U$229=3,U200,U200-_xlfn.XLOOKUP(U$212-1,$212:$212,200:200,,0,1))</f>
        <v/>
      </c>
      <c r="V217" s="863">
        <f>IF(V$229=3,V200,V200-_xlfn.XLOOKUP(V$212-1,$212:$212,200:200,,0,1))</f>
        <v/>
      </c>
      <c r="W217" s="863">
        <f>IF(W$229=3,W200,W200-_xlfn.XLOOKUP(W$212-1,$212:$212,200:200,,0,1))</f>
        <v/>
      </c>
      <c r="X217" s="863">
        <f>IF(X$229=3,X200,X200-_xlfn.XLOOKUP(X$212-1,$212:$212,200:200,,0,1))</f>
        <v/>
      </c>
      <c r="Y217" s="863">
        <f>IF(Y$229=3,Y200,Y200-_xlfn.XLOOKUP(Y$212-1,$212:$212,200:200,,0,1))</f>
        <v/>
      </c>
      <c r="Z217" s="863">
        <f>IF(Z$229=3,Z200,Z200-_xlfn.XLOOKUP(Z$212-1,$212:$212,200:200,,0,1))</f>
        <v/>
      </c>
      <c r="AA217" s="863">
        <f>IF(AA$229=3,AA200,AA200-_xlfn.XLOOKUP(AA$212-1,$212:$212,200:200,,0,1))</f>
        <v/>
      </c>
      <c r="AB217" s="863">
        <f>IF(AB$229=3,AB200,AB200-_xlfn.XLOOKUP(AB$212-1,$212:$212,200:200,,0,1))</f>
        <v/>
      </c>
      <c r="AC217" s="863">
        <f>IF(AC$229=3,AC200,AC200-_xlfn.XLOOKUP(AC$212-1,$212:$212,200:200,,0,1))</f>
        <v/>
      </c>
      <c r="AD217" s="863">
        <f>IF(AD$229=3,AD200,AD200-_xlfn.XLOOKUP(AD$212-1,$212:$212,200:200,,0,1))</f>
        <v/>
      </c>
      <c r="AE217" s="863">
        <f>IF(AE$229=3,AE200,AE200-_xlfn.XLOOKUP(AE$212-1,$212:$212,200:200,,0,1))</f>
        <v/>
      </c>
      <c r="AF217" s="863">
        <f>IF(AF$229=3,AF200,AF200-_xlfn.XLOOKUP(AF$212-1,$212:$212,200:200,,0,1))</f>
        <v/>
      </c>
      <c r="AG217" s="863">
        <f>IF(AG$229=3,AG200,AG200-_xlfn.XLOOKUP(AG$212-1,$212:$212,200:200,,0,1))</f>
        <v/>
      </c>
      <c r="AH217" s="863">
        <f>IF(AH$229=3,AH200,AH200-_xlfn.XLOOKUP(AH$212-1,$212:$212,200:200,,0,1))</f>
        <v/>
      </c>
      <c r="AI217" s="863">
        <f>IF(AI$229=3,AI200,AI200-_xlfn.XLOOKUP(AI$212-1,$212:$212,200:200,,0,1))</f>
        <v/>
      </c>
      <c r="AJ217" s="863">
        <f>IF(AJ$229=3,AJ200,AJ200-_xlfn.XLOOKUP(AJ$212-1,$212:$212,200:200,,0,1))</f>
        <v/>
      </c>
      <c r="AK217" s="863">
        <f>IF(AK$229=3,AK200,AK200-_xlfn.XLOOKUP(AK$212-1,$212:$212,200:200,,0,1))</f>
        <v/>
      </c>
      <c r="AL217" s="863">
        <f>IF(AL$229=3,AL200,AL200-_xlfn.XLOOKUP(AL$212-1,$212:$212,200:200,,0,1))</f>
        <v/>
      </c>
      <c r="AM217" s="863">
        <f>IF(AM$229=3,AM200,AM200-_xlfn.XLOOKUP(AM$212-1,$212:$212,200:200,,0,1))</f>
        <v/>
      </c>
      <c r="AN217" s="863">
        <f>IF(AN$229=3,AN200,AN200-_xlfn.XLOOKUP(AN$212-1,$212:$212,200:200,,0,1))</f>
        <v/>
      </c>
      <c r="AO217" s="863">
        <f>IF(AO$229=3,AO200,AO200-_xlfn.XLOOKUP(AO$212-1,$212:$212,200:200,,0,1))</f>
        <v/>
      </c>
      <c r="AP217" s="863">
        <f>IF(AP$229=3,AP200,AP200-_xlfn.XLOOKUP(AP$212-1,$212:$212,200:200,,0,1))</f>
        <v/>
      </c>
      <c r="AQ217" s="863">
        <f>IF(AQ$229=3,AQ200,AQ200-_xlfn.XLOOKUP(AQ$212-1,$212:$212,200:200,,0,1))</f>
        <v/>
      </c>
      <c r="AR217" s="863">
        <f>IF(AR$229=3,AR200,AR200-_xlfn.XLOOKUP(AR$212-1,$212:$212,200:200,,0,1))</f>
        <v/>
      </c>
      <c r="AS217" s="863">
        <f>IF(AS$229=3,AS200,AS200-_xlfn.XLOOKUP(AS$212-1,$212:$212,200:200,,0,1))</f>
        <v/>
      </c>
      <c r="AT217" s="863">
        <f>IF(AT$229=3,AT200,AT200-_xlfn.XLOOKUP(AT$212-1,$212:$212,200:200,,0,1))</f>
        <v/>
      </c>
      <c r="AU217" s="863">
        <f>IF(AU$229=3,AU200,AU200-_xlfn.XLOOKUP(AU$212-1,$212:$212,200:200,,0,1))</f>
        <v/>
      </c>
      <c r="AV217" s="863">
        <f>IF(AV$229=3,AV200,AV200-_xlfn.XLOOKUP(AV$212-1,$212:$212,200:200,,0,1))</f>
        <v/>
      </c>
      <c r="AW217" s="863">
        <f>IF(AW$229=3,AW200,AW200-_xlfn.XLOOKUP(AW$212-1,$212:$212,200:200,,0,1))</f>
        <v/>
      </c>
      <c r="AX217" s="863">
        <f>IF(AX$229=3,AX200,AX200-_xlfn.XLOOKUP(AX$212-1,$212:$212,200:200,,0,1))</f>
        <v/>
      </c>
      <c r="AY217" s="863">
        <f>IF(AY$229=3,AY200,AY200-_xlfn.XLOOKUP(AY$212-1,$212:$212,200:200,,0,1))</f>
        <v/>
      </c>
    </row>
    <row r="218" ht="17.25" customFormat="1" customHeight="1" s="85" thickBot="1" thickTop="1">
      <c r="A218" s="96" t="n"/>
      <c r="B218" s="83">
        <f>B201</f>
        <v/>
      </c>
      <c r="C218" s="335" t="inlineStr">
        <is>
          <t>New Vehicle Loans</t>
        </is>
      </c>
      <c r="D218" s="863">
        <f>D201</f>
        <v/>
      </c>
      <c r="E218" s="863">
        <f>IF(E$229=3,E201,E201-_xlfn.XLOOKUP(E$212-1,$212:$212,201:201,,0,1))</f>
        <v/>
      </c>
      <c r="F218" s="863">
        <f>IF(F$229=3,F201,F201-_xlfn.XLOOKUP(F$212-1,$212:$212,201:201,,0,1))</f>
        <v/>
      </c>
      <c r="G218" s="863">
        <f>IF(G$229=3,G201,G201-_xlfn.XLOOKUP(G$212-1,$212:$212,201:201,,0,1))</f>
        <v/>
      </c>
      <c r="H218" s="863">
        <f>IF(H$229=3,H201,H201-_xlfn.XLOOKUP(H$212-1,$212:$212,201:201,,0,1))</f>
        <v/>
      </c>
      <c r="I218" s="863">
        <f>IF(I$229=3,I201,I201-_xlfn.XLOOKUP(I$212-1,$212:$212,201:201,,0,1))</f>
        <v/>
      </c>
      <c r="J218" s="863">
        <f>IF(J$229=3,J201,J201-_xlfn.XLOOKUP(J$212-1,$212:$212,201:201,,0,1))</f>
        <v/>
      </c>
      <c r="K218" s="863">
        <f>IF(K$229=3,K201,K201-_xlfn.XLOOKUP(K$212-1,$212:$212,201:201,,0,1))</f>
        <v/>
      </c>
      <c r="L218" s="863">
        <f>IF(L$229=3,L201,L201-_xlfn.XLOOKUP(L$212-1,$212:$212,201:201,,0,1))</f>
        <v/>
      </c>
      <c r="M218" s="863">
        <f>IF(M$229=3,M201,M201-_xlfn.XLOOKUP(M$212-1,$212:$212,201:201,,0,1))</f>
        <v/>
      </c>
      <c r="N218" s="863">
        <f>IF(N$229=3,N201,N201-_xlfn.XLOOKUP(N$212-1,$212:$212,201:201,,0,1))</f>
        <v/>
      </c>
      <c r="O218" s="863">
        <f>IF(O$229=3,O201,O201-_xlfn.XLOOKUP(O$212-1,$212:$212,201:201,,0,1))</f>
        <v/>
      </c>
      <c r="P218" s="863">
        <f>IF(P$229=3,P201,P201-_xlfn.XLOOKUP(P$212-1,$212:$212,201:201,,0,1))</f>
        <v/>
      </c>
      <c r="Q218" s="863">
        <f>IF(Q$229=3,Q201,Q201-_xlfn.XLOOKUP(Q$212-1,$212:$212,201:201,,0,1))</f>
        <v/>
      </c>
      <c r="R218" s="863">
        <f>IF(R$229=3,R201,R201-_xlfn.XLOOKUP(R$212-1,$212:$212,201:201,,0,1))</f>
        <v/>
      </c>
      <c r="S218" s="863">
        <f>IF(S$229=3,S201,S201-_xlfn.XLOOKUP(S$212-1,$212:$212,201:201,,0,1))</f>
        <v/>
      </c>
      <c r="T218" s="863">
        <f>IF(T$229=3,T201,T201-_xlfn.XLOOKUP(T$212-1,$212:$212,201:201,,0,1))</f>
        <v/>
      </c>
      <c r="U218" s="863">
        <f>IF(U$229=3,U201,U201-_xlfn.XLOOKUP(U$212-1,$212:$212,201:201,,0,1))</f>
        <v/>
      </c>
      <c r="V218" s="863">
        <f>IF(V$229=3,V201,V201-_xlfn.XLOOKUP(V$212-1,$212:$212,201:201,,0,1))</f>
        <v/>
      </c>
      <c r="W218" s="863">
        <f>IF(W$229=3,W201,W201-_xlfn.XLOOKUP(W$212-1,$212:$212,201:201,,0,1))</f>
        <v/>
      </c>
      <c r="X218" s="863">
        <f>IF(X$229=3,X201,X201-_xlfn.XLOOKUP(X$212-1,$212:$212,201:201,,0,1))</f>
        <v/>
      </c>
      <c r="Y218" s="863">
        <f>IF(Y$229=3,Y201,Y201-_xlfn.XLOOKUP(Y$212-1,$212:$212,201:201,,0,1))</f>
        <v/>
      </c>
      <c r="Z218" s="863">
        <f>IF(Z$229=3,Z201,Z201-_xlfn.XLOOKUP(Z$212-1,$212:$212,201:201,,0,1))</f>
        <v/>
      </c>
      <c r="AA218" s="863">
        <f>IF(AA$229=3,AA201,AA201-_xlfn.XLOOKUP(AA$212-1,$212:$212,201:201,,0,1))</f>
        <v/>
      </c>
      <c r="AB218" s="863">
        <f>IF(AB$229=3,AB201,AB201-_xlfn.XLOOKUP(AB$212-1,$212:$212,201:201,,0,1))</f>
        <v/>
      </c>
      <c r="AC218" s="863">
        <f>IF(AC$229=3,AC201,AC201-_xlfn.XLOOKUP(AC$212-1,$212:$212,201:201,,0,1))</f>
        <v/>
      </c>
      <c r="AD218" s="863">
        <f>IF(AD$229=3,AD201,AD201-_xlfn.XLOOKUP(AD$212-1,$212:$212,201:201,,0,1))</f>
        <v/>
      </c>
      <c r="AE218" s="863">
        <f>IF(AE$229=3,AE201,AE201-_xlfn.XLOOKUP(AE$212-1,$212:$212,201:201,,0,1))</f>
        <v/>
      </c>
      <c r="AF218" s="863">
        <f>IF(AF$229=3,AF201,AF201-_xlfn.XLOOKUP(AF$212-1,$212:$212,201:201,,0,1))</f>
        <v/>
      </c>
      <c r="AG218" s="863">
        <f>IF(AG$229=3,AG201,AG201-_xlfn.XLOOKUP(AG$212-1,$212:$212,201:201,,0,1))</f>
        <v/>
      </c>
      <c r="AH218" s="863">
        <f>IF(AH$229=3,AH201,AH201-_xlfn.XLOOKUP(AH$212-1,$212:$212,201:201,,0,1))</f>
        <v/>
      </c>
      <c r="AI218" s="863">
        <f>IF(AI$229=3,AI201,AI201-_xlfn.XLOOKUP(AI$212-1,$212:$212,201:201,,0,1))</f>
        <v/>
      </c>
      <c r="AJ218" s="863">
        <f>IF(AJ$229=3,AJ201,AJ201-_xlfn.XLOOKUP(AJ$212-1,$212:$212,201:201,,0,1))</f>
        <v/>
      </c>
      <c r="AK218" s="863">
        <f>IF(AK$229=3,AK201,AK201-_xlfn.XLOOKUP(AK$212-1,$212:$212,201:201,,0,1))</f>
        <v/>
      </c>
      <c r="AL218" s="863">
        <f>IF(AL$229=3,AL201,AL201-_xlfn.XLOOKUP(AL$212-1,$212:$212,201:201,,0,1))</f>
        <v/>
      </c>
      <c r="AM218" s="863">
        <f>IF(AM$229=3,AM201,AM201-_xlfn.XLOOKUP(AM$212-1,$212:$212,201:201,,0,1))</f>
        <v/>
      </c>
      <c r="AN218" s="863">
        <f>IF(AN$229=3,AN201,AN201-_xlfn.XLOOKUP(AN$212-1,$212:$212,201:201,,0,1))</f>
        <v/>
      </c>
      <c r="AO218" s="863">
        <f>IF(AO$229=3,AO201,AO201-_xlfn.XLOOKUP(AO$212-1,$212:$212,201:201,,0,1))</f>
        <v/>
      </c>
      <c r="AP218" s="863">
        <f>IF(AP$229=3,AP201,AP201-_xlfn.XLOOKUP(AP$212-1,$212:$212,201:201,,0,1))</f>
        <v/>
      </c>
      <c r="AQ218" s="863">
        <f>IF(AQ$229=3,AQ201,AQ201-_xlfn.XLOOKUP(AQ$212-1,$212:$212,201:201,,0,1))</f>
        <v/>
      </c>
      <c r="AR218" s="863">
        <f>IF(AR$229=3,AR201,AR201-_xlfn.XLOOKUP(AR$212-1,$212:$212,201:201,,0,1))</f>
        <v/>
      </c>
      <c r="AS218" s="863">
        <f>IF(AS$229=3,AS201,AS201-_xlfn.XLOOKUP(AS$212-1,$212:$212,201:201,,0,1))</f>
        <v/>
      </c>
      <c r="AT218" s="863">
        <f>IF(AT$229=3,AT201,AT201-_xlfn.XLOOKUP(AT$212-1,$212:$212,201:201,,0,1))</f>
        <v/>
      </c>
      <c r="AU218" s="863">
        <f>IF(AU$229=3,AU201,AU201-_xlfn.XLOOKUP(AU$212-1,$212:$212,201:201,,0,1))</f>
        <v/>
      </c>
      <c r="AV218" s="863">
        <f>IF(AV$229=3,AV201,AV201-_xlfn.XLOOKUP(AV$212-1,$212:$212,201:201,,0,1))</f>
        <v/>
      </c>
      <c r="AW218" s="863">
        <f>IF(AW$229=3,AW201,AW201-_xlfn.XLOOKUP(AW$212-1,$212:$212,201:201,,0,1))</f>
        <v/>
      </c>
      <c r="AX218" s="863">
        <f>IF(AX$229=3,AX201,AX201-_xlfn.XLOOKUP(AX$212-1,$212:$212,201:201,,0,1))</f>
        <v/>
      </c>
      <c r="AY218" s="863">
        <f>IF(AY$229=3,AY201,AY201-_xlfn.XLOOKUP(AY$212-1,$212:$212,201:201,,0,1))</f>
        <v/>
      </c>
    </row>
    <row r="219" ht="17.25" customFormat="1" customHeight="1" s="85" thickBot="1" thickTop="1">
      <c r="A219" s="96" t="n"/>
      <c r="B219" s="83">
        <f>B202</f>
        <v/>
      </c>
      <c r="C219" s="335" t="inlineStr">
        <is>
          <t>Used Vehicle Loans</t>
        </is>
      </c>
      <c r="D219" s="863">
        <f>D202</f>
        <v/>
      </c>
      <c r="E219" s="863">
        <f>IF(E$229=3,E202,E202-_xlfn.XLOOKUP(E$212-1,$212:$212,202:202,,0,1))</f>
        <v/>
      </c>
      <c r="F219" s="863">
        <f>IF(F$229=3,F202,F202-_xlfn.XLOOKUP(F$212-1,$212:$212,202:202,,0,1))</f>
        <v/>
      </c>
      <c r="G219" s="863">
        <f>IF(G$229=3,G202,G202-_xlfn.XLOOKUP(G$212-1,$212:$212,202:202,,0,1))</f>
        <v/>
      </c>
      <c r="H219" s="863">
        <f>IF(H$229=3,H202,H202-_xlfn.XLOOKUP(H$212-1,$212:$212,202:202,,0,1))</f>
        <v/>
      </c>
      <c r="I219" s="863">
        <f>IF(I$229=3,I202,I202-_xlfn.XLOOKUP(I$212-1,$212:$212,202:202,,0,1))</f>
        <v/>
      </c>
      <c r="J219" s="863">
        <f>IF(J$229=3,J202,J202-_xlfn.XLOOKUP(J$212-1,$212:$212,202:202,,0,1))</f>
        <v/>
      </c>
      <c r="K219" s="863">
        <f>IF(K$229=3,K202,K202-_xlfn.XLOOKUP(K$212-1,$212:$212,202:202,,0,1))</f>
        <v/>
      </c>
      <c r="L219" s="863">
        <f>IF(L$229=3,L202,L202-_xlfn.XLOOKUP(L$212-1,$212:$212,202:202,,0,1))</f>
        <v/>
      </c>
      <c r="M219" s="863">
        <f>IF(M$229=3,M202,M202-_xlfn.XLOOKUP(M$212-1,$212:$212,202:202,,0,1))</f>
        <v/>
      </c>
      <c r="N219" s="863">
        <f>IF(N$229=3,N202,N202-_xlfn.XLOOKUP(N$212-1,$212:$212,202:202,,0,1))</f>
        <v/>
      </c>
      <c r="O219" s="863">
        <f>IF(O$229=3,O202,O202-_xlfn.XLOOKUP(O$212-1,$212:$212,202:202,,0,1))</f>
        <v/>
      </c>
      <c r="P219" s="863">
        <f>IF(P$229=3,P202,P202-_xlfn.XLOOKUP(P$212-1,$212:$212,202:202,,0,1))</f>
        <v/>
      </c>
      <c r="Q219" s="863">
        <f>IF(Q$229=3,Q202,Q202-_xlfn.XLOOKUP(Q$212-1,$212:$212,202:202,,0,1))</f>
        <v/>
      </c>
      <c r="R219" s="863">
        <f>IF(R$229=3,R202,R202-_xlfn.XLOOKUP(R$212-1,$212:$212,202:202,,0,1))</f>
        <v/>
      </c>
      <c r="S219" s="863">
        <f>IF(S$229=3,S202,S202-_xlfn.XLOOKUP(S$212-1,$212:$212,202:202,,0,1))</f>
        <v/>
      </c>
      <c r="T219" s="863">
        <f>IF(T$229=3,T202,T202-_xlfn.XLOOKUP(T$212-1,$212:$212,202:202,,0,1))</f>
        <v/>
      </c>
      <c r="U219" s="863">
        <f>IF(U$229=3,U202,U202-_xlfn.XLOOKUP(U$212-1,$212:$212,202:202,,0,1))</f>
        <v/>
      </c>
      <c r="V219" s="863">
        <f>IF(V$229=3,V202,V202-_xlfn.XLOOKUP(V$212-1,$212:$212,202:202,,0,1))</f>
        <v/>
      </c>
      <c r="W219" s="863">
        <f>IF(W$229=3,W202,W202-_xlfn.XLOOKUP(W$212-1,$212:$212,202:202,,0,1))</f>
        <v/>
      </c>
      <c r="X219" s="863">
        <f>IF(X$229=3,X202,X202-_xlfn.XLOOKUP(X$212-1,$212:$212,202:202,,0,1))</f>
        <v/>
      </c>
      <c r="Y219" s="863">
        <f>IF(Y$229=3,Y202,Y202-_xlfn.XLOOKUP(Y$212-1,$212:$212,202:202,,0,1))</f>
        <v/>
      </c>
      <c r="Z219" s="863">
        <f>IF(Z$229=3,Z202,Z202-_xlfn.XLOOKUP(Z$212-1,$212:$212,202:202,,0,1))</f>
        <v/>
      </c>
      <c r="AA219" s="863">
        <f>IF(AA$229=3,AA202,AA202-_xlfn.XLOOKUP(AA$212-1,$212:$212,202:202,,0,1))</f>
        <v/>
      </c>
      <c r="AB219" s="863">
        <f>IF(AB$229=3,AB202,AB202-_xlfn.XLOOKUP(AB$212-1,$212:$212,202:202,,0,1))</f>
        <v/>
      </c>
      <c r="AC219" s="863">
        <f>IF(AC$229=3,AC202,AC202-_xlfn.XLOOKUP(AC$212-1,$212:$212,202:202,,0,1))</f>
        <v/>
      </c>
      <c r="AD219" s="863">
        <f>IF(AD$229=3,AD202,AD202-_xlfn.XLOOKUP(AD$212-1,$212:$212,202:202,,0,1))</f>
        <v/>
      </c>
      <c r="AE219" s="863">
        <f>IF(AE$229=3,AE202,AE202-_xlfn.XLOOKUP(AE$212-1,$212:$212,202:202,,0,1))</f>
        <v/>
      </c>
      <c r="AF219" s="863">
        <f>IF(AF$229=3,AF202,AF202-_xlfn.XLOOKUP(AF$212-1,$212:$212,202:202,,0,1))</f>
        <v/>
      </c>
      <c r="AG219" s="863">
        <f>IF(AG$229=3,AG202,AG202-_xlfn.XLOOKUP(AG$212-1,$212:$212,202:202,,0,1))</f>
        <v/>
      </c>
      <c r="AH219" s="863">
        <f>IF(AH$229=3,AH202,AH202-_xlfn.XLOOKUP(AH$212-1,$212:$212,202:202,,0,1))</f>
        <v/>
      </c>
      <c r="AI219" s="863">
        <f>IF(AI$229=3,AI202,AI202-_xlfn.XLOOKUP(AI$212-1,$212:$212,202:202,,0,1))</f>
        <v/>
      </c>
      <c r="AJ219" s="863">
        <f>IF(AJ$229=3,AJ202,AJ202-_xlfn.XLOOKUP(AJ$212-1,$212:$212,202:202,,0,1))</f>
        <v/>
      </c>
      <c r="AK219" s="863">
        <f>IF(AK$229=3,AK202,AK202-_xlfn.XLOOKUP(AK$212-1,$212:$212,202:202,,0,1))</f>
        <v/>
      </c>
      <c r="AL219" s="863">
        <f>IF(AL$229=3,AL202,AL202-_xlfn.XLOOKUP(AL$212-1,$212:$212,202:202,,0,1))</f>
        <v/>
      </c>
      <c r="AM219" s="863">
        <f>IF(AM$229=3,AM202,AM202-_xlfn.XLOOKUP(AM$212-1,$212:$212,202:202,,0,1))</f>
        <v/>
      </c>
      <c r="AN219" s="863">
        <f>IF(AN$229=3,AN202,AN202-_xlfn.XLOOKUP(AN$212-1,$212:$212,202:202,,0,1))</f>
        <v/>
      </c>
      <c r="AO219" s="863">
        <f>IF(AO$229=3,AO202,AO202-_xlfn.XLOOKUP(AO$212-1,$212:$212,202:202,,0,1))</f>
        <v/>
      </c>
      <c r="AP219" s="863">
        <f>IF(AP$229=3,AP202,AP202-_xlfn.XLOOKUP(AP$212-1,$212:$212,202:202,,0,1))</f>
        <v/>
      </c>
      <c r="AQ219" s="863">
        <f>IF(AQ$229=3,AQ202,AQ202-_xlfn.XLOOKUP(AQ$212-1,$212:$212,202:202,,0,1))</f>
        <v/>
      </c>
      <c r="AR219" s="863">
        <f>IF(AR$229=3,AR202,AR202-_xlfn.XLOOKUP(AR$212-1,$212:$212,202:202,,0,1))</f>
        <v/>
      </c>
      <c r="AS219" s="863">
        <f>IF(AS$229=3,AS202,AS202-_xlfn.XLOOKUP(AS$212-1,$212:$212,202:202,,0,1))</f>
        <v/>
      </c>
      <c r="AT219" s="863">
        <f>IF(AT$229=3,AT202,AT202-_xlfn.XLOOKUP(AT$212-1,$212:$212,202:202,,0,1))</f>
        <v/>
      </c>
      <c r="AU219" s="863">
        <f>IF(AU$229=3,AU202,AU202-_xlfn.XLOOKUP(AU$212-1,$212:$212,202:202,,0,1))</f>
        <v/>
      </c>
      <c r="AV219" s="863">
        <f>IF(AV$229=3,AV202,AV202-_xlfn.XLOOKUP(AV$212-1,$212:$212,202:202,,0,1))</f>
        <v/>
      </c>
      <c r="AW219" s="863">
        <f>IF(AW$229=3,AW202,AW202-_xlfn.XLOOKUP(AW$212-1,$212:$212,202:202,,0,1))</f>
        <v/>
      </c>
      <c r="AX219" s="863">
        <f>IF(AX$229=3,AX202,AX202-_xlfn.XLOOKUP(AX$212-1,$212:$212,202:202,,0,1))</f>
        <v/>
      </c>
      <c r="AY219" s="863">
        <f>IF(AY$229=3,AY202,AY202-_xlfn.XLOOKUP(AY$212-1,$212:$212,202:202,,0,1))</f>
        <v/>
      </c>
    </row>
    <row r="220" ht="17.25" customFormat="1" customHeight="1" s="85" thickBot="1" thickTop="1">
      <c r="A220" s="96" t="n"/>
      <c r="B220" s="83">
        <f>B203</f>
        <v/>
      </c>
      <c r="C220" s="335" t="inlineStr">
        <is>
          <t>Leases Receivable</t>
        </is>
      </c>
      <c r="D220" s="863">
        <f>D203</f>
        <v/>
      </c>
      <c r="E220" s="863">
        <f>IF(E$229=3,E203,E203-_xlfn.XLOOKUP(E$212-1,$212:$212,203:203,,0,1))</f>
        <v/>
      </c>
      <c r="F220" s="863">
        <f>IF(F$229=3,F203,F203-_xlfn.XLOOKUP(F$212-1,$212:$212,203:203,,0,1))</f>
        <v/>
      </c>
      <c r="G220" s="863">
        <f>IF(G$229=3,G203,G203-_xlfn.XLOOKUP(G$212-1,$212:$212,203:203,,0,1))</f>
        <v/>
      </c>
      <c r="H220" s="863">
        <f>IF(H$229=3,H203,H203-_xlfn.XLOOKUP(H$212-1,$212:$212,203:203,,0,1))</f>
        <v/>
      </c>
      <c r="I220" s="863">
        <f>IF(I$229=3,I203,I203-_xlfn.XLOOKUP(I$212-1,$212:$212,203:203,,0,1))</f>
        <v/>
      </c>
      <c r="J220" s="863">
        <f>IF(J$229=3,J203,J203-_xlfn.XLOOKUP(J$212-1,$212:$212,203:203,,0,1))</f>
        <v/>
      </c>
      <c r="K220" s="863">
        <f>IF(K$229=3,K203,K203-_xlfn.XLOOKUP(K$212-1,$212:$212,203:203,,0,1))</f>
        <v/>
      </c>
      <c r="L220" s="863">
        <f>IF(L$229=3,L203,L203-_xlfn.XLOOKUP(L$212-1,$212:$212,203:203,,0,1))</f>
        <v/>
      </c>
      <c r="M220" s="863">
        <f>IF(M$229=3,M203,M203-_xlfn.XLOOKUP(M$212-1,$212:$212,203:203,,0,1))</f>
        <v/>
      </c>
      <c r="N220" s="863">
        <f>IF(N$229=3,N203,N203-_xlfn.XLOOKUP(N$212-1,$212:$212,203:203,,0,1))</f>
        <v/>
      </c>
      <c r="O220" s="863">
        <f>IF(O$229=3,O203,O203-_xlfn.XLOOKUP(O$212-1,$212:$212,203:203,,0,1))</f>
        <v/>
      </c>
      <c r="P220" s="863">
        <f>IF(P$229=3,P203,P203-_xlfn.XLOOKUP(P$212-1,$212:$212,203:203,,0,1))</f>
        <v/>
      </c>
      <c r="Q220" s="863">
        <f>IF(Q$229=3,Q203,Q203-_xlfn.XLOOKUP(Q$212-1,$212:$212,203:203,,0,1))</f>
        <v/>
      </c>
      <c r="R220" s="863">
        <f>IF(R$229=3,R203,R203-_xlfn.XLOOKUP(R$212-1,$212:$212,203:203,,0,1))</f>
        <v/>
      </c>
      <c r="S220" s="863">
        <f>IF(S$229=3,S203,S203-_xlfn.XLOOKUP(S$212-1,$212:$212,203:203,,0,1))</f>
        <v/>
      </c>
      <c r="T220" s="863">
        <f>IF(T$229=3,T203,T203-_xlfn.XLOOKUP(T$212-1,$212:$212,203:203,,0,1))</f>
        <v/>
      </c>
      <c r="U220" s="863">
        <f>IF(U$229=3,U203,U203-_xlfn.XLOOKUP(U$212-1,$212:$212,203:203,,0,1))</f>
        <v/>
      </c>
      <c r="V220" s="863">
        <f>IF(V$229=3,V203,V203-_xlfn.XLOOKUP(V$212-1,$212:$212,203:203,,0,1))</f>
        <v/>
      </c>
      <c r="W220" s="863">
        <f>IF(W$229=3,W203,W203-_xlfn.XLOOKUP(W$212-1,$212:$212,203:203,,0,1))</f>
        <v/>
      </c>
      <c r="X220" s="863">
        <f>IF(X$229=3,X203,X203-_xlfn.XLOOKUP(X$212-1,$212:$212,203:203,,0,1))</f>
        <v/>
      </c>
      <c r="Y220" s="863">
        <f>IF(Y$229=3,Y203,Y203-_xlfn.XLOOKUP(Y$212-1,$212:$212,203:203,,0,1))</f>
        <v/>
      </c>
      <c r="Z220" s="863">
        <f>IF(Z$229=3,Z203,Z203-_xlfn.XLOOKUP(Z$212-1,$212:$212,203:203,,0,1))</f>
        <v/>
      </c>
      <c r="AA220" s="863">
        <f>IF(AA$229=3,AA203,AA203-_xlfn.XLOOKUP(AA$212-1,$212:$212,203:203,,0,1))</f>
        <v/>
      </c>
      <c r="AB220" s="863">
        <f>IF(AB$229=3,AB203,AB203-_xlfn.XLOOKUP(AB$212-1,$212:$212,203:203,,0,1))</f>
        <v/>
      </c>
      <c r="AC220" s="863">
        <f>IF(AC$229=3,AC203,AC203-_xlfn.XLOOKUP(AC$212-1,$212:$212,203:203,,0,1))</f>
        <v/>
      </c>
      <c r="AD220" s="863">
        <f>IF(AD$229=3,AD203,AD203-_xlfn.XLOOKUP(AD$212-1,$212:$212,203:203,,0,1))</f>
        <v/>
      </c>
      <c r="AE220" s="863">
        <f>IF(AE$229=3,AE203,AE203-_xlfn.XLOOKUP(AE$212-1,$212:$212,203:203,,0,1))</f>
        <v/>
      </c>
      <c r="AF220" s="863">
        <f>IF(AF$229=3,AF203,AF203-_xlfn.XLOOKUP(AF$212-1,$212:$212,203:203,,0,1))</f>
        <v/>
      </c>
      <c r="AG220" s="863">
        <f>IF(AG$229=3,AG203,AG203-_xlfn.XLOOKUP(AG$212-1,$212:$212,203:203,,0,1))</f>
        <v/>
      </c>
      <c r="AH220" s="863">
        <f>IF(AH$229=3,AH203,AH203-_xlfn.XLOOKUP(AH$212-1,$212:$212,203:203,,0,1))</f>
        <v/>
      </c>
      <c r="AI220" s="863">
        <f>IF(AI$229=3,AI203,AI203-_xlfn.XLOOKUP(AI$212-1,$212:$212,203:203,,0,1))</f>
        <v/>
      </c>
      <c r="AJ220" s="863">
        <f>IF(AJ$229=3,AJ203,AJ203-_xlfn.XLOOKUP(AJ$212-1,$212:$212,203:203,,0,1))</f>
        <v/>
      </c>
      <c r="AK220" s="863">
        <f>IF(AK$229=3,AK203,AK203-_xlfn.XLOOKUP(AK$212-1,$212:$212,203:203,,0,1))</f>
        <v/>
      </c>
      <c r="AL220" s="863">
        <f>IF(AL$229=3,AL203,AL203-_xlfn.XLOOKUP(AL$212-1,$212:$212,203:203,,0,1))</f>
        <v/>
      </c>
      <c r="AM220" s="863">
        <f>IF(AM$229=3,AM203,AM203-_xlfn.XLOOKUP(AM$212-1,$212:$212,203:203,,0,1))</f>
        <v/>
      </c>
      <c r="AN220" s="863">
        <f>IF(AN$229=3,AN203,AN203-_xlfn.XLOOKUP(AN$212-1,$212:$212,203:203,,0,1))</f>
        <v/>
      </c>
      <c r="AO220" s="863">
        <f>IF(AO$229=3,AO203,AO203-_xlfn.XLOOKUP(AO$212-1,$212:$212,203:203,,0,1))</f>
        <v/>
      </c>
      <c r="AP220" s="863">
        <f>IF(AP$229=3,AP203,AP203-_xlfn.XLOOKUP(AP$212-1,$212:$212,203:203,,0,1))</f>
        <v/>
      </c>
      <c r="AQ220" s="863">
        <f>IF(AQ$229=3,AQ203,AQ203-_xlfn.XLOOKUP(AQ$212-1,$212:$212,203:203,,0,1))</f>
        <v/>
      </c>
      <c r="AR220" s="863">
        <f>IF(AR$229=3,AR203,AR203-_xlfn.XLOOKUP(AR$212-1,$212:$212,203:203,,0,1))</f>
        <v/>
      </c>
      <c r="AS220" s="863">
        <f>IF(AS$229=3,AS203,AS203-_xlfn.XLOOKUP(AS$212-1,$212:$212,203:203,,0,1))</f>
        <v/>
      </c>
      <c r="AT220" s="863">
        <f>IF(AT$229=3,AT203,AT203-_xlfn.XLOOKUP(AT$212-1,$212:$212,203:203,,0,1))</f>
        <v/>
      </c>
      <c r="AU220" s="863">
        <f>IF(AU$229=3,AU203,AU203-_xlfn.XLOOKUP(AU$212-1,$212:$212,203:203,,0,1))</f>
        <v/>
      </c>
      <c r="AV220" s="863">
        <f>IF(AV$229=3,AV203,AV203-_xlfn.XLOOKUP(AV$212-1,$212:$212,203:203,,0,1))</f>
        <v/>
      </c>
      <c r="AW220" s="863">
        <f>IF(AW$229=3,AW203,AW203-_xlfn.XLOOKUP(AW$212-1,$212:$212,203:203,,0,1))</f>
        <v/>
      </c>
      <c r="AX220" s="863">
        <f>IF(AX$229=3,AX203,AX203-_xlfn.XLOOKUP(AX$212-1,$212:$212,203:203,,0,1))</f>
        <v/>
      </c>
      <c r="AY220" s="863">
        <f>IF(AY$229=3,AY203,AY203-_xlfn.XLOOKUP(AY$212-1,$212:$212,203:203,,0,1))</f>
        <v/>
      </c>
    </row>
    <row r="221" ht="17.25" customFormat="1" customHeight="1" s="85" thickBot="1" thickTop="1">
      <c r="A221" s="96" t="n"/>
      <c r="B221" s="83">
        <f>B204</f>
        <v/>
      </c>
      <c r="C221" s="335" t="inlineStr">
        <is>
          <t>All Other Secured Non-Real Estate Loans/Lines of Credit</t>
        </is>
      </c>
      <c r="D221" s="863">
        <f>D204</f>
        <v/>
      </c>
      <c r="E221" s="863">
        <f>IF(E$229=3,E204,E204-_xlfn.XLOOKUP(E$212-1,$212:$212,204:204,,0,1))</f>
        <v/>
      </c>
      <c r="F221" s="863">
        <f>IF(F$229=3,F204,F204-_xlfn.XLOOKUP(F$212-1,$212:$212,204:204,,0,1))</f>
        <v/>
      </c>
      <c r="G221" s="863">
        <f>IF(G$229=3,G204,G204-_xlfn.XLOOKUP(G$212-1,$212:$212,204:204,,0,1))</f>
        <v/>
      </c>
      <c r="H221" s="863">
        <f>IF(H$229=3,H204,H204-_xlfn.XLOOKUP(H$212-1,$212:$212,204:204,,0,1))</f>
        <v/>
      </c>
      <c r="I221" s="863">
        <f>IF(I$229=3,I204,I204-_xlfn.XLOOKUP(I$212-1,$212:$212,204:204,,0,1))</f>
        <v/>
      </c>
      <c r="J221" s="863">
        <f>IF(J$229=3,J204,J204-_xlfn.XLOOKUP(J$212-1,$212:$212,204:204,,0,1))</f>
        <v/>
      </c>
      <c r="K221" s="863">
        <f>IF(K$229=3,K204,K204-_xlfn.XLOOKUP(K$212-1,$212:$212,204:204,,0,1))</f>
        <v/>
      </c>
      <c r="L221" s="863">
        <f>IF(L$229=3,L204,L204-_xlfn.XLOOKUP(L$212-1,$212:$212,204:204,,0,1))</f>
        <v/>
      </c>
      <c r="M221" s="863">
        <f>IF(M$229=3,M204,M204-_xlfn.XLOOKUP(M$212-1,$212:$212,204:204,,0,1))</f>
        <v/>
      </c>
      <c r="N221" s="863">
        <f>IF(N$229=3,N204,N204-_xlfn.XLOOKUP(N$212-1,$212:$212,204:204,,0,1))</f>
        <v/>
      </c>
      <c r="O221" s="863">
        <f>IF(O$229=3,O204,O204-_xlfn.XLOOKUP(O$212-1,$212:$212,204:204,,0,1))</f>
        <v/>
      </c>
      <c r="P221" s="863">
        <f>IF(P$229=3,P204,P204-_xlfn.XLOOKUP(P$212-1,$212:$212,204:204,,0,1))</f>
        <v/>
      </c>
      <c r="Q221" s="863">
        <f>IF(Q$229=3,Q204,Q204-_xlfn.XLOOKUP(Q$212-1,$212:$212,204:204,,0,1))</f>
        <v/>
      </c>
      <c r="R221" s="863">
        <f>IF(R$229=3,R204,R204-_xlfn.XLOOKUP(R$212-1,$212:$212,204:204,,0,1))</f>
        <v/>
      </c>
      <c r="S221" s="863">
        <f>IF(S$229=3,S204,S204-_xlfn.XLOOKUP(S$212-1,$212:$212,204:204,,0,1))</f>
        <v/>
      </c>
      <c r="T221" s="863">
        <f>IF(T$229=3,T204,T204-_xlfn.XLOOKUP(T$212-1,$212:$212,204:204,,0,1))</f>
        <v/>
      </c>
      <c r="U221" s="863">
        <f>IF(U$229=3,U204,U204-_xlfn.XLOOKUP(U$212-1,$212:$212,204:204,,0,1))</f>
        <v/>
      </c>
      <c r="V221" s="863">
        <f>IF(V$229=3,V204,V204-_xlfn.XLOOKUP(V$212-1,$212:$212,204:204,,0,1))</f>
        <v/>
      </c>
      <c r="W221" s="863">
        <f>IF(W$229=3,W204,W204-_xlfn.XLOOKUP(W$212-1,$212:$212,204:204,,0,1))</f>
        <v/>
      </c>
      <c r="X221" s="863">
        <f>IF(X$229=3,X204,X204-_xlfn.XLOOKUP(X$212-1,$212:$212,204:204,,0,1))</f>
        <v/>
      </c>
      <c r="Y221" s="863">
        <f>IF(Y$229=3,Y204,Y204-_xlfn.XLOOKUP(Y$212-1,$212:$212,204:204,,0,1))</f>
        <v/>
      </c>
      <c r="Z221" s="863">
        <f>IF(Z$229=3,Z204,Z204-_xlfn.XLOOKUP(Z$212-1,$212:$212,204:204,,0,1))</f>
        <v/>
      </c>
      <c r="AA221" s="863">
        <f>IF(AA$229=3,AA204,AA204-_xlfn.XLOOKUP(AA$212-1,$212:$212,204:204,,0,1))</f>
        <v/>
      </c>
      <c r="AB221" s="863">
        <f>IF(AB$229=3,AB204,AB204-_xlfn.XLOOKUP(AB$212-1,$212:$212,204:204,,0,1))</f>
        <v/>
      </c>
      <c r="AC221" s="863">
        <f>IF(AC$229=3,AC204,AC204-_xlfn.XLOOKUP(AC$212-1,$212:$212,204:204,,0,1))</f>
        <v/>
      </c>
      <c r="AD221" s="863">
        <f>IF(AD$229=3,AD204,AD204-_xlfn.XLOOKUP(AD$212-1,$212:$212,204:204,,0,1))</f>
        <v/>
      </c>
      <c r="AE221" s="863">
        <f>IF(AE$229=3,AE204,AE204-_xlfn.XLOOKUP(AE$212-1,$212:$212,204:204,,0,1))</f>
        <v/>
      </c>
      <c r="AF221" s="863">
        <f>IF(AF$229=3,AF204,AF204-_xlfn.XLOOKUP(AF$212-1,$212:$212,204:204,,0,1))</f>
        <v/>
      </c>
      <c r="AG221" s="863">
        <f>IF(AG$229=3,AG204,AG204-_xlfn.XLOOKUP(AG$212-1,$212:$212,204:204,,0,1))</f>
        <v/>
      </c>
      <c r="AH221" s="863">
        <f>IF(AH$229=3,AH204,AH204-_xlfn.XLOOKUP(AH$212-1,$212:$212,204:204,,0,1))</f>
        <v/>
      </c>
      <c r="AI221" s="863">
        <f>IF(AI$229=3,AI204,AI204-_xlfn.XLOOKUP(AI$212-1,$212:$212,204:204,,0,1))</f>
        <v/>
      </c>
      <c r="AJ221" s="863">
        <f>IF(AJ$229=3,AJ204,AJ204-_xlfn.XLOOKUP(AJ$212-1,$212:$212,204:204,,0,1))</f>
        <v/>
      </c>
      <c r="AK221" s="863">
        <f>IF(AK$229=3,AK204,AK204-_xlfn.XLOOKUP(AK$212-1,$212:$212,204:204,,0,1))</f>
        <v/>
      </c>
      <c r="AL221" s="863">
        <f>IF(AL$229=3,AL204,AL204-_xlfn.XLOOKUP(AL$212-1,$212:$212,204:204,,0,1))</f>
        <v/>
      </c>
      <c r="AM221" s="863">
        <f>IF(AM$229=3,AM204,AM204-_xlfn.XLOOKUP(AM$212-1,$212:$212,204:204,,0,1))</f>
        <v/>
      </c>
      <c r="AN221" s="863">
        <f>IF(AN$229=3,AN204,AN204-_xlfn.XLOOKUP(AN$212-1,$212:$212,204:204,,0,1))</f>
        <v/>
      </c>
      <c r="AO221" s="863">
        <f>IF(AO$229=3,AO204,AO204-_xlfn.XLOOKUP(AO$212-1,$212:$212,204:204,,0,1))</f>
        <v/>
      </c>
      <c r="AP221" s="863">
        <f>IF(AP$229=3,AP204,AP204-_xlfn.XLOOKUP(AP$212-1,$212:$212,204:204,,0,1))</f>
        <v/>
      </c>
      <c r="AQ221" s="863">
        <f>IF(AQ$229=3,AQ204,AQ204-_xlfn.XLOOKUP(AQ$212-1,$212:$212,204:204,,0,1))</f>
        <v/>
      </c>
      <c r="AR221" s="863">
        <f>IF(AR$229=3,AR204,AR204-_xlfn.XLOOKUP(AR$212-1,$212:$212,204:204,,0,1))</f>
        <v/>
      </c>
      <c r="AS221" s="863">
        <f>IF(AS$229=3,AS204,AS204-_xlfn.XLOOKUP(AS$212-1,$212:$212,204:204,,0,1))</f>
        <v/>
      </c>
      <c r="AT221" s="863">
        <f>IF(AT$229=3,AT204,AT204-_xlfn.XLOOKUP(AT$212-1,$212:$212,204:204,,0,1))</f>
        <v/>
      </c>
      <c r="AU221" s="863">
        <f>IF(AU$229=3,AU204,AU204-_xlfn.XLOOKUP(AU$212-1,$212:$212,204:204,,0,1))</f>
        <v/>
      </c>
      <c r="AV221" s="863">
        <f>IF(AV$229=3,AV204,AV204-_xlfn.XLOOKUP(AV$212-1,$212:$212,204:204,,0,1))</f>
        <v/>
      </c>
      <c r="AW221" s="863">
        <f>IF(AW$229=3,AW204,AW204-_xlfn.XLOOKUP(AW$212-1,$212:$212,204:204,,0,1))</f>
        <v/>
      </c>
      <c r="AX221" s="863">
        <f>IF(AX$229=3,AX204,AX204-_xlfn.XLOOKUP(AX$212-1,$212:$212,204:204,,0,1))</f>
        <v/>
      </c>
      <c r="AY221" s="863">
        <f>IF(AY$229=3,AY204,AY204-_xlfn.XLOOKUP(AY$212-1,$212:$212,204:204,,0,1))</f>
        <v/>
      </c>
    </row>
    <row r="222" ht="17.25" customFormat="1" customHeight="1" s="85" thickBot="1" thickTop="1">
      <c r="A222" s="96" t="n"/>
      <c r="B222" s="83">
        <f>B205</f>
        <v/>
      </c>
      <c r="C222" s="335" t="inlineStr">
        <is>
          <t>Loans/Lines of Credit Secured by a First Lien on a single 1- to 4-Family Residential Property</t>
        </is>
      </c>
      <c r="D222" s="863">
        <f>D205</f>
        <v/>
      </c>
      <c r="E222" s="863">
        <f>IF(E$229=3,E205,E205-_xlfn.XLOOKUP(E$212-1,$212:$212,205:205,,0,1))</f>
        <v/>
      </c>
      <c r="F222" s="863">
        <f>IF(F$229=3,F205,F205-_xlfn.XLOOKUP(F$212-1,$212:$212,205:205,,0,1))</f>
        <v/>
      </c>
      <c r="G222" s="863">
        <f>IF(G$229=3,G205,G205-_xlfn.XLOOKUP(G$212-1,$212:$212,205:205,,0,1))</f>
        <v/>
      </c>
      <c r="H222" s="863">
        <f>IF(H$229=3,H205,H205-_xlfn.XLOOKUP(H$212-1,$212:$212,205:205,,0,1))</f>
        <v/>
      </c>
      <c r="I222" s="863">
        <f>IF(I$229=3,I205,I205-_xlfn.XLOOKUP(I$212-1,$212:$212,205:205,,0,1))</f>
        <v/>
      </c>
      <c r="J222" s="863">
        <f>IF(J$229=3,J205,J205-_xlfn.XLOOKUP(J$212-1,$212:$212,205:205,,0,1))</f>
        <v/>
      </c>
      <c r="K222" s="863">
        <f>IF(K$229=3,K205,K205-_xlfn.XLOOKUP(K$212-1,$212:$212,205:205,,0,1))</f>
        <v/>
      </c>
      <c r="L222" s="863">
        <f>IF(L$229=3,L205,L205-_xlfn.XLOOKUP(L$212-1,$212:$212,205:205,,0,1))</f>
        <v/>
      </c>
      <c r="M222" s="863">
        <f>IF(M$229=3,M205,M205-_xlfn.XLOOKUP(M$212-1,$212:$212,205:205,,0,1))</f>
        <v/>
      </c>
      <c r="N222" s="863">
        <f>IF(N$229=3,N205,N205-_xlfn.XLOOKUP(N$212-1,$212:$212,205:205,,0,1))</f>
        <v/>
      </c>
      <c r="O222" s="863">
        <f>IF(O$229=3,O205,O205-_xlfn.XLOOKUP(O$212-1,$212:$212,205:205,,0,1))</f>
        <v/>
      </c>
      <c r="P222" s="863">
        <f>IF(P$229=3,P205,P205-_xlfn.XLOOKUP(P$212-1,$212:$212,205:205,,0,1))</f>
        <v/>
      </c>
      <c r="Q222" s="863">
        <f>IF(Q$229=3,Q205,Q205-_xlfn.XLOOKUP(Q$212-1,$212:$212,205:205,,0,1))</f>
        <v/>
      </c>
      <c r="R222" s="863">
        <f>IF(R$229=3,R205,R205-_xlfn.XLOOKUP(R$212-1,$212:$212,205:205,,0,1))</f>
        <v/>
      </c>
      <c r="S222" s="863">
        <f>IF(S$229=3,S205,S205-_xlfn.XLOOKUP(S$212-1,$212:$212,205:205,,0,1))</f>
        <v/>
      </c>
      <c r="T222" s="863">
        <f>IF(T$229=3,T205,T205-_xlfn.XLOOKUP(T$212-1,$212:$212,205:205,,0,1))</f>
        <v/>
      </c>
      <c r="U222" s="863">
        <f>IF(U$229=3,U205,U205-_xlfn.XLOOKUP(U$212-1,$212:$212,205:205,,0,1))</f>
        <v/>
      </c>
      <c r="V222" s="863">
        <f>IF(V$229=3,V205,V205-_xlfn.XLOOKUP(V$212-1,$212:$212,205:205,,0,1))</f>
        <v/>
      </c>
      <c r="W222" s="863">
        <f>IF(W$229=3,W205,W205-_xlfn.XLOOKUP(W$212-1,$212:$212,205:205,,0,1))</f>
        <v/>
      </c>
      <c r="X222" s="863">
        <f>IF(X$229=3,X205,X205-_xlfn.XLOOKUP(X$212-1,$212:$212,205:205,,0,1))</f>
        <v/>
      </c>
      <c r="Y222" s="863">
        <f>IF(Y$229=3,Y205,Y205-_xlfn.XLOOKUP(Y$212-1,$212:$212,205:205,,0,1))</f>
        <v/>
      </c>
      <c r="Z222" s="863">
        <f>IF(Z$229=3,Z205,Z205-_xlfn.XLOOKUP(Z$212-1,$212:$212,205:205,,0,1))</f>
        <v/>
      </c>
      <c r="AA222" s="863">
        <f>IF(AA$229=3,AA205,AA205-_xlfn.XLOOKUP(AA$212-1,$212:$212,205:205,,0,1))</f>
        <v/>
      </c>
      <c r="AB222" s="863">
        <f>IF(AB$229=3,AB205,AB205-_xlfn.XLOOKUP(AB$212-1,$212:$212,205:205,,0,1))</f>
        <v/>
      </c>
      <c r="AC222" s="863">
        <f>IF(AC$229=3,AC205,AC205-_xlfn.XLOOKUP(AC$212-1,$212:$212,205:205,,0,1))</f>
        <v/>
      </c>
      <c r="AD222" s="863">
        <f>IF(AD$229=3,AD205,AD205-_xlfn.XLOOKUP(AD$212-1,$212:$212,205:205,,0,1))</f>
        <v/>
      </c>
      <c r="AE222" s="863">
        <f>IF(AE$229=3,AE205,AE205-_xlfn.XLOOKUP(AE$212-1,$212:$212,205:205,,0,1))</f>
        <v/>
      </c>
      <c r="AF222" s="863">
        <f>IF(AF$229=3,AF205,AF205-_xlfn.XLOOKUP(AF$212-1,$212:$212,205:205,,0,1))</f>
        <v/>
      </c>
      <c r="AG222" s="863">
        <f>IF(AG$229=3,AG205,AG205-_xlfn.XLOOKUP(AG$212-1,$212:$212,205:205,,0,1))</f>
        <v/>
      </c>
      <c r="AH222" s="863">
        <f>IF(AH$229=3,AH205,AH205-_xlfn.XLOOKUP(AH$212-1,$212:$212,205:205,,0,1))</f>
        <v/>
      </c>
      <c r="AI222" s="863">
        <f>IF(AI$229=3,AI205,AI205-_xlfn.XLOOKUP(AI$212-1,$212:$212,205:205,,0,1))</f>
        <v/>
      </c>
      <c r="AJ222" s="863">
        <f>IF(AJ$229=3,AJ205,AJ205-_xlfn.XLOOKUP(AJ$212-1,$212:$212,205:205,,0,1))</f>
        <v/>
      </c>
      <c r="AK222" s="863">
        <f>IF(AK$229=3,AK205,AK205-_xlfn.XLOOKUP(AK$212-1,$212:$212,205:205,,0,1))</f>
        <v/>
      </c>
      <c r="AL222" s="863">
        <f>IF(AL$229=3,AL205,AL205-_xlfn.XLOOKUP(AL$212-1,$212:$212,205:205,,0,1))</f>
        <v/>
      </c>
      <c r="AM222" s="863">
        <f>IF(AM$229=3,AM205,AM205-_xlfn.XLOOKUP(AM$212-1,$212:$212,205:205,,0,1))</f>
        <v/>
      </c>
      <c r="AN222" s="863">
        <f>IF(AN$229=3,AN205,AN205-_xlfn.XLOOKUP(AN$212-1,$212:$212,205:205,,0,1))</f>
        <v/>
      </c>
      <c r="AO222" s="863">
        <f>IF(AO$229=3,AO205,AO205-_xlfn.XLOOKUP(AO$212-1,$212:$212,205:205,,0,1))</f>
        <v/>
      </c>
      <c r="AP222" s="863">
        <f>IF(AP$229=3,AP205,AP205-_xlfn.XLOOKUP(AP$212-1,$212:$212,205:205,,0,1))</f>
        <v/>
      </c>
      <c r="AQ222" s="863">
        <f>IF(AQ$229=3,AQ205,AQ205-_xlfn.XLOOKUP(AQ$212-1,$212:$212,205:205,,0,1))</f>
        <v/>
      </c>
      <c r="AR222" s="863">
        <f>IF(AR$229=3,AR205,AR205-_xlfn.XLOOKUP(AR$212-1,$212:$212,205:205,,0,1))</f>
        <v/>
      </c>
      <c r="AS222" s="863">
        <f>IF(AS$229=3,AS205,AS205-_xlfn.XLOOKUP(AS$212-1,$212:$212,205:205,,0,1))</f>
        <v/>
      </c>
      <c r="AT222" s="863">
        <f>IF(AT$229=3,AT205,AT205-_xlfn.XLOOKUP(AT$212-1,$212:$212,205:205,,0,1))</f>
        <v/>
      </c>
      <c r="AU222" s="863">
        <f>IF(AU$229=3,AU205,AU205-_xlfn.XLOOKUP(AU$212-1,$212:$212,205:205,,0,1))</f>
        <v/>
      </c>
      <c r="AV222" s="863">
        <f>IF(AV$229=3,AV205,AV205-_xlfn.XLOOKUP(AV$212-1,$212:$212,205:205,,0,1))</f>
        <v/>
      </c>
      <c r="AW222" s="863">
        <f>IF(AW$229=3,AW205,AW205-_xlfn.XLOOKUP(AW$212-1,$212:$212,205:205,,0,1))</f>
        <v/>
      </c>
      <c r="AX222" s="863">
        <f>IF(AX$229=3,AX205,AX205-_xlfn.XLOOKUP(AX$212-1,$212:$212,205:205,,0,1))</f>
        <v/>
      </c>
      <c r="AY222" s="863">
        <f>IF(AY$229=3,AY205,AY205-_xlfn.XLOOKUP(AY$212-1,$212:$212,205:205,,0,1))</f>
        <v/>
      </c>
    </row>
    <row r="223" ht="17.25" customFormat="1" customHeight="1" s="85" thickBot="1" thickTop="1">
      <c r="A223" s="96" t="n"/>
      <c r="B223" s="83">
        <f>B206</f>
        <v/>
      </c>
      <c r="C223" s="335" t="inlineStr">
        <is>
          <t>Loans/Lines of Credit Secured by a Junior Lien on a single 1- to 4-Family Residential Property</t>
        </is>
      </c>
      <c r="D223" s="863">
        <f>D206</f>
        <v/>
      </c>
      <c r="E223" s="863">
        <f>IF(E$229=3,E206,E206-_xlfn.XLOOKUP(E$212-1,$212:$212,206:206,,0,1))</f>
        <v/>
      </c>
      <c r="F223" s="863">
        <f>IF(F$229=3,F206,F206-_xlfn.XLOOKUP(F$212-1,$212:$212,206:206,,0,1))</f>
        <v/>
      </c>
      <c r="G223" s="863">
        <f>IF(G$229=3,G206,G206-_xlfn.XLOOKUP(G$212-1,$212:$212,206:206,,0,1))</f>
        <v/>
      </c>
      <c r="H223" s="863">
        <f>IF(H$229=3,H206,H206-_xlfn.XLOOKUP(H$212-1,$212:$212,206:206,,0,1))</f>
        <v/>
      </c>
      <c r="I223" s="863">
        <f>IF(I$229=3,I206,I206-_xlfn.XLOOKUP(I$212-1,$212:$212,206:206,,0,1))</f>
        <v/>
      </c>
      <c r="J223" s="863">
        <f>IF(J$229=3,J206,J206-_xlfn.XLOOKUP(J$212-1,$212:$212,206:206,,0,1))</f>
        <v/>
      </c>
      <c r="K223" s="863">
        <f>IF(K$229=3,K206,K206-_xlfn.XLOOKUP(K$212-1,$212:$212,206:206,,0,1))</f>
        <v/>
      </c>
      <c r="L223" s="863">
        <f>IF(L$229=3,L206,L206-_xlfn.XLOOKUP(L$212-1,$212:$212,206:206,,0,1))</f>
        <v/>
      </c>
      <c r="M223" s="863">
        <f>IF(M$229=3,M206,M206-_xlfn.XLOOKUP(M$212-1,$212:$212,206:206,,0,1))</f>
        <v/>
      </c>
      <c r="N223" s="863">
        <f>IF(N$229=3,N206,N206-_xlfn.XLOOKUP(N$212-1,$212:$212,206:206,,0,1))</f>
        <v/>
      </c>
      <c r="O223" s="863">
        <f>IF(O$229=3,O206,O206-_xlfn.XLOOKUP(O$212-1,$212:$212,206:206,,0,1))</f>
        <v/>
      </c>
      <c r="P223" s="863">
        <f>IF(P$229=3,P206,P206-_xlfn.XLOOKUP(P$212-1,$212:$212,206:206,,0,1))</f>
        <v/>
      </c>
      <c r="Q223" s="863">
        <f>IF(Q$229=3,Q206,Q206-_xlfn.XLOOKUP(Q$212-1,$212:$212,206:206,,0,1))</f>
        <v/>
      </c>
      <c r="R223" s="863">
        <f>IF(R$229=3,R206,R206-_xlfn.XLOOKUP(R$212-1,$212:$212,206:206,,0,1))</f>
        <v/>
      </c>
      <c r="S223" s="863">
        <f>IF(S$229=3,S206,S206-_xlfn.XLOOKUP(S$212-1,$212:$212,206:206,,0,1))</f>
        <v/>
      </c>
      <c r="T223" s="863">
        <f>IF(T$229=3,T206,T206-_xlfn.XLOOKUP(T$212-1,$212:$212,206:206,,0,1))</f>
        <v/>
      </c>
      <c r="U223" s="863">
        <f>IF(U$229=3,U206,U206-_xlfn.XLOOKUP(U$212-1,$212:$212,206:206,,0,1))</f>
        <v/>
      </c>
      <c r="V223" s="863">
        <f>IF(V$229=3,V206,V206-_xlfn.XLOOKUP(V$212-1,$212:$212,206:206,,0,1))</f>
        <v/>
      </c>
      <c r="W223" s="863">
        <f>IF(W$229=3,W206,W206-_xlfn.XLOOKUP(W$212-1,$212:$212,206:206,,0,1))</f>
        <v/>
      </c>
      <c r="X223" s="863">
        <f>IF(X$229=3,X206,X206-_xlfn.XLOOKUP(X$212-1,$212:$212,206:206,,0,1))</f>
        <v/>
      </c>
      <c r="Y223" s="863">
        <f>IF(Y$229=3,Y206,Y206-_xlfn.XLOOKUP(Y$212-1,$212:$212,206:206,,0,1))</f>
        <v/>
      </c>
      <c r="Z223" s="863">
        <f>IF(Z$229=3,Z206,Z206-_xlfn.XLOOKUP(Z$212-1,$212:$212,206:206,,0,1))</f>
        <v/>
      </c>
      <c r="AA223" s="863">
        <f>IF(AA$229=3,AA206,AA206-_xlfn.XLOOKUP(AA$212-1,$212:$212,206:206,,0,1))</f>
        <v/>
      </c>
      <c r="AB223" s="863">
        <f>IF(AB$229=3,AB206,AB206-_xlfn.XLOOKUP(AB$212-1,$212:$212,206:206,,0,1))</f>
        <v/>
      </c>
      <c r="AC223" s="863">
        <f>IF(AC$229=3,AC206,AC206-_xlfn.XLOOKUP(AC$212-1,$212:$212,206:206,,0,1))</f>
        <v/>
      </c>
      <c r="AD223" s="863">
        <f>IF(AD$229=3,AD206,AD206-_xlfn.XLOOKUP(AD$212-1,$212:$212,206:206,,0,1))</f>
        <v/>
      </c>
      <c r="AE223" s="863">
        <f>IF(AE$229=3,AE206,AE206-_xlfn.XLOOKUP(AE$212-1,$212:$212,206:206,,0,1))</f>
        <v/>
      </c>
      <c r="AF223" s="863">
        <f>IF(AF$229=3,AF206,AF206-_xlfn.XLOOKUP(AF$212-1,$212:$212,206:206,,0,1))</f>
        <v/>
      </c>
      <c r="AG223" s="863">
        <f>IF(AG$229=3,AG206,AG206-_xlfn.XLOOKUP(AG$212-1,$212:$212,206:206,,0,1))</f>
        <v/>
      </c>
      <c r="AH223" s="863">
        <f>IF(AH$229=3,AH206,AH206-_xlfn.XLOOKUP(AH$212-1,$212:$212,206:206,,0,1))</f>
        <v/>
      </c>
      <c r="AI223" s="863">
        <f>IF(AI$229=3,AI206,AI206-_xlfn.XLOOKUP(AI$212-1,$212:$212,206:206,,0,1))</f>
        <v/>
      </c>
      <c r="AJ223" s="863">
        <f>IF(AJ$229=3,AJ206,AJ206-_xlfn.XLOOKUP(AJ$212-1,$212:$212,206:206,,0,1))</f>
        <v/>
      </c>
      <c r="AK223" s="863">
        <f>IF(AK$229=3,AK206,AK206-_xlfn.XLOOKUP(AK$212-1,$212:$212,206:206,,0,1))</f>
        <v/>
      </c>
      <c r="AL223" s="863">
        <f>IF(AL$229=3,AL206,AL206-_xlfn.XLOOKUP(AL$212-1,$212:$212,206:206,,0,1))</f>
        <v/>
      </c>
      <c r="AM223" s="863">
        <f>IF(AM$229=3,AM206,AM206-_xlfn.XLOOKUP(AM$212-1,$212:$212,206:206,,0,1))</f>
        <v/>
      </c>
      <c r="AN223" s="863">
        <f>IF(AN$229=3,AN206,AN206-_xlfn.XLOOKUP(AN$212-1,$212:$212,206:206,,0,1))</f>
        <v/>
      </c>
      <c r="AO223" s="863">
        <f>IF(AO$229=3,AO206,AO206-_xlfn.XLOOKUP(AO$212-1,$212:$212,206:206,,0,1))</f>
        <v/>
      </c>
      <c r="AP223" s="863">
        <f>IF(AP$229=3,AP206,AP206-_xlfn.XLOOKUP(AP$212-1,$212:$212,206:206,,0,1))</f>
        <v/>
      </c>
      <c r="AQ223" s="863">
        <f>IF(AQ$229=3,AQ206,AQ206-_xlfn.XLOOKUP(AQ$212-1,$212:$212,206:206,,0,1))</f>
        <v/>
      </c>
      <c r="AR223" s="863">
        <f>IF(AR$229=3,AR206,AR206-_xlfn.XLOOKUP(AR$212-1,$212:$212,206:206,,0,1))</f>
        <v/>
      </c>
      <c r="AS223" s="863">
        <f>IF(AS$229=3,AS206,AS206-_xlfn.XLOOKUP(AS$212-1,$212:$212,206:206,,0,1))</f>
        <v/>
      </c>
      <c r="AT223" s="863">
        <f>IF(AT$229=3,AT206,AT206-_xlfn.XLOOKUP(AT$212-1,$212:$212,206:206,,0,1))</f>
        <v/>
      </c>
      <c r="AU223" s="863">
        <f>IF(AU$229=3,AU206,AU206-_xlfn.XLOOKUP(AU$212-1,$212:$212,206:206,,0,1))</f>
        <v/>
      </c>
      <c r="AV223" s="863">
        <f>IF(AV$229=3,AV206,AV206-_xlfn.XLOOKUP(AV$212-1,$212:$212,206:206,,0,1))</f>
        <v/>
      </c>
      <c r="AW223" s="863">
        <f>IF(AW$229=3,AW206,AW206-_xlfn.XLOOKUP(AW$212-1,$212:$212,206:206,,0,1))</f>
        <v/>
      </c>
      <c r="AX223" s="863">
        <f>IF(AX$229=3,AX206,AX206-_xlfn.XLOOKUP(AX$212-1,$212:$212,206:206,,0,1))</f>
        <v/>
      </c>
      <c r="AY223" s="863">
        <f>IF(AY$229=3,AY206,AY206-_xlfn.XLOOKUP(AY$212-1,$212:$212,206:206,,0,1))</f>
        <v/>
      </c>
    </row>
    <row r="224" ht="17.25" customFormat="1" customHeight="1" s="85" thickBot="1" thickTop="1">
      <c r="A224" s="96" t="n"/>
      <c r="B224" s="83">
        <f>B207</f>
        <v/>
      </c>
      <c r="C224" s="335" t="inlineStr">
        <is>
          <t>All Other (Non-Commercial) Real Estate Loans/Lines of Credit</t>
        </is>
      </c>
      <c r="D224" s="875">
        <f>D207</f>
        <v/>
      </c>
      <c r="E224" s="863">
        <f>IF(E$229=3,E207,E207-_xlfn.XLOOKUP(E$212-1,$212:$212,207:207,,0,1))</f>
        <v/>
      </c>
      <c r="F224" s="863">
        <f>IF(F$229=3,F207,F207-_xlfn.XLOOKUP(F$212-1,$212:$212,207:207,,0,1))</f>
        <v/>
      </c>
      <c r="G224" s="863">
        <f>IF(G$229=3,G207,G207-_xlfn.XLOOKUP(G$212-1,$212:$212,207:207,,0,1))</f>
        <v/>
      </c>
      <c r="H224" s="863">
        <f>IF(H$229=3,H207,H207-_xlfn.XLOOKUP(H$212-1,$212:$212,207:207,,0,1))</f>
        <v/>
      </c>
      <c r="I224" s="863">
        <f>IF(I$229=3,I207,I207-_xlfn.XLOOKUP(I$212-1,$212:$212,207:207,,0,1))</f>
        <v/>
      </c>
      <c r="J224" s="863">
        <f>IF(J$229=3,J207,J207-_xlfn.XLOOKUP(J$212-1,$212:$212,207:207,,0,1))</f>
        <v/>
      </c>
      <c r="K224" s="863">
        <f>IF(K$229=3,K207,K207-_xlfn.XLOOKUP(K$212-1,$212:$212,207:207,,0,1))</f>
        <v/>
      </c>
      <c r="L224" s="863">
        <f>IF(L$229=3,L207,L207-_xlfn.XLOOKUP(L$212-1,$212:$212,207:207,,0,1))</f>
        <v/>
      </c>
      <c r="M224" s="863">
        <f>IF(M$229=3,M207,M207-_xlfn.XLOOKUP(M$212-1,$212:$212,207:207,,0,1))</f>
        <v/>
      </c>
      <c r="N224" s="863">
        <f>IF(N$229=3,N207,N207-_xlfn.XLOOKUP(N$212-1,$212:$212,207:207,,0,1))</f>
        <v/>
      </c>
      <c r="O224" s="863">
        <f>IF(O$229=3,O207,O207-_xlfn.XLOOKUP(O$212-1,$212:$212,207:207,,0,1))</f>
        <v/>
      </c>
      <c r="P224" s="863">
        <f>IF(P$229=3,P207,P207-_xlfn.XLOOKUP(P$212-1,$212:$212,207:207,,0,1))</f>
        <v/>
      </c>
      <c r="Q224" s="863">
        <f>IF(Q$229=3,Q207,Q207-_xlfn.XLOOKUP(Q$212-1,$212:$212,207:207,,0,1))</f>
        <v/>
      </c>
      <c r="R224" s="863">
        <f>IF(R$229=3,R207,R207-_xlfn.XLOOKUP(R$212-1,$212:$212,207:207,,0,1))</f>
        <v/>
      </c>
      <c r="S224" s="863">
        <f>IF(S$229=3,S207,S207-_xlfn.XLOOKUP(S$212-1,$212:$212,207:207,,0,1))</f>
        <v/>
      </c>
      <c r="T224" s="863">
        <f>IF(T$229=3,T207,T207-_xlfn.XLOOKUP(T$212-1,$212:$212,207:207,,0,1))</f>
        <v/>
      </c>
      <c r="U224" s="863">
        <f>IF(U$229=3,U207,U207-_xlfn.XLOOKUP(U$212-1,$212:$212,207:207,,0,1))</f>
        <v/>
      </c>
      <c r="V224" s="863">
        <f>IF(V$229=3,V207,V207-_xlfn.XLOOKUP(V$212-1,$212:$212,207:207,,0,1))</f>
        <v/>
      </c>
      <c r="W224" s="863">
        <f>IF(W$229=3,W207,W207-_xlfn.XLOOKUP(W$212-1,$212:$212,207:207,,0,1))</f>
        <v/>
      </c>
      <c r="X224" s="863">
        <f>IF(X$229=3,X207,X207-_xlfn.XLOOKUP(X$212-1,$212:$212,207:207,,0,1))</f>
        <v/>
      </c>
      <c r="Y224" s="863">
        <f>IF(Y$229=3,Y207,Y207-_xlfn.XLOOKUP(Y$212-1,$212:$212,207:207,,0,1))</f>
        <v/>
      </c>
      <c r="Z224" s="863">
        <f>IF(Z$229=3,Z207,Z207-_xlfn.XLOOKUP(Z$212-1,$212:$212,207:207,,0,1))</f>
        <v/>
      </c>
      <c r="AA224" s="863">
        <f>IF(AA$229=3,AA207,AA207-_xlfn.XLOOKUP(AA$212-1,$212:$212,207:207,,0,1))</f>
        <v/>
      </c>
      <c r="AB224" s="863">
        <f>IF(AB$229=3,AB207,AB207-_xlfn.XLOOKUP(AB$212-1,$212:$212,207:207,,0,1))</f>
        <v/>
      </c>
      <c r="AC224" s="863">
        <f>IF(AC$229=3,AC207,AC207-_xlfn.XLOOKUP(AC$212-1,$212:$212,207:207,,0,1))</f>
        <v/>
      </c>
      <c r="AD224" s="863">
        <f>IF(AD$229=3,AD207,AD207-_xlfn.XLOOKUP(AD$212-1,$212:$212,207:207,,0,1))</f>
        <v/>
      </c>
      <c r="AE224" s="863">
        <f>IF(AE$229=3,AE207,AE207-_xlfn.XLOOKUP(AE$212-1,$212:$212,207:207,,0,1))</f>
        <v/>
      </c>
      <c r="AF224" s="863">
        <f>IF(AF$229=3,AF207,AF207-_xlfn.XLOOKUP(AF$212-1,$212:$212,207:207,,0,1))</f>
        <v/>
      </c>
      <c r="AG224" s="863">
        <f>IF(AG$229=3,AG207,AG207-_xlfn.XLOOKUP(AG$212-1,$212:$212,207:207,,0,1))</f>
        <v/>
      </c>
      <c r="AH224" s="863">
        <f>IF(AH$229=3,AH207,AH207-_xlfn.XLOOKUP(AH$212-1,$212:$212,207:207,,0,1))</f>
        <v/>
      </c>
      <c r="AI224" s="863">
        <f>IF(AI$229=3,AI207,AI207-_xlfn.XLOOKUP(AI$212-1,$212:$212,207:207,,0,1))</f>
        <v/>
      </c>
      <c r="AJ224" s="863">
        <f>IF(AJ$229=3,AJ207,AJ207-_xlfn.XLOOKUP(AJ$212-1,$212:$212,207:207,,0,1))</f>
        <v/>
      </c>
      <c r="AK224" s="863">
        <f>IF(AK$229=3,AK207,AK207-_xlfn.XLOOKUP(AK$212-1,$212:$212,207:207,,0,1))</f>
        <v/>
      </c>
      <c r="AL224" s="863">
        <f>IF(AL$229=3,AL207,AL207-_xlfn.XLOOKUP(AL$212-1,$212:$212,207:207,,0,1))</f>
        <v/>
      </c>
      <c r="AM224" s="863">
        <f>IF(AM$229=3,AM207,AM207-_xlfn.XLOOKUP(AM$212-1,$212:$212,207:207,,0,1))</f>
        <v/>
      </c>
      <c r="AN224" s="863">
        <f>IF(AN$229=3,AN207,AN207-_xlfn.XLOOKUP(AN$212-1,$212:$212,207:207,,0,1))</f>
        <v/>
      </c>
      <c r="AO224" s="863">
        <f>IF(AO$229=3,AO207,AO207-_xlfn.XLOOKUP(AO$212-1,$212:$212,207:207,,0,1))</f>
        <v/>
      </c>
      <c r="AP224" s="863">
        <f>IF(AP$229=3,AP207,AP207-_xlfn.XLOOKUP(AP$212-1,$212:$212,207:207,,0,1))</f>
        <v/>
      </c>
      <c r="AQ224" s="863">
        <f>IF(AQ$229=3,AQ207,AQ207-_xlfn.XLOOKUP(AQ$212-1,$212:$212,207:207,,0,1))</f>
        <v/>
      </c>
      <c r="AR224" s="863">
        <f>IF(AR$229=3,AR207,AR207-_xlfn.XLOOKUP(AR$212-1,$212:$212,207:207,,0,1))</f>
        <v/>
      </c>
      <c r="AS224" s="863">
        <f>IF(AS$229=3,AS207,AS207-_xlfn.XLOOKUP(AS$212-1,$212:$212,207:207,,0,1))</f>
        <v/>
      </c>
      <c r="AT224" s="863">
        <f>IF(AT$229=3,AT207,AT207-_xlfn.XLOOKUP(AT$212-1,$212:$212,207:207,,0,1))</f>
        <v/>
      </c>
      <c r="AU224" s="863">
        <f>IF(AU$229=3,AU207,AU207-_xlfn.XLOOKUP(AU$212-1,$212:$212,207:207,,0,1))</f>
        <v/>
      </c>
      <c r="AV224" s="863">
        <f>IF(AV$229=3,AV207,AV207-_xlfn.XLOOKUP(AV$212-1,$212:$212,207:207,,0,1))</f>
        <v/>
      </c>
      <c r="AW224" s="863">
        <f>IF(AW$229=3,AW207,AW207-_xlfn.XLOOKUP(AW$212-1,$212:$212,207:207,,0,1))</f>
        <v/>
      </c>
      <c r="AX224" s="863">
        <f>IF(AX$229=3,AX207,AX207-_xlfn.XLOOKUP(AX$212-1,$212:$212,207:207,,0,1))</f>
        <v/>
      </c>
      <c r="AY224" s="863">
        <f>IF(AY$229=3,AY207,AY207-_xlfn.XLOOKUP(AY$212-1,$212:$212,207:207,,0,1))</f>
        <v/>
      </c>
    </row>
    <row r="225" ht="17.25" customFormat="1" customHeight="1" s="85" thickBot="1" thickTop="1">
      <c r="A225" s="96" t="n"/>
      <c r="B225" s="83">
        <f>B208</f>
        <v/>
      </c>
      <c r="C225" s="335" t="inlineStr">
        <is>
          <t>Commercial Loans/Lines of Credit Real Estate Secured</t>
        </is>
      </c>
      <c r="D225" s="863">
        <f>D208</f>
        <v/>
      </c>
      <c r="E225" s="863">
        <f>IF(E$229=3,E208,E208-_xlfn.XLOOKUP(E$212-1,$212:$212,208:208,,0,1))</f>
        <v/>
      </c>
      <c r="F225" s="863">
        <f>IF(F$229=3,F208,F208-_xlfn.XLOOKUP(F$212-1,$212:$212,208:208,,0,1))</f>
        <v/>
      </c>
      <c r="G225" s="863">
        <f>IF(G$229=3,G208,G208-_xlfn.XLOOKUP(G$212-1,$212:$212,208:208,,0,1))</f>
        <v/>
      </c>
      <c r="H225" s="863">
        <f>IF(H$229=3,H208,H208-_xlfn.XLOOKUP(H$212-1,$212:$212,208:208,,0,1))</f>
        <v/>
      </c>
      <c r="I225" s="863">
        <f>IF(I$229=3,I208,I208-_xlfn.XLOOKUP(I$212-1,$212:$212,208:208,,0,1))</f>
        <v/>
      </c>
      <c r="J225" s="863">
        <f>IF(J$229=3,J208,J208-_xlfn.XLOOKUP(J$212-1,$212:$212,208:208,,0,1))</f>
        <v/>
      </c>
      <c r="K225" s="863">
        <f>IF(K$229=3,K208,K208-_xlfn.XLOOKUP(K$212-1,$212:$212,208:208,,0,1))</f>
        <v/>
      </c>
      <c r="L225" s="863">
        <f>IF(L$229=3,L208,L208-_xlfn.XLOOKUP(L$212-1,$212:$212,208:208,,0,1))</f>
        <v/>
      </c>
      <c r="M225" s="863">
        <f>IF(M$229=3,M208,M208-_xlfn.XLOOKUP(M$212-1,$212:$212,208:208,,0,1))</f>
        <v/>
      </c>
      <c r="N225" s="863">
        <f>IF(N$229=3,N208,N208-_xlfn.XLOOKUP(N$212-1,$212:$212,208:208,,0,1))</f>
        <v/>
      </c>
      <c r="O225" s="863">
        <f>IF(O$229=3,O208,O208-_xlfn.XLOOKUP(O$212-1,$212:$212,208:208,,0,1))</f>
        <v/>
      </c>
      <c r="P225" s="863">
        <f>IF(P$229=3,P208,P208-_xlfn.XLOOKUP(P$212-1,$212:$212,208:208,,0,1))</f>
        <v/>
      </c>
      <c r="Q225" s="863">
        <f>IF(Q$229=3,Q208,Q208-_xlfn.XLOOKUP(Q$212-1,$212:$212,208:208,,0,1))</f>
        <v/>
      </c>
      <c r="R225" s="863">
        <f>IF(R$229=3,R208,R208-_xlfn.XLOOKUP(R$212-1,$212:$212,208:208,,0,1))</f>
        <v/>
      </c>
      <c r="S225" s="863">
        <f>IF(S$229=3,S208,S208-_xlfn.XLOOKUP(S$212-1,$212:$212,208:208,,0,1))</f>
        <v/>
      </c>
      <c r="T225" s="863">
        <f>IF(T$229=3,T208,T208-_xlfn.XLOOKUP(T$212-1,$212:$212,208:208,,0,1))</f>
        <v/>
      </c>
      <c r="U225" s="863">
        <f>IF(U$229=3,U208,U208-_xlfn.XLOOKUP(U$212-1,$212:$212,208:208,,0,1))</f>
        <v/>
      </c>
      <c r="V225" s="863">
        <f>IF(V$229=3,V208,V208-_xlfn.XLOOKUP(V$212-1,$212:$212,208:208,,0,1))</f>
        <v/>
      </c>
      <c r="W225" s="863">
        <f>IF(W$229=3,W208,W208-_xlfn.XLOOKUP(W$212-1,$212:$212,208:208,,0,1))</f>
        <v/>
      </c>
      <c r="X225" s="863">
        <f>IF(X$229=3,X208,X208-_xlfn.XLOOKUP(X$212-1,$212:$212,208:208,,0,1))</f>
        <v/>
      </c>
      <c r="Y225" s="863">
        <f>IF(Y$229=3,Y208,Y208-_xlfn.XLOOKUP(Y$212-1,$212:$212,208:208,,0,1))</f>
        <v/>
      </c>
      <c r="Z225" s="863">
        <f>IF(Z$229=3,Z208,Z208-_xlfn.XLOOKUP(Z$212-1,$212:$212,208:208,,0,1))</f>
        <v/>
      </c>
      <c r="AA225" s="863">
        <f>IF(AA$229=3,AA208,AA208-_xlfn.XLOOKUP(AA$212-1,$212:$212,208:208,,0,1))</f>
        <v/>
      </c>
      <c r="AB225" s="863">
        <f>IF(AB$229=3,AB208,AB208-_xlfn.XLOOKUP(AB$212-1,$212:$212,208:208,,0,1))</f>
        <v/>
      </c>
      <c r="AC225" s="863">
        <f>IF(AC$229=3,AC208,AC208-_xlfn.XLOOKUP(AC$212-1,$212:$212,208:208,,0,1))</f>
        <v/>
      </c>
      <c r="AD225" s="863">
        <f>IF(AD$229=3,AD208,AD208-_xlfn.XLOOKUP(AD$212-1,$212:$212,208:208,,0,1))</f>
        <v/>
      </c>
      <c r="AE225" s="863">
        <f>IF(AE$229=3,AE208,AE208-_xlfn.XLOOKUP(AE$212-1,$212:$212,208:208,,0,1))</f>
        <v/>
      </c>
      <c r="AF225" s="863">
        <f>IF(AF$229=3,AF208,AF208-_xlfn.XLOOKUP(AF$212-1,$212:$212,208:208,,0,1))</f>
        <v/>
      </c>
      <c r="AG225" s="863">
        <f>IF(AG$229=3,AG208,AG208-_xlfn.XLOOKUP(AG$212-1,$212:$212,208:208,,0,1))</f>
        <v/>
      </c>
      <c r="AH225" s="863">
        <f>IF(AH$229=3,AH208,AH208-_xlfn.XLOOKUP(AH$212-1,$212:$212,208:208,,0,1))</f>
        <v/>
      </c>
      <c r="AI225" s="863">
        <f>IF(AI$229=3,AI208,AI208-_xlfn.XLOOKUP(AI$212-1,$212:$212,208:208,,0,1))</f>
        <v/>
      </c>
      <c r="AJ225" s="863">
        <f>IF(AJ$229=3,AJ208,AJ208-_xlfn.XLOOKUP(AJ$212-1,$212:$212,208:208,,0,1))</f>
        <v/>
      </c>
      <c r="AK225" s="863">
        <f>IF(AK$229=3,AK208,AK208-_xlfn.XLOOKUP(AK$212-1,$212:$212,208:208,,0,1))</f>
        <v/>
      </c>
      <c r="AL225" s="863">
        <f>IF(AL$229=3,AL208,AL208-_xlfn.XLOOKUP(AL$212-1,$212:$212,208:208,,0,1))</f>
        <v/>
      </c>
      <c r="AM225" s="863">
        <f>IF(AM$229=3,AM208,AM208-_xlfn.XLOOKUP(AM$212-1,$212:$212,208:208,,0,1))</f>
        <v/>
      </c>
      <c r="AN225" s="863">
        <f>IF(AN$229=3,AN208,AN208-_xlfn.XLOOKUP(AN$212-1,$212:$212,208:208,,0,1))</f>
        <v/>
      </c>
      <c r="AO225" s="863">
        <f>IF(AO$229=3,AO208,AO208-_xlfn.XLOOKUP(AO$212-1,$212:$212,208:208,,0,1))</f>
        <v/>
      </c>
      <c r="AP225" s="863">
        <f>IF(AP$229=3,AP208,AP208-_xlfn.XLOOKUP(AP$212-1,$212:$212,208:208,,0,1))</f>
        <v/>
      </c>
      <c r="AQ225" s="863">
        <f>IF(AQ$229=3,AQ208,AQ208-_xlfn.XLOOKUP(AQ$212-1,$212:$212,208:208,,0,1))</f>
        <v/>
      </c>
      <c r="AR225" s="863">
        <f>IF(AR$229=3,AR208,AR208-_xlfn.XLOOKUP(AR$212-1,$212:$212,208:208,,0,1))</f>
        <v/>
      </c>
      <c r="AS225" s="863">
        <f>IF(AS$229=3,AS208,AS208-_xlfn.XLOOKUP(AS$212-1,$212:$212,208:208,,0,1))</f>
        <v/>
      </c>
      <c r="AT225" s="863">
        <f>IF(AT$229=3,AT208,AT208-_xlfn.XLOOKUP(AT$212-1,$212:$212,208:208,,0,1))</f>
        <v/>
      </c>
      <c r="AU225" s="863">
        <f>IF(AU$229=3,AU208,AU208-_xlfn.XLOOKUP(AU$212-1,$212:$212,208:208,,0,1))</f>
        <v/>
      </c>
      <c r="AV225" s="863">
        <f>IF(AV$229=3,AV208,AV208-_xlfn.XLOOKUP(AV$212-1,$212:$212,208:208,,0,1))</f>
        <v/>
      </c>
      <c r="AW225" s="863">
        <f>IF(AW$229=3,AW208,AW208-_xlfn.XLOOKUP(AW$212-1,$212:$212,208:208,,0,1))</f>
        <v/>
      </c>
      <c r="AX225" s="863">
        <f>IF(AX$229=3,AX208,AX208-_xlfn.XLOOKUP(AX$212-1,$212:$212,208:208,,0,1))</f>
        <v/>
      </c>
      <c r="AY225" s="863">
        <f>IF(AY$229=3,AY208,AY208-_xlfn.XLOOKUP(AY$212-1,$212:$212,208:208,,0,1))</f>
        <v/>
      </c>
    </row>
    <row r="226" ht="17.25" customFormat="1" customHeight="1" s="85" thickBot="1" thickTop="1">
      <c r="A226" s="96" t="n"/>
      <c r="B226" s="83">
        <f>B209</f>
        <v/>
      </c>
      <c r="C226" s="335" t="inlineStr">
        <is>
          <t>Commercial Loans/Lines of Credit Not Real Estate Secured</t>
        </is>
      </c>
      <c r="D226" s="877">
        <f>D209</f>
        <v/>
      </c>
      <c r="E226" s="867">
        <f>IF(E$229=3,E209,E209-_xlfn.XLOOKUP(E$212-1,$212:$212,209:209,,0,1))</f>
        <v/>
      </c>
      <c r="F226" s="867">
        <f>IF(F$229=3,F209,F209-_xlfn.XLOOKUP(F$212-1,$212:$212,209:209,,0,1))</f>
        <v/>
      </c>
      <c r="G226" s="867">
        <f>IF(G$229=3,G209,G209-_xlfn.XLOOKUP(G$212-1,$212:$212,209:209,,0,1))</f>
        <v/>
      </c>
      <c r="H226" s="867">
        <f>IF(H$229=3,H209,H209-_xlfn.XLOOKUP(H$212-1,$212:$212,209:209,,0,1))</f>
        <v/>
      </c>
      <c r="I226" s="867">
        <f>IF(I$229=3,I209,I209-_xlfn.XLOOKUP(I$212-1,$212:$212,209:209,,0,1))</f>
        <v/>
      </c>
      <c r="J226" s="867">
        <f>IF(J$229=3,J209,J209-_xlfn.XLOOKUP(J$212-1,$212:$212,209:209,,0,1))</f>
        <v/>
      </c>
      <c r="K226" s="867">
        <f>IF(K$229=3,K209,K209-_xlfn.XLOOKUP(K$212-1,$212:$212,209:209,,0,1))</f>
        <v/>
      </c>
      <c r="L226" s="867">
        <f>IF(L$229=3,L209,L209-_xlfn.XLOOKUP(L$212-1,$212:$212,209:209,,0,1))</f>
        <v/>
      </c>
      <c r="M226" s="867">
        <f>IF(M$229=3,M209,M209-_xlfn.XLOOKUP(M$212-1,$212:$212,209:209,,0,1))</f>
        <v/>
      </c>
      <c r="N226" s="867">
        <f>IF(N$229=3,N209,N209-_xlfn.XLOOKUP(N$212-1,$212:$212,209:209,,0,1))</f>
        <v/>
      </c>
      <c r="O226" s="867">
        <f>IF(O$229=3,O209,O209-_xlfn.XLOOKUP(O$212-1,$212:$212,209:209,,0,1))</f>
        <v/>
      </c>
      <c r="P226" s="867">
        <f>IF(P$229=3,P209,P209-_xlfn.XLOOKUP(P$212-1,$212:$212,209:209,,0,1))</f>
        <v/>
      </c>
      <c r="Q226" s="867">
        <f>IF(Q$229=3,Q209,Q209-_xlfn.XLOOKUP(Q$212-1,$212:$212,209:209,,0,1))</f>
        <v/>
      </c>
      <c r="R226" s="867">
        <f>IF(R$229=3,R209,R209-_xlfn.XLOOKUP(R$212-1,$212:$212,209:209,,0,1))</f>
        <v/>
      </c>
      <c r="S226" s="867">
        <f>IF(S$229=3,S209,S209-_xlfn.XLOOKUP(S$212-1,$212:$212,209:209,,0,1))</f>
        <v/>
      </c>
      <c r="T226" s="867">
        <f>IF(T$229=3,T209,T209-_xlfn.XLOOKUP(T$212-1,$212:$212,209:209,,0,1))</f>
        <v/>
      </c>
      <c r="U226" s="867">
        <f>IF(U$229=3,U209,U209-_xlfn.XLOOKUP(U$212-1,$212:$212,209:209,,0,1))</f>
        <v/>
      </c>
      <c r="V226" s="867">
        <f>IF(V$229=3,V209,V209-_xlfn.XLOOKUP(V$212-1,$212:$212,209:209,,0,1))</f>
        <v/>
      </c>
      <c r="W226" s="867">
        <f>IF(W$229=3,W209,W209-_xlfn.XLOOKUP(W$212-1,$212:$212,209:209,,0,1))</f>
        <v/>
      </c>
      <c r="X226" s="867">
        <f>IF(X$229=3,X209,X209-_xlfn.XLOOKUP(X$212-1,$212:$212,209:209,,0,1))</f>
        <v/>
      </c>
      <c r="Y226" s="867">
        <f>IF(Y$229=3,Y209,Y209-_xlfn.XLOOKUP(Y$212-1,$212:$212,209:209,,0,1))</f>
        <v/>
      </c>
      <c r="Z226" s="867">
        <f>IF(Z$229=3,Z209,Z209-_xlfn.XLOOKUP(Z$212-1,$212:$212,209:209,,0,1))</f>
        <v/>
      </c>
      <c r="AA226" s="867">
        <f>IF(AA$229=3,AA209,AA209-_xlfn.XLOOKUP(AA$212-1,$212:$212,209:209,,0,1))</f>
        <v/>
      </c>
      <c r="AB226" s="867">
        <f>IF(AB$229=3,AB209,AB209-_xlfn.XLOOKUP(AB$212-1,$212:$212,209:209,,0,1))</f>
        <v/>
      </c>
      <c r="AC226" s="867">
        <f>IF(AC$229=3,AC209,AC209-_xlfn.XLOOKUP(AC$212-1,$212:$212,209:209,,0,1))</f>
        <v/>
      </c>
      <c r="AD226" s="867">
        <f>IF(AD$229=3,AD209,AD209-_xlfn.XLOOKUP(AD$212-1,$212:$212,209:209,,0,1))</f>
        <v/>
      </c>
      <c r="AE226" s="867">
        <f>IF(AE$229=3,AE209,AE209-_xlfn.XLOOKUP(AE$212-1,$212:$212,209:209,,0,1))</f>
        <v/>
      </c>
      <c r="AF226" s="867">
        <f>IF(AF$229=3,AF209,AF209-_xlfn.XLOOKUP(AF$212-1,$212:$212,209:209,,0,1))</f>
        <v/>
      </c>
      <c r="AG226" s="867">
        <f>IF(AG$229=3,AG209,AG209-_xlfn.XLOOKUP(AG$212-1,$212:$212,209:209,,0,1))</f>
        <v/>
      </c>
      <c r="AH226" s="867">
        <f>IF(AH$229=3,AH209,AH209-_xlfn.XLOOKUP(AH$212-1,$212:$212,209:209,,0,1))</f>
        <v/>
      </c>
      <c r="AI226" s="867">
        <f>IF(AI$229=3,AI209,AI209-_xlfn.XLOOKUP(AI$212-1,$212:$212,209:209,,0,1))</f>
        <v/>
      </c>
      <c r="AJ226" s="867">
        <f>IF(AJ$229=3,AJ209,AJ209-_xlfn.XLOOKUP(AJ$212-1,$212:$212,209:209,,0,1))</f>
        <v/>
      </c>
      <c r="AK226" s="867">
        <f>IF(AK$229=3,AK209,AK209-_xlfn.XLOOKUP(AK$212-1,$212:$212,209:209,,0,1))</f>
        <v/>
      </c>
      <c r="AL226" s="867">
        <f>IF(AL$229=3,AL209,AL209-_xlfn.XLOOKUP(AL$212-1,$212:$212,209:209,,0,1))</f>
        <v/>
      </c>
      <c r="AM226" s="867">
        <f>IF(AM$229=3,AM209,AM209-_xlfn.XLOOKUP(AM$212-1,$212:$212,209:209,,0,1))</f>
        <v/>
      </c>
      <c r="AN226" s="867">
        <f>IF(AN$229=3,AN209,AN209-_xlfn.XLOOKUP(AN$212-1,$212:$212,209:209,,0,1))</f>
        <v/>
      </c>
      <c r="AO226" s="867">
        <f>IF(AO$229=3,AO209,AO209-_xlfn.XLOOKUP(AO$212-1,$212:$212,209:209,,0,1))</f>
        <v/>
      </c>
      <c r="AP226" s="867">
        <f>IF(AP$229=3,AP209,AP209-_xlfn.XLOOKUP(AP$212-1,$212:$212,209:209,,0,1))</f>
        <v/>
      </c>
      <c r="AQ226" s="867">
        <f>IF(AQ$229=3,AQ209,AQ209-_xlfn.XLOOKUP(AQ$212-1,$212:$212,209:209,,0,1))</f>
        <v/>
      </c>
      <c r="AR226" s="867">
        <f>IF(AR$229=3,AR209,AR209-_xlfn.XLOOKUP(AR$212-1,$212:$212,209:209,,0,1))</f>
        <v/>
      </c>
      <c r="AS226" s="867">
        <f>IF(AS$229=3,AS209,AS209-_xlfn.XLOOKUP(AS$212-1,$212:$212,209:209,,0,1))</f>
        <v/>
      </c>
      <c r="AT226" s="867">
        <f>IF(AT$229=3,AT209,AT209-_xlfn.XLOOKUP(AT$212-1,$212:$212,209:209,,0,1))</f>
        <v/>
      </c>
      <c r="AU226" s="867">
        <f>IF(AU$229=3,AU209,AU209-_xlfn.XLOOKUP(AU$212-1,$212:$212,209:209,,0,1))</f>
        <v/>
      </c>
      <c r="AV226" s="867">
        <f>IF(AV$229=3,AV209,AV209-_xlfn.XLOOKUP(AV$212-1,$212:$212,209:209,,0,1))</f>
        <v/>
      </c>
      <c r="AW226" s="867">
        <f>IF(AW$229=3,AW209,AW209-_xlfn.XLOOKUP(AW$212-1,$212:$212,209:209,,0,1))</f>
        <v/>
      </c>
      <c r="AX226" s="867">
        <f>IF(AX$229=3,AX209,AX209-_xlfn.XLOOKUP(AX$212-1,$212:$212,209:209,,0,1))</f>
        <v/>
      </c>
      <c r="AY226" s="867">
        <f>IF(AY$229=3,AY209,AY209-_xlfn.XLOOKUP(AY$212-1,$212:$212,209:209,,0,1))</f>
        <v/>
      </c>
    </row>
    <row r="227" ht="17.25" customFormat="1" customHeight="1" s="85" thickBot="1" thickTop="1">
      <c r="A227" s="96" t="n"/>
      <c r="B227" s="89" t="inlineStr">
        <is>
          <t>Qarterly Net Charge offs</t>
        </is>
      </c>
      <c r="C227" s="332" t="n"/>
      <c r="D227" s="867">
        <f>SUM(D214:D226)</f>
        <v/>
      </c>
      <c r="E227" s="867">
        <f>SUM(E214:E226)</f>
        <v/>
      </c>
      <c r="F227" s="867">
        <f>SUM(F214:F226)</f>
        <v/>
      </c>
      <c r="G227" s="867">
        <f>SUM(G214:G226)</f>
        <v/>
      </c>
      <c r="H227" s="867">
        <f>SUM(H214:H226)</f>
        <v/>
      </c>
      <c r="I227" s="867">
        <f>SUM(I214:I226)</f>
        <v/>
      </c>
      <c r="J227" s="867">
        <f>SUM(J214:J226)</f>
        <v/>
      </c>
      <c r="K227" s="867">
        <f>SUM(K214:K226)</f>
        <v/>
      </c>
      <c r="L227" s="867">
        <f>SUM(L214:L226)</f>
        <v/>
      </c>
      <c r="M227" s="867">
        <f>SUM(M214:M226)</f>
        <v/>
      </c>
      <c r="N227" s="867">
        <f>SUM(N214:N226)</f>
        <v/>
      </c>
      <c r="O227" s="867">
        <f>SUM(O214:O226)</f>
        <v/>
      </c>
      <c r="P227" s="867">
        <f>SUM(P214:P226)</f>
        <v/>
      </c>
      <c r="Q227" s="867">
        <f>SUM(Q214:Q226)</f>
        <v/>
      </c>
      <c r="R227" s="867">
        <f>SUM(R214:R226)</f>
        <v/>
      </c>
      <c r="S227" s="867">
        <f>SUM(S214:S226)</f>
        <v/>
      </c>
      <c r="T227" s="867">
        <f>SUM(T214:T226)</f>
        <v/>
      </c>
      <c r="U227" s="867">
        <f>SUM(U214:U226)</f>
        <v/>
      </c>
      <c r="V227" s="867">
        <f>SUM(V214:V226)</f>
        <v/>
      </c>
      <c r="W227" s="867">
        <f>SUM(W214:W226)</f>
        <v/>
      </c>
      <c r="X227" s="867">
        <f>SUM(X214:X226)</f>
        <v/>
      </c>
      <c r="Y227" s="867">
        <f>SUM(Y214:Y226)</f>
        <v/>
      </c>
      <c r="Z227" s="867">
        <f>SUM(Z214:Z226)</f>
        <v/>
      </c>
      <c r="AA227" s="867">
        <f>SUM(AA214:AA226)</f>
        <v/>
      </c>
      <c r="AB227" s="867">
        <f>SUM(AB214:AB226)</f>
        <v/>
      </c>
      <c r="AC227" s="867">
        <f>SUM(AC214:AC226)</f>
        <v/>
      </c>
      <c r="AD227" s="867">
        <f>SUM(AD214:AD226)</f>
        <v/>
      </c>
      <c r="AE227" s="867">
        <f>SUM(AE214:AE226)</f>
        <v/>
      </c>
      <c r="AF227" s="867">
        <f>SUM(AF214:AF226)</f>
        <v/>
      </c>
      <c r="AG227" s="867">
        <f>SUM(AG214:AG226)</f>
        <v/>
      </c>
      <c r="AH227" s="867">
        <f>SUM(AH214:AH226)</f>
        <v/>
      </c>
      <c r="AI227" s="867">
        <f>SUM(AI214:AI226)</f>
        <v/>
      </c>
      <c r="AJ227" s="867">
        <f>SUM(AJ214:AJ226)</f>
        <v/>
      </c>
      <c r="AK227" s="867">
        <f>SUM(AK214:AK226)</f>
        <v/>
      </c>
      <c r="AL227" s="867">
        <f>SUM(AL214:AL226)</f>
        <v/>
      </c>
      <c r="AM227" s="867">
        <f>SUM(AM214:AM226)</f>
        <v/>
      </c>
      <c r="AN227" s="867">
        <f>SUM(AN214:AN226)</f>
        <v/>
      </c>
      <c r="AO227" s="867">
        <f>SUM(AO214:AO226)</f>
        <v/>
      </c>
      <c r="AP227" s="867">
        <f>SUM(AP214:AP226)</f>
        <v/>
      </c>
      <c r="AQ227" s="867">
        <f>SUM(AQ214:AQ226)</f>
        <v/>
      </c>
      <c r="AR227" s="867">
        <f>SUM(AR214:AR226)</f>
        <v/>
      </c>
      <c r="AS227" s="867">
        <f>SUM(AS214:AS226)</f>
        <v/>
      </c>
      <c r="AT227" s="867">
        <f>SUM(AT214:AT226)</f>
        <v/>
      </c>
      <c r="AU227" s="867">
        <f>SUM(AU214:AU226)</f>
        <v/>
      </c>
      <c r="AV227" s="867">
        <f>SUM(AV214:AV226)</f>
        <v/>
      </c>
      <c r="AW227" s="867">
        <f>SUM(AW214:AW226)</f>
        <v/>
      </c>
      <c r="AX227" s="867">
        <f>SUM(AX214:AX226)</f>
        <v/>
      </c>
      <c r="AY227" s="867">
        <f>SUM(AY214:AY226)</f>
        <v/>
      </c>
    </row>
    <row r="229">
      <c r="A229" s="3" t="n"/>
      <c r="B229" t="inlineStr">
        <is>
          <t>Month Number</t>
        </is>
      </c>
      <c r="D229" s="98">
        <f>MONTH(D8)</f>
        <v/>
      </c>
      <c r="E229" s="98">
        <f>MONTH(E8)</f>
        <v/>
      </c>
      <c r="F229" s="98">
        <f>MONTH(F8)</f>
        <v/>
      </c>
      <c r="G229" s="98">
        <f>MONTH(G8)</f>
        <v/>
      </c>
      <c r="H229" s="98">
        <f>MONTH(H8)</f>
        <v/>
      </c>
      <c r="I229" s="98">
        <f>MONTH(I8)</f>
        <v/>
      </c>
      <c r="J229" s="98">
        <f>MONTH(J8)</f>
        <v/>
      </c>
      <c r="K229" s="98">
        <f>MONTH(K8)</f>
        <v/>
      </c>
      <c r="L229" s="98">
        <f>MONTH(L8)</f>
        <v/>
      </c>
      <c r="M229" s="98">
        <f>MONTH(M8)</f>
        <v/>
      </c>
      <c r="N229" s="98">
        <f>MONTH(N8)</f>
        <v/>
      </c>
      <c r="O229" s="98">
        <f>MONTH(O8)</f>
        <v/>
      </c>
      <c r="P229" s="98">
        <f>MONTH(P8)</f>
        <v/>
      </c>
      <c r="Q229" s="98">
        <f>MONTH(Q8)</f>
        <v/>
      </c>
      <c r="R229" s="98">
        <f>MONTH(R8)</f>
        <v/>
      </c>
      <c r="S229" s="98">
        <f>MONTH(S8)</f>
        <v/>
      </c>
      <c r="T229" s="98">
        <f>MONTH(T8)</f>
        <v/>
      </c>
      <c r="U229" s="98">
        <f>MONTH(U8)</f>
        <v/>
      </c>
      <c r="V229" s="98">
        <f>MONTH(V8)</f>
        <v/>
      </c>
      <c r="W229" s="98">
        <f>MONTH(W8)</f>
        <v/>
      </c>
      <c r="X229" s="98">
        <f>MONTH(X8)</f>
        <v/>
      </c>
      <c r="Y229" s="98">
        <f>MONTH(Y8)</f>
        <v/>
      </c>
      <c r="Z229" s="98">
        <f>MONTH(Z8)</f>
        <v/>
      </c>
      <c r="AA229" s="98">
        <f>MONTH(AA8)</f>
        <v/>
      </c>
      <c r="AB229" s="98">
        <f>MONTH(AB8)</f>
        <v/>
      </c>
      <c r="AC229" s="98">
        <f>MONTH(AC8)</f>
        <v/>
      </c>
      <c r="AD229" s="98">
        <f>MONTH(AD8)</f>
        <v/>
      </c>
      <c r="AE229" s="98">
        <f>MONTH(AE8)</f>
        <v/>
      </c>
      <c r="AF229" s="98">
        <f>MONTH(AF8)</f>
        <v/>
      </c>
      <c r="AG229" s="98">
        <f>MONTH(AG8)</f>
        <v/>
      </c>
      <c r="AH229" s="98">
        <f>MONTH(AH8)</f>
        <v/>
      </c>
      <c r="AI229" s="98" t="n">
        <v>12</v>
      </c>
      <c r="AJ229" s="98">
        <f>MONTH(AJ8)</f>
        <v/>
      </c>
      <c r="AK229" s="98">
        <f>MONTH(AK8)</f>
        <v/>
      </c>
      <c r="AL229" s="98">
        <f>MONTH(AL8)</f>
        <v/>
      </c>
      <c r="AM229" s="98">
        <f>MONTH(AM8)</f>
        <v/>
      </c>
      <c r="AN229" s="98">
        <f>MONTH(AN8)</f>
        <v/>
      </c>
      <c r="AO229" s="98">
        <f>MONTH(AO8)</f>
        <v/>
      </c>
      <c r="AP229" s="98">
        <f>MONTH(AP8)</f>
        <v/>
      </c>
      <c r="AQ229" s="98">
        <f>MONTH(AQ8)</f>
        <v/>
      </c>
      <c r="AR229" s="98">
        <f>MONTH(AR8)</f>
        <v/>
      </c>
      <c r="AS229" s="98">
        <f>MONTH(AS8)</f>
        <v/>
      </c>
      <c r="AT229" s="98">
        <f>MONTH(AT8)</f>
        <v/>
      </c>
      <c r="AU229" s="98">
        <f>MONTH(AU8)</f>
        <v/>
      </c>
      <c r="AV229" s="98">
        <f>MONTH(AV8)</f>
        <v/>
      </c>
      <c r="AW229" s="98">
        <f>MONTH(AW8)</f>
        <v/>
      </c>
      <c r="AX229" s="98">
        <f>MONTH(AX8)</f>
        <v/>
      </c>
      <c r="AY229" s="98">
        <f>MONTH(AY8)</f>
        <v/>
      </c>
    </row>
    <row r="230" ht="15.75" customHeight="1" s="685" thickBot="1"/>
    <row r="231" ht="13.5" customFormat="1" customHeight="1" s="85" thickBot="1">
      <c r="A231" s="96" t="n"/>
      <c r="B231" s="80" t="inlineStr">
        <is>
          <t>DQ %</t>
        </is>
      </c>
      <c r="C231" s="327" t="n"/>
      <c r="D231" s="81">
        <f>D8</f>
        <v/>
      </c>
      <c r="E231" s="81">
        <f>E8</f>
        <v/>
      </c>
      <c r="F231" s="81">
        <f>F8</f>
        <v/>
      </c>
      <c r="G231" s="81">
        <f>G8</f>
        <v/>
      </c>
      <c r="H231" s="81">
        <f>H8</f>
        <v/>
      </c>
      <c r="I231" s="81">
        <f>I8</f>
        <v/>
      </c>
      <c r="J231" s="81">
        <f>J8</f>
        <v/>
      </c>
      <c r="K231" s="81">
        <f>K8</f>
        <v/>
      </c>
      <c r="L231" s="81">
        <f>L8</f>
        <v/>
      </c>
      <c r="M231" s="81">
        <f>M8</f>
        <v/>
      </c>
      <c r="N231" s="81">
        <f>N8</f>
        <v/>
      </c>
      <c r="O231" s="81">
        <f>O8</f>
        <v/>
      </c>
      <c r="P231" s="81">
        <f>P8</f>
        <v/>
      </c>
      <c r="Q231" s="81">
        <f>Q8</f>
        <v/>
      </c>
      <c r="R231" s="81">
        <f>R8</f>
        <v/>
      </c>
      <c r="S231" s="81">
        <f>S8</f>
        <v/>
      </c>
      <c r="T231" s="81">
        <f>T8</f>
        <v/>
      </c>
      <c r="U231" s="81">
        <f>U8</f>
        <v/>
      </c>
      <c r="V231" s="81">
        <f>V8</f>
        <v/>
      </c>
      <c r="W231" s="81">
        <f>W8</f>
        <v/>
      </c>
      <c r="X231" s="81">
        <f>X8</f>
        <v/>
      </c>
      <c r="Y231" s="81">
        <f>Y8</f>
        <v/>
      </c>
      <c r="Z231" s="81">
        <f>Z8</f>
        <v/>
      </c>
      <c r="AA231" s="81">
        <f>AA8</f>
        <v/>
      </c>
      <c r="AB231" s="81">
        <f>AB8</f>
        <v/>
      </c>
      <c r="AC231" s="81">
        <f>AC8</f>
        <v/>
      </c>
      <c r="AD231" s="81">
        <f>AD8</f>
        <v/>
      </c>
      <c r="AE231" s="81">
        <f>AE8</f>
        <v/>
      </c>
      <c r="AF231" s="81">
        <f>AF8</f>
        <v/>
      </c>
      <c r="AG231" s="81">
        <f>AG8</f>
        <v/>
      </c>
      <c r="AH231" s="81">
        <f>AH8</f>
        <v/>
      </c>
      <c r="AI231" s="81">
        <f>AI8</f>
        <v/>
      </c>
      <c r="AJ231" s="81">
        <f>AJ8</f>
        <v/>
      </c>
      <c r="AK231" s="81">
        <f>AK8</f>
        <v/>
      </c>
      <c r="AL231" s="81">
        <f>AL8</f>
        <v/>
      </c>
      <c r="AM231" s="81">
        <f>AM8</f>
        <v/>
      </c>
      <c r="AN231" s="81">
        <f>AN8</f>
        <v/>
      </c>
      <c r="AO231" s="81">
        <f>AO8</f>
        <v/>
      </c>
      <c r="AP231" s="81">
        <f>AP8</f>
        <v/>
      </c>
      <c r="AQ231" s="81">
        <f>AQ8</f>
        <v/>
      </c>
      <c r="AR231" s="81">
        <f>AR8</f>
        <v/>
      </c>
      <c r="AS231" s="81">
        <f>AS8</f>
        <v/>
      </c>
      <c r="AT231" s="81">
        <f>AT8</f>
        <v/>
      </c>
      <c r="AU231" s="81">
        <f>AU8</f>
        <v/>
      </c>
      <c r="AV231" s="81">
        <f>AV8</f>
        <v/>
      </c>
      <c r="AW231" s="81">
        <f>AW8</f>
        <v/>
      </c>
      <c r="AX231" s="81">
        <f>AX8</f>
        <v/>
      </c>
      <c r="AY231" s="81">
        <f>AY8</f>
        <v/>
      </c>
    </row>
    <row r="232" ht="17.25" customFormat="1" customHeight="1" s="85" thickBot="1" thickTop="1">
      <c r="A232" s="96" t="n"/>
      <c r="B232" s="83">
        <f>B162</f>
        <v/>
      </c>
      <c r="C232" s="335" t="inlineStr">
        <is>
          <t>Unsecured Credit Card Loans</t>
        </is>
      </c>
      <c r="D232" s="182">
        <f>IFERROR(D180/D162,0)</f>
        <v/>
      </c>
      <c r="E232" s="182">
        <f>IFERROR(E180/E162,0)</f>
        <v/>
      </c>
      <c r="F232" s="182">
        <f>IFERROR(F180/F162,0)</f>
        <v/>
      </c>
      <c r="G232" s="182">
        <f>IFERROR(G180/G162,0)</f>
        <v/>
      </c>
      <c r="H232" s="182">
        <f>IFERROR(H180/H162,0)</f>
        <v/>
      </c>
      <c r="I232" s="182">
        <f>IFERROR(I180/I162,0)</f>
        <v/>
      </c>
      <c r="J232" s="182">
        <f>IFERROR(J180/J162,0)</f>
        <v/>
      </c>
      <c r="K232" s="182">
        <f>IFERROR(K180/K162,0)</f>
        <v/>
      </c>
      <c r="L232" s="182">
        <f>IFERROR(L180/L162,0)</f>
        <v/>
      </c>
      <c r="M232" s="182">
        <f>IFERROR(M180/M162,0)</f>
        <v/>
      </c>
      <c r="N232" s="182">
        <f>IFERROR(N180/N162,0)</f>
        <v/>
      </c>
      <c r="O232" s="182">
        <f>IFERROR(O180/O162,0)</f>
        <v/>
      </c>
      <c r="P232" s="182">
        <f>IFERROR(P180/P162,0)</f>
        <v/>
      </c>
      <c r="Q232" s="182">
        <f>IFERROR(Q180/Q162,0)</f>
        <v/>
      </c>
      <c r="R232" s="182">
        <f>IFERROR(R180/R162,0)</f>
        <v/>
      </c>
      <c r="S232" s="182">
        <f>IFERROR(S180/S162,0)</f>
        <v/>
      </c>
      <c r="T232" s="182">
        <f>IFERROR(T180/T162,0)</f>
        <v/>
      </c>
      <c r="U232" s="182">
        <f>IFERROR(U180/U162,0)</f>
        <v/>
      </c>
      <c r="V232" s="182">
        <f>IFERROR(V180/V162,0)</f>
        <v/>
      </c>
      <c r="W232" s="182">
        <f>IFERROR(W180/W162,0)</f>
        <v/>
      </c>
      <c r="X232" s="182">
        <f>IFERROR(X180/X162,0)</f>
        <v/>
      </c>
      <c r="Y232" s="182">
        <f>IFERROR(Y180/Y162,0)</f>
        <v/>
      </c>
      <c r="Z232" s="182">
        <f>IFERROR(Z180/Z162,0)</f>
        <v/>
      </c>
      <c r="AA232" s="182">
        <f>IFERROR(AA180/AA162,0)</f>
        <v/>
      </c>
      <c r="AB232" s="182">
        <f>IFERROR(AB180/AB162,0)</f>
        <v/>
      </c>
      <c r="AC232" s="182">
        <f>IFERROR(AC180/AC162,0)</f>
        <v/>
      </c>
      <c r="AD232" s="182">
        <f>IFERROR(AD180/AD162,0)</f>
        <v/>
      </c>
      <c r="AE232" s="182">
        <f>IFERROR(AE180/AE162,0)</f>
        <v/>
      </c>
      <c r="AF232" s="182">
        <f>IFERROR(AF180/AF162,0)</f>
        <v/>
      </c>
      <c r="AG232" s="182">
        <f>IFERROR(AG180/AG162,0)</f>
        <v/>
      </c>
      <c r="AH232" s="182">
        <f>IFERROR(AH180/AH162,0)</f>
        <v/>
      </c>
      <c r="AI232" s="182">
        <f>IFERROR(AI180/AI162,0)</f>
        <v/>
      </c>
      <c r="AJ232" s="182">
        <f>IFERROR(AJ180/AJ162,0)</f>
        <v/>
      </c>
      <c r="AK232" s="182">
        <f>IFERROR(AK180/AK162,0)</f>
        <v/>
      </c>
      <c r="AL232" s="182">
        <f>IFERROR(AL180/AL162,0)</f>
        <v/>
      </c>
      <c r="AM232" s="182">
        <f>IFERROR(AM180/AM162,0)</f>
        <v/>
      </c>
      <c r="AN232" s="182">
        <f>IFERROR(AN180/AN162,0)</f>
        <v/>
      </c>
      <c r="AO232" s="182">
        <f>IFERROR(AO180/AO162,0)</f>
        <v/>
      </c>
      <c r="AP232" s="182">
        <f>IFERROR(AP180/AP162,0)</f>
        <v/>
      </c>
      <c r="AQ232" s="182">
        <f>IFERROR(AQ180/AQ162,0)</f>
        <v/>
      </c>
      <c r="AR232" s="182">
        <f>IFERROR(AR180/AR162,0)</f>
        <v/>
      </c>
      <c r="AS232" s="182">
        <f>IFERROR(AS180/AS162,0)</f>
        <v/>
      </c>
      <c r="AT232" s="182">
        <f>IFERROR(AT180/AT162,0)</f>
        <v/>
      </c>
      <c r="AU232" s="182">
        <f>IFERROR(AU180/AU162,0)</f>
        <v/>
      </c>
      <c r="AV232" s="182">
        <f>IFERROR(AV180/AV162,0)</f>
        <v/>
      </c>
      <c r="AW232" s="182">
        <f>IFERROR(AW180/AW162,0)</f>
        <v/>
      </c>
      <c r="AX232" s="182">
        <f>IFERROR(AX180/AX162,0)</f>
        <v/>
      </c>
      <c r="AY232" s="182">
        <f>IFERROR(AY180/AY162,0)</f>
        <v/>
      </c>
    </row>
    <row r="233" ht="17.25" customFormat="1" customHeight="1" s="85" thickBot="1" thickTop="1">
      <c r="A233" s="96" t="n"/>
      <c r="B233" s="83">
        <f>B163</f>
        <v/>
      </c>
      <c r="C233" s="335" t="inlineStr">
        <is>
          <t>Payday Alternative Loans</t>
        </is>
      </c>
      <c r="D233" s="182">
        <f>IFERROR(D181/D163,0)</f>
        <v/>
      </c>
      <c r="E233" s="182">
        <f>IFERROR(E181/E163,0)</f>
        <v/>
      </c>
      <c r="F233" s="182">
        <f>IFERROR(F181/F163,0)</f>
        <v/>
      </c>
      <c r="G233" s="182">
        <f>IFERROR(G181/G163,0)</f>
        <v/>
      </c>
      <c r="H233" s="182">
        <f>IFERROR(H181/H163,0)</f>
        <v/>
      </c>
      <c r="I233" s="182">
        <f>IFERROR(I181/I163,0)</f>
        <v/>
      </c>
      <c r="J233" s="182">
        <f>IFERROR(J181/J163,0)</f>
        <v/>
      </c>
      <c r="K233" s="182">
        <f>IFERROR(K181/K163,0)</f>
        <v/>
      </c>
      <c r="L233" s="182">
        <f>IFERROR(L181/L163,0)</f>
        <v/>
      </c>
      <c r="M233" s="182">
        <f>IFERROR(M181/M163,0)</f>
        <v/>
      </c>
      <c r="N233" s="182">
        <f>IFERROR(N181/N163,0)</f>
        <v/>
      </c>
      <c r="O233" s="182">
        <f>IFERROR(O181/O163,0)</f>
        <v/>
      </c>
      <c r="P233" s="182">
        <f>IFERROR(P181/P163,0)</f>
        <v/>
      </c>
      <c r="Q233" s="182">
        <f>IFERROR(Q181/Q163,0)</f>
        <v/>
      </c>
      <c r="R233" s="182">
        <f>IFERROR(R181/R163,0)</f>
        <v/>
      </c>
      <c r="S233" s="182">
        <f>IFERROR(S181/S163,0)</f>
        <v/>
      </c>
      <c r="T233" s="182">
        <f>IFERROR(T181/T163,0)</f>
        <v/>
      </c>
      <c r="U233" s="182">
        <f>IFERROR(U181/U163,0)</f>
        <v/>
      </c>
      <c r="V233" s="182">
        <f>IFERROR(V181/V163,0)</f>
        <v/>
      </c>
      <c r="W233" s="182">
        <f>IFERROR(W181/W163,0)</f>
        <v/>
      </c>
      <c r="X233" s="182">
        <f>IFERROR(X181/X163,0)</f>
        <v/>
      </c>
      <c r="Y233" s="182">
        <f>IFERROR(Y181/Y163,0)</f>
        <v/>
      </c>
      <c r="Z233" s="182">
        <f>IFERROR(Z181/Z163,0)</f>
        <v/>
      </c>
      <c r="AA233" s="182">
        <f>IFERROR(AA181/AA163,0)</f>
        <v/>
      </c>
      <c r="AB233" s="182">
        <f>IFERROR(AB181/AB163,0)</f>
        <v/>
      </c>
      <c r="AC233" s="182">
        <f>IFERROR(AC181/AC163,0)</f>
        <v/>
      </c>
      <c r="AD233" s="182">
        <f>IFERROR(AD181/AD163,0)</f>
        <v/>
      </c>
      <c r="AE233" s="182">
        <f>IFERROR(AE181/AE163,0)</f>
        <v/>
      </c>
      <c r="AF233" s="182">
        <f>IFERROR(AF181/AF163,0)</f>
        <v/>
      </c>
      <c r="AG233" s="182">
        <f>IFERROR(AG181/AG163,0)</f>
        <v/>
      </c>
      <c r="AH233" s="182">
        <f>IFERROR(AH181/AH163,0)</f>
        <v/>
      </c>
      <c r="AI233" s="182">
        <f>IFERROR(AI181/AI163,0)</f>
        <v/>
      </c>
      <c r="AJ233" s="182">
        <f>IFERROR(AJ181/AJ163,0)</f>
        <v/>
      </c>
      <c r="AK233" s="182">
        <f>IFERROR(AK181/AK163,0)</f>
        <v/>
      </c>
      <c r="AL233" s="182">
        <f>IFERROR(AL181/AL163,0)</f>
        <v/>
      </c>
      <c r="AM233" s="182">
        <f>IFERROR(AM181/AM163,0)</f>
        <v/>
      </c>
      <c r="AN233" s="182">
        <f>IFERROR(AN181/AN163,0)</f>
        <v/>
      </c>
      <c r="AO233" s="182">
        <f>IFERROR(AO181/AO163,0)</f>
        <v/>
      </c>
      <c r="AP233" s="182">
        <f>IFERROR(AP181/AP163,0)</f>
        <v/>
      </c>
      <c r="AQ233" s="182">
        <f>IFERROR(AQ181/AQ163,0)</f>
        <v/>
      </c>
      <c r="AR233" s="182">
        <f>IFERROR(AR181/AR163,0)</f>
        <v/>
      </c>
      <c r="AS233" s="182">
        <f>IFERROR(AS181/AS163,0)</f>
        <v/>
      </c>
      <c r="AT233" s="182">
        <f>IFERROR(AT181/AT163,0)</f>
        <v/>
      </c>
      <c r="AU233" s="182">
        <f>IFERROR(AU181/AU163,0)</f>
        <v/>
      </c>
      <c r="AV233" s="182">
        <f>IFERROR(AV181/AV163,0)</f>
        <v/>
      </c>
      <c r="AW233" s="182">
        <f>IFERROR(AW181/AW163,0)</f>
        <v/>
      </c>
      <c r="AX233" s="182">
        <f>IFERROR(AX181/AX163,0)</f>
        <v/>
      </c>
      <c r="AY233" s="182">
        <f>IFERROR(AY181/AY163,0)</f>
        <v/>
      </c>
    </row>
    <row r="234" ht="17.25" customFormat="1" customHeight="1" s="85" thickBot="1" thickTop="1">
      <c r="A234" s="96" t="n"/>
      <c r="B234" s="83">
        <f>B164</f>
        <v/>
      </c>
      <c r="C234" s="335" t="inlineStr">
        <is>
          <t>Non-Federally Guaranteed Student Loans</t>
        </is>
      </c>
      <c r="D234" s="182">
        <f>IFERROR(D182/D164,0)</f>
        <v/>
      </c>
      <c r="E234" s="182">
        <f>IFERROR(E182/E164,0)</f>
        <v/>
      </c>
      <c r="F234" s="182">
        <f>IFERROR(F182/F164,0)</f>
        <v/>
      </c>
      <c r="G234" s="182">
        <f>IFERROR(G182/G164,0)</f>
        <v/>
      </c>
      <c r="H234" s="182">
        <f>IFERROR(H182/H164,0)</f>
        <v/>
      </c>
      <c r="I234" s="182">
        <f>IFERROR(I182/I164,0)</f>
        <v/>
      </c>
      <c r="J234" s="182">
        <f>IFERROR(J182/J164,0)</f>
        <v/>
      </c>
      <c r="K234" s="182">
        <f>IFERROR(K182/K164,0)</f>
        <v/>
      </c>
      <c r="L234" s="182">
        <f>IFERROR(L182/L164,0)</f>
        <v/>
      </c>
      <c r="M234" s="182">
        <f>IFERROR(M182/M164,0)</f>
        <v/>
      </c>
      <c r="N234" s="182">
        <f>IFERROR(N182/N164,0)</f>
        <v/>
      </c>
      <c r="O234" s="182">
        <f>IFERROR(O182/O164,0)</f>
        <v/>
      </c>
      <c r="P234" s="182">
        <f>IFERROR(P182/P164,0)</f>
        <v/>
      </c>
      <c r="Q234" s="182">
        <f>IFERROR(Q182/Q164,0)</f>
        <v/>
      </c>
      <c r="R234" s="182">
        <f>IFERROR(R182/R164,0)</f>
        <v/>
      </c>
      <c r="S234" s="182">
        <f>IFERROR(S182/S164,0)</f>
        <v/>
      </c>
      <c r="T234" s="182">
        <f>IFERROR(T182/T164,0)</f>
        <v/>
      </c>
      <c r="U234" s="182">
        <f>IFERROR(U182/U164,0)</f>
        <v/>
      </c>
      <c r="V234" s="182">
        <f>IFERROR(V182/V164,0)</f>
        <v/>
      </c>
      <c r="W234" s="182">
        <f>IFERROR(W182/W164,0)</f>
        <v/>
      </c>
      <c r="X234" s="182">
        <f>IFERROR(X182/X164,0)</f>
        <v/>
      </c>
      <c r="Y234" s="182">
        <f>IFERROR(Y182/Y164,0)</f>
        <v/>
      </c>
      <c r="Z234" s="182">
        <f>IFERROR(Z182/Z164,0)</f>
        <v/>
      </c>
      <c r="AA234" s="182">
        <f>IFERROR(AA182/AA164,0)</f>
        <v/>
      </c>
      <c r="AB234" s="182">
        <f>IFERROR(AB182/AB164,0)</f>
        <v/>
      </c>
      <c r="AC234" s="182">
        <f>IFERROR(AC182/AC164,0)</f>
        <v/>
      </c>
      <c r="AD234" s="182">
        <f>IFERROR(AD182/AD164,0)</f>
        <v/>
      </c>
      <c r="AE234" s="182">
        <f>IFERROR(AE182/AE164,0)</f>
        <v/>
      </c>
      <c r="AF234" s="182">
        <f>IFERROR(AF182/AF164,0)</f>
        <v/>
      </c>
      <c r="AG234" s="182">
        <f>IFERROR(AG182/AG164,0)</f>
        <v/>
      </c>
      <c r="AH234" s="182">
        <f>IFERROR(AH182/AH164,0)</f>
        <v/>
      </c>
      <c r="AI234" s="182">
        <f>IFERROR(AI182/AI164,0)</f>
        <v/>
      </c>
      <c r="AJ234" s="182">
        <f>IFERROR(AJ182/AJ164,0)</f>
        <v/>
      </c>
      <c r="AK234" s="182">
        <f>IFERROR(AK182/AK164,0)</f>
        <v/>
      </c>
      <c r="AL234" s="182">
        <f>IFERROR(AL182/AL164,0)</f>
        <v/>
      </c>
      <c r="AM234" s="182">
        <f>IFERROR(AM182/AM164,0)</f>
        <v/>
      </c>
      <c r="AN234" s="182">
        <f>IFERROR(AN182/AN164,0)</f>
        <v/>
      </c>
      <c r="AO234" s="182">
        <f>IFERROR(AO182/AO164,0)</f>
        <v/>
      </c>
      <c r="AP234" s="182">
        <f>IFERROR(AP182/AP164,0)</f>
        <v/>
      </c>
      <c r="AQ234" s="182">
        <f>IFERROR(AQ182/AQ164,0)</f>
        <v/>
      </c>
      <c r="AR234" s="182">
        <f>IFERROR(AR182/AR164,0)</f>
        <v/>
      </c>
      <c r="AS234" s="182">
        <f>IFERROR(AS182/AS164,0)</f>
        <v/>
      </c>
      <c r="AT234" s="182">
        <f>IFERROR(AT182/AT164,0)</f>
        <v/>
      </c>
      <c r="AU234" s="182">
        <f>IFERROR(AU182/AU164,0)</f>
        <v/>
      </c>
      <c r="AV234" s="182">
        <f>IFERROR(AV182/AV164,0)</f>
        <v/>
      </c>
      <c r="AW234" s="182">
        <f>IFERROR(AW182/AW164,0)</f>
        <v/>
      </c>
      <c r="AX234" s="182">
        <f>IFERROR(AX182/AX164,0)</f>
        <v/>
      </c>
      <c r="AY234" s="182">
        <f>IFERROR(AY182/AY164,0)</f>
        <v/>
      </c>
    </row>
    <row r="235" ht="17.25" customFormat="1" customHeight="1" s="85" thickBot="1" thickTop="1">
      <c r="A235" s="96" t="n"/>
      <c r="B235" s="83">
        <f>B165</f>
        <v/>
      </c>
      <c r="C235" s="335" t="inlineStr">
        <is>
          <t>All Other Unsecured Loans/Lines of Credit</t>
        </is>
      </c>
      <c r="D235" s="182">
        <f>IFERROR(D183/D165,0)</f>
        <v/>
      </c>
      <c r="E235" s="182">
        <f>IFERROR(E183/E165,0)</f>
        <v/>
      </c>
      <c r="F235" s="182">
        <f>IFERROR(F183/F165,0)</f>
        <v/>
      </c>
      <c r="G235" s="182">
        <f>IFERROR(G183/G165,0)</f>
        <v/>
      </c>
      <c r="H235" s="182">
        <f>IFERROR(H183/H165,0)</f>
        <v/>
      </c>
      <c r="I235" s="182">
        <f>IFERROR(I183/I165,0)</f>
        <v/>
      </c>
      <c r="J235" s="182">
        <f>IFERROR(J183/J165,0)</f>
        <v/>
      </c>
      <c r="K235" s="182">
        <f>IFERROR(K183/K165,0)</f>
        <v/>
      </c>
      <c r="L235" s="182">
        <f>IFERROR(L183/L165,0)</f>
        <v/>
      </c>
      <c r="M235" s="182">
        <f>IFERROR(M183/M165,0)</f>
        <v/>
      </c>
      <c r="N235" s="182">
        <f>IFERROR(N183/N165,0)</f>
        <v/>
      </c>
      <c r="O235" s="182">
        <f>IFERROR(O183/O165,0)</f>
        <v/>
      </c>
      <c r="P235" s="182">
        <f>IFERROR(P183/P165,0)</f>
        <v/>
      </c>
      <c r="Q235" s="182">
        <f>IFERROR(Q183/Q165,0)</f>
        <v/>
      </c>
      <c r="R235" s="182">
        <f>IFERROR(R183/R165,0)</f>
        <v/>
      </c>
      <c r="S235" s="182">
        <f>IFERROR(S183/S165,0)</f>
        <v/>
      </c>
      <c r="T235" s="182">
        <f>IFERROR(T183/T165,0)</f>
        <v/>
      </c>
      <c r="U235" s="182">
        <f>IFERROR(U183/U165,0)</f>
        <v/>
      </c>
      <c r="V235" s="182">
        <f>IFERROR(V183/V165,0)</f>
        <v/>
      </c>
      <c r="W235" s="182">
        <f>IFERROR(W183/W165,0)</f>
        <v/>
      </c>
      <c r="X235" s="182">
        <f>IFERROR(X183/X165,0)</f>
        <v/>
      </c>
      <c r="Y235" s="182">
        <f>IFERROR(Y183/Y165,0)</f>
        <v/>
      </c>
      <c r="Z235" s="182">
        <f>IFERROR(Z183/Z165,0)</f>
        <v/>
      </c>
      <c r="AA235" s="182">
        <f>IFERROR(AA183/AA165,0)</f>
        <v/>
      </c>
      <c r="AB235" s="182">
        <f>IFERROR(AB183/AB165,0)</f>
        <v/>
      </c>
      <c r="AC235" s="182">
        <f>IFERROR(AC183/AC165,0)</f>
        <v/>
      </c>
      <c r="AD235" s="182">
        <f>IFERROR(AD183/AD165,0)</f>
        <v/>
      </c>
      <c r="AE235" s="182">
        <f>IFERROR(AE183/AE165,0)</f>
        <v/>
      </c>
      <c r="AF235" s="182">
        <f>IFERROR(AF183/AF165,0)</f>
        <v/>
      </c>
      <c r="AG235" s="182">
        <f>IFERROR(AG183/AG165,0)</f>
        <v/>
      </c>
      <c r="AH235" s="182">
        <f>IFERROR(AH183/AH165,0)</f>
        <v/>
      </c>
      <c r="AI235" s="182">
        <f>IFERROR(AI183/AI165,0)</f>
        <v/>
      </c>
      <c r="AJ235" s="182">
        <f>IFERROR(AJ183/AJ165,0)</f>
        <v/>
      </c>
      <c r="AK235" s="182">
        <f>IFERROR(AK183/AK165,0)</f>
        <v/>
      </c>
      <c r="AL235" s="182">
        <f>IFERROR(AL183/AL165,0)</f>
        <v/>
      </c>
      <c r="AM235" s="182">
        <f>IFERROR(AM183/AM165,0)</f>
        <v/>
      </c>
      <c r="AN235" s="182">
        <f>IFERROR(AN183/AN165,0)</f>
        <v/>
      </c>
      <c r="AO235" s="182">
        <f>IFERROR(AO183/AO165,0)</f>
        <v/>
      </c>
      <c r="AP235" s="182">
        <f>IFERROR(AP183/AP165,0)</f>
        <v/>
      </c>
      <c r="AQ235" s="182">
        <f>IFERROR(AQ183/AQ165,0)</f>
        <v/>
      </c>
      <c r="AR235" s="182">
        <f>IFERROR(AR183/AR165,0)</f>
        <v/>
      </c>
      <c r="AS235" s="182">
        <f>IFERROR(AS183/AS165,0)</f>
        <v/>
      </c>
      <c r="AT235" s="182">
        <f>IFERROR(AT183/AT165,0)</f>
        <v/>
      </c>
      <c r="AU235" s="182">
        <f>IFERROR(AU183/AU165,0)</f>
        <v/>
      </c>
      <c r="AV235" s="182">
        <f>IFERROR(AV183/AV165,0)</f>
        <v/>
      </c>
      <c r="AW235" s="182">
        <f>IFERROR(AW183/AW165,0)</f>
        <v/>
      </c>
      <c r="AX235" s="182">
        <f>IFERROR(AX183/AX165,0)</f>
        <v/>
      </c>
      <c r="AY235" s="182">
        <f>IFERROR(AY183/AY165,0)</f>
        <v/>
      </c>
    </row>
    <row r="236" ht="17.25" customFormat="1" customHeight="1" s="85" thickBot="1" thickTop="1">
      <c r="A236" s="96" t="n"/>
      <c r="B236" s="83">
        <f>B166</f>
        <v/>
      </c>
      <c r="C236" s="335" t="inlineStr">
        <is>
          <t>New Vehicle Loans</t>
        </is>
      </c>
      <c r="D236" s="182">
        <f>IFERROR(D184/D166,0)</f>
        <v/>
      </c>
      <c r="E236" s="182">
        <f>IFERROR(E184/E166,0)</f>
        <v/>
      </c>
      <c r="F236" s="182">
        <f>IFERROR(F184/F166,0)</f>
        <v/>
      </c>
      <c r="G236" s="182">
        <f>IFERROR(G184/G166,0)</f>
        <v/>
      </c>
      <c r="H236" s="182">
        <f>IFERROR(H184/H166,0)</f>
        <v/>
      </c>
      <c r="I236" s="182">
        <f>IFERROR(I184/I166,0)</f>
        <v/>
      </c>
      <c r="J236" s="182">
        <f>IFERROR(J184/J166,0)</f>
        <v/>
      </c>
      <c r="K236" s="182">
        <f>IFERROR(K184/K166,0)</f>
        <v/>
      </c>
      <c r="L236" s="182">
        <f>IFERROR(L184/L166,0)</f>
        <v/>
      </c>
      <c r="M236" s="182">
        <f>IFERROR(M184/M166,0)</f>
        <v/>
      </c>
      <c r="N236" s="182">
        <f>IFERROR(N184/N166,0)</f>
        <v/>
      </c>
      <c r="O236" s="182">
        <f>IFERROR(O184/O166,0)</f>
        <v/>
      </c>
      <c r="P236" s="182">
        <f>IFERROR(P184/P166,0)</f>
        <v/>
      </c>
      <c r="Q236" s="182">
        <f>IFERROR(Q184/Q166,0)</f>
        <v/>
      </c>
      <c r="R236" s="182">
        <f>IFERROR(R184/R166,0)</f>
        <v/>
      </c>
      <c r="S236" s="182">
        <f>IFERROR(S184/S166,0)</f>
        <v/>
      </c>
      <c r="T236" s="182">
        <f>IFERROR(T184/T166,0)</f>
        <v/>
      </c>
      <c r="U236" s="182">
        <f>IFERROR(U184/U166,0)</f>
        <v/>
      </c>
      <c r="V236" s="182">
        <f>IFERROR(V184/V166,0)</f>
        <v/>
      </c>
      <c r="W236" s="182">
        <f>IFERROR(W184/W166,0)</f>
        <v/>
      </c>
      <c r="X236" s="182">
        <f>IFERROR(X184/X166,0)</f>
        <v/>
      </c>
      <c r="Y236" s="182">
        <f>IFERROR(Y184/Y166,0)</f>
        <v/>
      </c>
      <c r="Z236" s="182">
        <f>IFERROR(Z184/Z166,0)</f>
        <v/>
      </c>
      <c r="AA236" s="182">
        <f>IFERROR(AA184/AA166,0)</f>
        <v/>
      </c>
      <c r="AB236" s="182">
        <f>IFERROR(AB184/AB166,0)</f>
        <v/>
      </c>
      <c r="AC236" s="182">
        <f>IFERROR(AC184/AC166,0)</f>
        <v/>
      </c>
      <c r="AD236" s="182">
        <f>IFERROR(AD184/AD166,0)</f>
        <v/>
      </c>
      <c r="AE236" s="182">
        <f>IFERROR(AE184/AE166,0)</f>
        <v/>
      </c>
      <c r="AF236" s="182">
        <f>IFERROR(AF184/AF166,0)</f>
        <v/>
      </c>
      <c r="AG236" s="182">
        <f>IFERROR(AG184/AG166,0)</f>
        <v/>
      </c>
      <c r="AH236" s="182">
        <f>IFERROR(AH184/AH166,0)</f>
        <v/>
      </c>
      <c r="AI236" s="182">
        <f>IFERROR(AI184/AI166,0)</f>
        <v/>
      </c>
      <c r="AJ236" s="182">
        <f>IFERROR(AJ184/AJ166,0)</f>
        <v/>
      </c>
      <c r="AK236" s="182">
        <f>IFERROR(AK184/AK166,0)</f>
        <v/>
      </c>
      <c r="AL236" s="182">
        <f>IFERROR(AL184/AL166,0)</f>
        <v/>
      </c>
      <c r="AM236" s="182">
        <f>IFERROR(AM184/AM166,0)</f>
        <v/>
      </c>
      <c r="AN236" s="182">
        <f>IFERROR(AN184/AN166,0)</f>
        <v/>
      </c>
      <c r="AO236" s="182">
        <f>IFERROR(AO184/AO166,0)</f>
        <v/>
      </c>
      <c r="AP236" s="182">
        <f>IFERROR(AP184/AP166,0)</f>
        <v/>
      </c>
      <c r="AQ236" s="182">
        <f>IFERROR(AQ184/AQ166,0)</f>
        <v/>
      </c>
      <c r="AR236" s="182">
        <f>IFERROR(AR184/AR166,0)</f>
        <v/>
      </c>
      <c r="AS236" s="182">
        <f>IFERROR(AS184/AS166,0)</f>
        <v/>
      </c>
      <c r="AT236" s="182">
        <f>IFERROR(AT184/AT166,0)</f>
        <v/>
      </c>
      <c r="AU236" s="182">
        <f>IFERROR(AU184/AU166,0)</f>
        <v/>
      </c>
      <c r="AV236" s="182">
        <f>IFERROR(AV184/AV166,0)</f>
        <v/>
      </c>
      <c r="AW236" s="182">
        <f>IFERROR(AW184/AW166,0)</f>
        <v/>
      </c>
      <c r="AX236" s="182">
        <f>IFERROR(AX184/AX166,0)</f>
        <v/>
      </c>
      <c r="AY236" s="182">
        <f>IFERROR(AY184/AY166,0)</f>
        <v/>
      </c>
    </row>
    <row r="237" ht="17.25" customFormat="1" customHeight="1" s="85" thickBot="1" thickTop="1">
      <c r="A237" s="96" t="n"/>
      <c r="B237" s="83">
        <f>B167</f>
        <v/>
      </c>
      <c r="C237" s="335" t="inlineStr">
        <is>
          <t>Used Vehicle Loans</t>
        </is>
      </c>
      <c r="D237" s="182">
        <f>IFERROR(D185/D167,0)</f>
        <v/>
      </c>
      <c r="E237" s="182">
        <f>IFERROR(E185/E167,0)</f>
        <v/>
      </c>
      <c r="F237" s="182">
        <f>IFERROR(F185/F167,0)</f>
        <v/>
      </c>
      <c r="G237" s="182">
        <f>IFERROR(G185/G167,0)</f>
        <v/>
      </c>
      <c r="H237" s="182">
        <f>IFERROR(H185/H167,0)</f>
        <v/>
      </c>
      <c r="I237" s="182">
        <f>IFERROR(I185/I167,0)</f>
        <v/>
      </c>
      <c r="J237" s="182">
        <f>IFERROR(J185/J167,0)</f>
        <v/>
      </c>
      <c r="K237" s="182">
        <f>IFERROR(K185/K167,0)</f>
        <v/>
      </c>
      <c r="L237" s="182">
        <f>IFERROR(L185/L167,0)</f>
        <v/>
      </c>
      <c r="M237" s="182">
        <f>IFERROR(M185/M167,0)</f>
        <v/>
      </c>
      <c r="N237" s="182">
        <f>IFERROR(N185/N167,0)</f>
        <v/>
      </c>
      <c r="O237" s="182">
        <f>IFERROR(O185/O167,0)</f>
        <v/>
      </c>
      <c r="P237" s="182">
        <f>IFERROR(P185/P167,0)</f>
        <v/>
      </c>
      <c r="Q237" s="182">
        <f>IFERROR(Q185/Q167,0)</f>
        <v/>
      </c>
      <c r="R237" s="182">
        <f>IFERROR(R185/R167,0)</f>
        <v/>
      </c>
      <c r="S237" s="182">
        <f>IFERROR(S185/S167,0)</f>
        <v/>
      </c>
      <c r="T237" s="182">
        <f>IFERROR(T185/T167,0)</f>
        <v/>
      </c>
      <c r="U237" s="182">
        <f>IFERROR(U185/U167,0)</f>
        <v/>
      </c>
      <c r="V237" s="182">
        <f>IFERROR(V185/V167,0)</f>
        <v/>
      </c>
      <c r="W237" s="182">
        <f>IFERROR(W185/W167,0)</f>
        <v/>
      </c>
      <c r="X237" s="182">
        <f>IFERROR(X185/X167,0)</f>
        <v/>
      </c>
      <c r="Y237" s="182">
        <f>IFERROR(Y185/Y167,0)</f>
        <v/>
      </c>
      <c r="Z237" s="182">
        <f>IFERROR(Z185/Z167,0)</f>
        <v/>
      </c>
      <c r="AA237" s="182">
        <f>IFERROR(AA185/AA167,0)</f>
        <v/>
      </c>
      <c r="AB237" s="182">
        <f>IFERROR(AB185/AB167,0)</f>
        <v/>
      </c>
      <c r="AC237" s="182">
        <f>IFERROR(AC185/AC167,0)</f>
        <v/>
      </c>
      <c r="AD237" s="182">
        <f>IFERROR(AD185/AD167,0)</f>
        <v/>
      </c>
      <c r="AE237" s="182">
        <f>IFERROR(AE185/AE167,0)</f>
        <v/>
      </c>
      <c r="AF237" s="182">
        <f>IFERROR(AF185/AF167,0)</f>
        <v/>
      </c>
      <c r="AG237" s="182">
        <f>IFERROR(AG185/AG167,0)</f>
        <v/>
      </c>
      <c r="AH237" s="182">
        <f>IFERROR(AH185/AH167,0)</f>
        <v/>
      </c>
      <c r="AI237" s="182">
        <f>IFERROR(AI185/AI167,0)</f>
        <v/>
      </c>
      <c r="AJ237" s="182">
        <f>IFERROR(AJ185/AJ167,0)</f>
        <v/>
      </c>
      <c r="AK237" s="182">
        <f>IFERROR(AK185/AK167,0)</f>
        <v/>
      </c>
      <c r="AL237" s="182">
        <f>IFERROR(AL185/AL167,0)</f>
        <v/>
      </c>
      <c r="AM237" s="182">
        <f>IFERROR(AM185/AM167,0)</f>
        <v/>
      </c>
      <c r="AN237" s="182">
        <f>IFERROR(AN185/AN167,0)</f>
        <v/>
      </c>
      <c r="AO237" s="182">
        <f>IFERROR(AO185/AO167,0)</f>
        <v/>
      </c>
      <c r="AP237" s="182">
        <f>IFERROR(AP185/AP167,0)</f>
        <v/>
      </c>
      <c r="AQ237" s="182">
        <f>IFERROR(AQ185/AQ167,0)</f>
        <v/>
      </c>
      <c r="AR237" s="182">
        <f>IFERROR(AR185/AR167,0)</f>
        <v/>
      </c>
      <c r="AS237" s="182">
        <f>IFERROR(AS185/AS167,0)</f>
        <v/>
      </c>
      <c r="AT237" s="182">
        <f>IFERROR(AT185/AT167,0)</f>
        <v/>
      </c>
      <c r="AU237" s="182">
        <f>IFERROR(AU185/AU167,0)</f>
        <v/>
      </c>
      <c r="AV237" s="182">
        <f>IFERROR(AV185/AV167,0)</f>
        <v/>
      </c>
      <c r="AW237" s="182">
        <f>IFERROR(AW185/AW167,0)</f>
        <v/>
      </c>
      <c r="AX237" s="182">
        <f>IFERROR(AX185/AX167,0)</f>
        <v/>
      </c>
      <c r="AY237" s="182">
        <f>IFERROR(AY185/AY167,0)</f>
        <v/>
      </c>
    </row>
    <row r="238" ht="17.25" customFormat="1" customHeight="1" s="85" thickBot="1" thickTop="1">
      <c r="A238" s="96" t="n"/>
      <c r="B238" s="83">
        <f>B168</f>
        <v/>
      </c>
      <c r="C238" s="335" t="inlineStr">
        <is>
          <t>Leases Receivable</t>
        </is>
      </c>
      <c r="D238" s="182">
        <f>IFERROR(D186/D168,0)</f>
        <v/>
      </c>
      <c r="E238" s="182">
        <f>IFERROR(E186/E168,0)</f>
        <v/>
      </c>
      <c r="F238" s="182">
        <f>IFERROR(F186/F168,0)</f>
        <v/>
      </c>
      <c r="G238" s="182">
        <f>IFERROR(G186/G168,0)</f>
        <v/>
      </c>
      <c r="H238" s="182">
        <f>IFERROR(H186/H168,0)</f>
        <v/>
      </c>
      <c r="I238" s="182">
        <f>IFERROR(I186/I168,0)</f>
        <v/>
      </c>
      <c r="J238" s="182">
        <f>IFERROR(J186/J168,0)</f>
        <v/>
      </c>
      <c r="K238" s="182">
        <f>IFERROR(K186/K168,0)</f>
        <v/>
      </c>
      <c r="L238" s="182">
        <f>IFERROR(L186/L168,0)</f>
        <v/>
      </c>
      <c r="M238" s="182">
        <f>IFERROR(M186/M168,0)</f>
        <v/>
      </c>
      <c r="N238" s="182">
        <f>IFERROR(N186/N168,0)</f>
        <v/>
      </c>
      <c r="O238" s="182">
        <f>IFERROR(O186/O168,0)</f>
        <v/>
      </c>
      <c r="P238" s="182">
        <f>IFERROR(P186/P168,0)</f>
        <v/>
      </c>
      <c r="Q238" s="182">
        <f>IFERROR(Q186/Q168,0)</f>
        <v/>
      </c>
      <c r="R238" s="182">
        <f>IFERROR(R186/R168,0)</f>
        <v/>
      </c>
      <c r="S238" s="182">
        <f>IFERROR(S186/S168,0)</f>
        <v/>
      </c>
      <c r="T238" s="182">
        <f>IFERROR(T186/T168,0)</f>
        <v/>
      </c>
      <c r="U238" s="182">
        <f>IFERROR(U186/U168,0)</f>
        <v/>
      </c>
      <c r="V238" s="182">
        <f>IFERROR(V186/V168,0)</f>
        <v/>
      </c>
      <c r="W238" s="182">
        <f>IFERROR(W186/W168,0)</f>
        <v/>
      </c>
      <c r="X238" s="182">
        <f>IFERROR(X186/X168,0)</f>
        <v/>
      </c>
      <c r="Y238" s="182">
        <f>IFERROR(Y186/Y168,0)</f>
        <v/>
      </c>
      <c r="Z238" s="182">
        <f>IFERROR(Z186/Z168,0)</f>
        <v/>
      </c>
      <c r="AA238" s="182">
        <f>IFERROR(AA186/AA168,0)</f>
        <v/>
      </c>
      <c r="AB238" s="182">
        <f>IFERROR(AB186/AB168,0)</f>
        <v/>
      </c>
      <c r="AC238" s="182">
        <f>IFERROR(AC186/AC168,0)</f>
        <v/>
      </c>
      <c r="AD238" s="182">
        <f>IFERROR(AD186/AD168,0)</f>
        <v/>
      </c>
      <c r="AE238" s="182">
        <f>IFERROR(AE186/AE168,0)</f>
        <v/>
      </c>
      <c r="AF238" s="182">
        <f>IFERROR(AF186/AF168,0)</f>
        <v/>
      </c>
      <c r="AG238" s="182">
        <f>IFERROR(AG186/AG168,0)</f>
        <v/>
      </c>
      <c r="AH238" s="182">
        <f>IFERROR(AH186/AH168,0)</f>
        <v/>
      </c>
      <c r="AI238" s="182">
        <f>IFERROR(AI186/AI168,0)</f>
        <v/>
      </c>
      <c r="AJ238" s="182">
        <f>IFERROR(AJ186/AJ168,0)</f>
        <v/>
      </c>
      <c r="AK238" s="182">
        <f>IFERROR(AK186/AK168,0)</f>
        <v/>
      </c>
      <c r="AL238" s="182">
        <f>IFERROR(AL186/AL168,0)</f>
        <v/>
      </c>
      <c r="AM238" s="182">
        <f>IFERROR(AM186/AM168,0)</f>
        <v/>
      </c>
      <c r="AN238" s="182">
        <f>IFERROR(AN186/AN168,0)</f>
        <v/>
      </c>
      <c r="AO238" s="182">
        <f>IFERROR(AO186/AO168,0)</f>
        <v/>
      </c>
      <c r="AP238" s="182">
        <f>IFERROR(AP186/AP168,0)</f>
        <v/>
      </c>
      <c r="AQ238" s="182">
        <f>IFERROR(AQ186/AQ168,0)</f>
        <v/>
      </c>
      <c r="AR238" s="182">
        <f>IFERROR(AR186/AR168,0)</f>
        <v/>
      </c>
      <c r="AS238" s="182">
        <f>IFERROR(AS186/AS168,0)</f>
        <v/>
      </c>
      <c r="AT238" s="182">
        <f>IFERROR(AT186/AT168,0)</f>
        <v/>
      </c>
      <c r="AU238" s="182">
        <f>IFERROR(AU186/AU168,0)</f>
        <v/>
      </c>
      <c r="AV238" s="182">
        <f>IFERROR(AV186/AV168,0)</f>
        <v/>
      </c>
      <c r="AW238" s="182">
        <f>IFERROR(AW186/AW168,0)</f>
        <v/>
      </c>
      <c r="AX238" s="182">
        <f>IFERROR(AX186/AX168,0)</f>
        <v/>
      </c>
      <c r="AY238" s="182">
        <f>IFERROR(AY186/AY168,0)</f>
        <v/>
      </c>
    </row>
    <row r="239" ht="17.25" customFormat="1" customHeight="1" s="85" thickBot="1" thickTop="1">
      <c r="A239" s="96" t="n"/>
      <c r="B239" s="83">
        <f>B169</f>
        <v/>
      </c>
      <c r="C239" s="335" t="inlineStr">
        <is>
          <t>All Other Secured Non-Real Estate Loans/Lines of Credit</t>
        </is>
      </c>
      <c r="D239" s="182">
        <f>IFERROR(D187/D169,0)</f>
        <v/>
      </c>
      <c r="E239" s="182">
        <f>IFERROR(E187/E169,0)</f>
        <v/>
      </c>
      <c r="F239" s="182">
        <f>IFERROR(F187/F169,0)</f>
        <v/>
      </c>
      <c r="G239" s="182">
        <f>IFERROR(G187/G169,0)</f>
        <v/>
      </c>
      <c r="H239" s="182">
        <f>IFERROR(H187/H169,0)</f>
        <v/>
      </c>
      <c r="I239" s="182">
        <f>IFERROR(I187/I169,0)</f>
        <v/>
      </c>
      <c r="J239" s="182">
        <f>IFERROR(J187/J169,0)</f>
        <v/>
      </c>
      <c r="K239" s="182">
        <f>IFERROR(K187/K169,0)</f>
        <v/>
      </c>
      <c r="L239" s="182">
        <f>IFERROR(L187/L169,0)</f>
        <v/>
      </c>
      <c r="M239" s="182">
        <f>IFERROR(M187/M169,0)</f>
        <v/>
      </c>
      <c r="N239" s="182">
        <f>IFERROR(N187/N169,0)</f>
        <v/>
      </c>
      <c r="O239" s="182">
        <f>IFERROR(O187/O169,0)</f>
        <v/>
      </c>
      <c r="P239" s="182">
        <f>IFERROR(P187/P169,0)</f>
        <v/>
      </c>
      <c r="Q239" s="182">
        <f>IFERROR(Q187/Q169,0)</f>
        <v/>
      </c>
      <c r="R239" s="182">
        <f>IFERROR(R187/R169,0)</f>
        <v/>
      </c>
      <c r="S239" s="182">
        <f>IFERROR(S187/S169,0)</f>
        <v/>
      </c>
      <c r="T239" s="182">
        <f>IFERROR(T187/T169,0)</f>
        <v/>
      </c>
      <c r="U239" s="182">
        <f>IFERROR(U187/U169,0)</f>
        <v/>
      </c>
      <c r="V239" s="182">
        <f>IFERROR(V187/V169,0)</f>
        <v/>
      </c>
      <c r="W239" s="182">
        <f>IFERROR(W187/W169,0)</f>
        <v/>
      </c>
      <c r="X239" s="182">
        <f>IFERROR(X187/X169,0)</f>
        <v/>
      </c>
      <c r="Y239" s="182">
        <f>IFERROR(Y187/Y169,0)</f>
        <v/>
      </c>
      <c r="Z239" s="182">
        <f>IFERROR(Z187/Z169,0)</f>
        <v/>
      </c>
      <c r="AA239" s="182">
        <f>IFERROR(AA187/AA169,0)</f>
        <v/>
      </c>
      <c r="AB239" s="182">
        <f>IFERROR(AB187/AB169,0)</f>
        <v/>
      </c>
      <c r="AC239" s="182">
        <f>IFERROR(AC187/AC169,0)</f>
        <v/>
      </c>
      <c r="AD239" s="182">
        <f>IFERROR(AD187/AD169,0)</f>
        <v/>
      </c>
      <c r="AE239" s="182">
        <f>IFERROR(AE187/AE169,0)</f>
        <v/>
      </c>
      <c r="AF239" s="182">
        <f>IFERROR(AF187/AF169,0)</f>
        <v/>
      </c>
      <c r="AG239" s="182">
        <f>IFERROR(AG187/AG169,0)</f>
        <v/>
      </c>
      <c r="AH239" s="182">
        <f>IFERROR(AH187/AH169,0)</f>
        <v/>
      </c>
      <c r="AI239" s="182">
        <f>IFERROR(AI187/AI169,0)</f>
        <v/>
      </c>
      <c r="AJ239" s="182">
        <f>IFERROR(AJ187/AJ169,0)</f>
        <v/>
      </c>
      <c r="AK239" s="182">
        <f>IFERROR(AK187/AK169,0)</f>
        <v/>
      </c>
      <c r="AL239" s="182">
        <f>IFERROR(AL187/AL169,0)</f>
        <v/>
      </c>
      <c r="AM239" s="182">
        <f>IFERROR(AM187/AM169,0)</f>
        <v/>
      </c>
      <c r="AN239" s="182">
        <f>IFERROR(AN187/AN169,0)</f>
        <v/>
      </c>
      <c r="AO239" s="182">
        <f>IFERROR(AO187/AO169,0)</f>
        <v/>
      </c>
      <c r="AP239" s="182">
        <f>IFERROR(AP187/AP169,0)</f>
        <v/>
      </c>
      <c r="AQ239" s="182">
        <f>IFERROR(AQ187/AQ169,0)</f>
        <v/>
      </c>
      <c r="AR239" s="182">
        <f>IFERROR(AR187/AR169,0)</f>
        <v/>
      </c>
      <c r="AS239" s="182">
        <f>IFERROR(AS187/AS169,0)</f>
        <v/>
      </c>
      <c r="AT239" s="182">
        <f>IFERROR(AT187/AT169,0)</f>
        <v/>
      </c>
      <c r="AU239" s="182">
        <f>IFERROR(AU187/AU169,0)</f>
        <v/>
      </c>
      <c r="AV239" s="182">
        <f>IFERROR(AV187/AV169,0)</f>
        <v/>
      </c>
      <c r="AW239" s="182">
        <f>IFERROR(AW187/AW169,0)</f>
        <v/>
      </c>
      <c r="AX239" s="182">
        <f>IFERROR(AX187/AX169,0)</f>
        <v/>
      </c>
      <c r="AY239" s="182">
        <f>IFERROR(AY187/AY169,0)</f>
        <v/>
      </c>
    </row>
    <row r="240" ht="17.25" customFormat="1" customHeight="1" s="85" thickBot="1" thickTop="1">
      <c r="A240" s="96" t="n"/>
      <c r="B240" s="83">
        <f>B170</f>
        <v/>
      </c>
      <c r="C240" s="335" t="inlineStr">
        <is>
          <t>Loans/Lines of Credit Secured by a First Lien on a single 1- to 4-Family Residential Property</t>
        </is>
      </c>
      <c r="D240" s="182">
        <f>IFERROR(D188/D170,0)</f>
        <v/>
      </c>
      <c r="E240" s="182">
        <f>IFERROR(E188/E170,0)</f>
        <v/>
      </c>
      <c r="F240" s="182">
        <f>IFERROR(F188/F170,0)</f>
        <v/>
      </c>
      <c r="G240" s="182">
        <f>IFERROR(G188/G170,0)</f>
        <v/>
      </c>
      <c r="H240" s="182">
        <f>IFERROR(H188/H170,0)</f>
        <v/>
      </c>
      <c r="I240" s="182">
        <f>IFERROR(I188/I170,0)</f>
        <v/>
      </c>
      <c r="J240" s="182">
        <f>IFERROR(J188/J170,0)</f>
        <v/>
      </c>
      <c r="K240" s="182">
        <f>IFERROR(K188/K170,0)</f>
        <v/>
      </c>
      <c r="L240" s="182">
        <f>IFERROR(L188/L170,0)</f>
        <v/>
      </c>
      <c r="M240" s="182">
        <f>IFERROR(M188/M170,0)</f>
        <v/>
      </c>
      <c r="N240" s="182">
        <f>IFERROR(N188/N170,0)</f>
        <v/>
      </c>
      <c r="O240" s="182">
        <f>IFERROR(O188/O170,0)</f>
        <v/>
      </c>
      <c r="P240" s="182">
        <f>IFERROR(P188/P170,0)</f>
        <v/>
      </c>
      <c r="Q240" s="182">
        <f>IFERROR(Q188/Q170,0)</f>
        <v/>
      </c>
      <c r="R240" s="182">
        <f>IFERROR(R188/R170,0)</f>
        <v/>
      </c>
      <c r="S240" s="182">
        <f>IFERROR(S188/S170,0)</f>
        <v/>
      </c>
      <c r="T240" s="182">
        <f>IFERROR(T188/T170,0)</f>
        <v/>
      </c>
      <c r="U240" s="182">
        <f>IFERROR(U188/U170,0)</f>
        <v/>
      </c>
      <c r="V240" s="182">
        <f>IFERROR(V188/V170,0)</f>
        <v/>
      </c>
      <c r="W240" s="182">
        <f>IFERROR(W188/W170,0)</f>
        <v/>
      </c>
      <c r="X240" s="182">
        <f>IFERROR(X188/X170,0)</f>
        <v/>
      </c>
      <c r="Y240" s="182">
        <f>IFERROR(Y188/Y170,0)</f>
        <v/>
      </c>
      <c r="Z240" s="182">
        <f>IFERROR(Z188/Z170,0)</f>
        <v/>
      </c>
      <c r="AA240" s="182">
        <f>IFERROR(AA188/AA170,0)</f>
        <v/>
      </c>
      <c r="AB240" s="182">
        <f>IFERROR(AB188/AB170,0)</f>
        <v/>
      </c>
      <c r="AC240" s="182">
        <f>IFERROR(AC188/AC170,0)</f>
        <v/>
      </c>
      <c r="AD240" s="182">
        <f>IFERROR(AD188/AD170,0)</f>
        <v/>
      </c>
      <c r="AE240" s="182">
        <f>IFERROR(AE188/AE170,0)</f>
        <v/>
      </c>
      <c r="AF240" s="182">
        <f>IFERROR(AF188/AF170,0)</f>
        <v/>
      </c>
      <c r="AG240" s="182">
        <f>IFERROR(AG188/AG170,0)</f>
        <v/>
      </c>
      <c r="AH240" s="182">
        <f>IFERROR(AH188/AH170,0)</f>
        <v/>
      </c>
      <c r="AI240" s="182">
        <f>IFERROR(AI188/AI170,0)</f>
        <v/>
      </c>
      <c r="AJ240" s="182">
        <f>IFERROR(AJ188/AJ170,0)</f>
        <v/>
      </c>
      <c r="AK240" s="182">
        <f>IFERROR(AK188/AK170,0)</f>
        <v/>
      </c>
      <c r="AL240" s="182">
        <f>IFERROR(AL188/AL170,0)</f>
        <v/>
      </c>
      <c r="AM240" s="182">
        <f>IFERROR(AM188/AM170,0)</f>
        <v/>
      </c>
      <c r="AN240" s="182">
        <f>IFERROR(AN188/AN170,0)</f>
        <v/>
      </c>
      <c r="AO240" s="182">
        <f>IFERROR(AO188/AO170,0)</f>
        <v/>
      </c>
      <c r="AP240" s="182">
        <f>IFERROR(AP188/AP170,0)</f>
        <v/>
      </c>
      <c r="AQ240" s="182">
        <f>IFERROR(AQ188/AQ170,0)</f>
        <v/>
      </c>
      <c r="AR240" s="182">
        <f>IFERROR(AR188/AR170,0)</f>
        <v/>
      </c>
      <c r="AS240" s="182">
        <f>IFERROR(AS188/AS170,0)</f>
        <v/>
      </c>
      <c r="AT240" s="182">
        <f>IFERROR(AT188/AT170,0)</f>
        <v/>
      </c>
      <c r="AU240" s="182">
        <f>IFERROR(AU188/AU170,0)</f>
        <v/>
      </c>
      <c r="AV240" s="182">
        <f>IFERROR(AV188/AV170,0)</f>
        <v/>
      </c>
      <c r="AW240" s="182">
        <f>IFERROR(AW188/AW170,0)</f>
        <v/>
      </c>
      <c r="AX240" s="182">
        <f>IFERROR(AX188/AX170,0)</f>
        <v/>
      </c>
      <c r="AY240" s="182">
        <f>IFERROR(AY188/AY170,0)</f>
        <v/>
      </c>
    </row>
    <row r="241" ht="17.25" customFormat="1" customHeight="1" s="85" thickBot="1" thickTop="1">
      <c r="A241" s="96" t="n"/>
      <c r="B241" s="83">
        <f>B171</f>
        <v/>
      </c>
      <c r="C241" s="335" t="inlineStr">
        <is>
          <t>Loans/Lines of Credit Secured by a Junior Lien on a single 1- to 4-Family Residential Property</t>
        </is>
      </c>
      <c r="D241" s="182">
        <f>IFERROR(D189/D171,0)</f>
        <v/>
      </c>
      <c r="E241" s="182">
        <f>IFERROR(E189/E171,0)</f>
        <v/>
      </c>
      <c r="F241" s="182">
        <f>IFERROR(F189/F171,0)</f>
        <v/>
      </c>
      <c r="G241" s="182">
        <f>IFERROR(G189/G171,0)</f>
        <v/>
      </c>
      <c r="H241" s="182">
        <f>IFERROR(H189/H171,0)</f>
        <v/>
      </c>
      <c r="I241" s="182">
        <f>IFERROR(I189/I171,0)</f>
        <v/>
      </c>
      <c r="J241" s="182">
        <f>IFERROR(J189/J171,0)</f>
        <v/>
      </c>
      <c r="K241" s="182">
        <f>IFERROR(K189/K171,0)</f>
        <v/>
      </c>
      <c r="L241" s="182">
        <f>IFERROR(L189/L171,0)</f>
        <v/>
      </c>
      <c r="M241" s="182">
        <f>IFERROR(M189/M171,0)</f>
        <v/>
      </c>
      <c r="N241" s="182">
        <f>IFERROR(N189/N171,0)</f>
        <v/>
      </c>
      <c r="O241" s="182">
        <f>IFERROR(O189/O171,0)</f>
        <v/>
      </c>
      <c r="P241" s="182">
        <f>IFERROR(P189/P171,0)</f>
        <v/>
      </c>
      <c r="Q241" s="182">
        <f>IFERROR(Q189/Q171,0)</f>
        <v/>
      </c>
      <c r="R241" s="182">
        <f>IFERROR(R189/R171,0)</f>
        <v/>
      </c>
      <c r="S241" s="182">
        <f>IFERROR(S189/S171,0)</f>
        <v/>
      </c>
      <c r="T241" s="182">
        <f>IFERROR(T189/T171,0)</f>
        <v/>
      </c>
      <c r="U241" s="182">
        <f>IFERROR(U189/U171,0)</f>
        <v/>
      </c>
      <c r="V241" s="182">
        <f>IFERROR(V189/V171,0)</f>
        <v/>
      </c>
      <c r="W241" s="182">
        <f>IFERROR(W189/W171,0)</f>
        <v/>
      </c>
      <c r="X241" s="182">
        <f>IFERROR(X189/X171,0)</f>
        <v/>
      </c>
      <c r="Y241" s="182">
        <f>IFERROR(Y189/Y171,0)</f>
        <v/>
      </c>
      <c r="Z241" s="182">
        <f>IFERROR(Z189/Z171,0)</f>
        <v/>
      </c>
      <c r="AA241" s="182">
        <f>IFERROR(AA189/AA171,0)</f>
        <v/>
      </c>
      <c r="AB241" s="182">
        <f>IFERROR(AB189/AB171,0)</f>
        <v/>
      </c>
      <c r="AC241" s="182">
        <f>IFERROR(AC189/AC171,0)</f>
        <v/>
      </c>
      <c r="AD241" s="182">
        <f>IFERROR(AD189/AD171,0)</f>
        <v/>
      </c>
      <c r="AE241" s="182">
        <f>IFERROR(AE189/AE171,0)</f>
        <v/>
      </c>
      <c r="AF241" s="182">
        <f>IFERROR(AF189/AF171,0)</f>
        <v/>
      </c>
      <c r="AG241" s="182">
        <f>IFERROR(AG189/AG171,0)</f>
        <v/>
      </c>
      <c r="AH241" s="182">
        <f>IFERROR(AH189/AH171,0)</f>
        <v/>
      </c>
      <c r="AI241" s="182">
        <f>IFERROR(AI189/AI171,0)</f>
        <v/>
      </c>
      <c r="AJ241" s="182">
        <f>IFERROR(AJ189/AJ171,0)</f>
        <v/>
      </c>
      <c r="AK241" s="182">
        <f>IFERROR(AK189/AK171,0)</f>
        <v/>
      </c>
      <c r="AL241" s="182">
        <f>IFERROR(AL189/AL171,0)</f>
        <v/>
      </c>
      <c r="AM241" s="182">
        <f>IFERROR(AM189/AM171,0)</f>
        <v/>
      </c>
      <c r="AN241" s="182">
        <f>IFERROR(AN189/AN171,0)</f>
        <v/>
      </c>
      <c r="AO241" s="182">
        <f>IFERROR(AO189/AO171,0)</f>
        <v/>
      </c>
      <c r="AP241" s="182">
        <f>IFERROR(AP189/AP171,0)</f>
        <v/>
      </c>
      <c r="AQ241" s="182">
        <f>IFERROR(AQ189/AQ171,0)</f>
        <v/>
      </c>
      <c r="AR241" s="182">
        <f>IFERROR(AR189/AR171,0)</f>
        <v/>
      </c>
      <c r="AS241" s="182">
        <f>IFERROR(AS189/AS171,0)</f>
        <v/>
      </c>
      <c r="AT241" s="182">
        <f>IFERROR(AT189/AT171,0)</f>
        <v/>
      </c>
      <c r="AU241" s="182">
        <f>IFERROR(AU189/AU171,0)</f>
        <v/>
      </c>
      <c r="AV241" s="182">
        <f>IFERROR(AV189/AV171,0)</f>
        <v/>
      </c>
      <c r="AW241" s="182">
        <f>IFERROR(AW189/AW171,0)</f>
        <v/>
      </c>
      <c r="AX241" s="182">
        <f>IFERROR(AX189/AX171,0)</f>
        <v/>
      </c>
      <c r="AY241" s="182">
        <f>IFERROR(AY189/AY171,0)</f>
        <v/>
      </c>
    </row>
    <row r="242" ht="17.25" customFormat="1" customHeight="1" s="85" thickBot="1" thickTop="1">
      <c r="A242" s="96" t="n"/>
      <c r="B242" s="83">
        <f>B172</f>
        <v/>
      </c>
      <c r="C242" s="335" t="inlineStr">
        <is>
          <t>All Other (Non-Commercial) Real Estate Loans/Lines of Credit</t>
        </is>
      </c>
      <c r="D242" s="324">
        <f>IFERROR(D190/D172,0)</f>
        <v/>
      </c>
      <c r="E242" s="182">
        <f>IFERROR(E190/E172,0)</f>
        <v/>
      </c>
      <c r="F242" s="182">
        <f>IFERROR(F190/F172,0)</f>
        <v/>
      </c>
      <c r="G242" s="182">
        <f>IFERROR(G190/G172,0)</f>
        <v/>
      </c>
      <c r="H242" s="182">
        <f>IFERROR(H190/H172,0)</f>
        <v/>
      </c>
      <c r="I242" s="182">
        <f>IFERROR(I190/I172,0)</f>
        <v/>
      </c>
      <c r="J242" s="182">
        <f>IFERROR(J190/J172,0)</f>
        <v/>
      </c>
      <c r="K242" s="182">
        <f>IFERROR(K190/K172,0)</f>
        <v/>
      </c>
      <c r="L242" s="182">
        <f>IFERROR(L190/L172,0)</f>
        <v/>
      </c>
      <c r="M242" s="182">
        <f>IFERROR(M190/M172,0)</f>
        <v/>
      </c>
      <c r="N242" s="182">
        <f>IFERROR(N190/N172,0)</f>
        <v/>
      </c>
      <c r="O242" s="182">
        <f>IFERROR(O190/O172,0)</f>
        <v/>
      </c>
      <c r="P242" s="182">
        <f>IFERROR(P190/P172,0)</f>
        <v/>
      </c>
      <c r="Q242" s="182">
        <f>IFERROR(Q190/Q172,0)</f>
        <v/>
      </c>
      <c r="R242" s="182">
        <f>IFERROR(R190/R172,0)</f>
        <v/>
      </c>
      <c r="S242" s="182">
        <f>IFERROR(S190/S172,0)</f>
        <v/>
      </c>
      <c r="T242" s="182">
        <f>IFERROR(T190/T172,0)</f>
        <v/>
      </c>
      <c r="U242" s="182">
        <f>IFERROR(U190/U172,0)</f>
        <v/>
      </c>
      <c r="V242" s="182">
        <f>IFERROR(V190/V172,0)</f>
        <v/>
      </c>
      <c r="W242" s="182">
        <f>IFERROR(W190/W172,0)</f>
        <v/>
      </c>
      <c r="X242" s="182">
        <f>IFERROR(X190/X172,0)</f>
        <v/>
      </c>
      <c r="Y242" s="182">
        <f>IFERROR(Y190/Y172,0)</f>
        <v/>
      </c>
      <c r="Z242" s="182">
        <f>IFERROR(Z190/Z172,0)</f>
        <v/>
      </c>
      <c r="AA242" s="182">
        <f>IFERROR(AA190/AA172,0)</f>
        <v/>
      </c>
      <c r="AB242" s="182">
        <f>IFERROR(AB190/AB172,0)</f>
        <v/>
      </c>
      <c r="AC242" s="182">
        <f>IFERROR(AC190/AC172,0)</f>
        <v/>
      </c>
      <c r="AD242" s="182">
        <f>IFERROR(AD190/AD172,0)</f>
        <v/>
      </c>
      <c r="AE242" s="182">
        <f>IFERROR(AE190/AE172,0)</f>
        <v/>
      </c>
      <c r="AF242" s="182">
        <f>IFERROR(AF190/AF172,0)</f>
        <v/>
      </c>
      <c r="AG242" s="182">
        <f>IFERROR(AG190/AG172,0)</f>
        <v/>
      </c>
      <c r="AH242" s="182">
        <f>IFERROR(AH190/AH172,0)</f>
        <v/>
      </c>
      <c r="AI242" s="182">
        <f>IFERROR(AI190/AI172,0)</f>
        <v/>
      </c>
      <c r="AJ242" s="182">
        <f>IFERROR(AJ190/AJ172,0)</f>
        <v/>
      </c>
      <c r="AK242" s="182">
        <f>IFERROR(AK190/AK172,0)</f>
        <v/>
      </c>
      <c r="AL242" s="182">
        <f>IFERROR(AL190/AL172,0)</f>
        <v/>
      </c>
      <c r="AM242" s="182">
        <f>IFERROR(AM190/AM172,0)</f>
        <v/>
      </c>
      <c r="AN242" s="182">
        <f>IFERROR(AN190/AN172,0)</f>
        <v/>
      </c>
      <c r="AO242" s="182">
        <f>IFERROR(AO190/AO172,0)</f>
        <v/>
      </c>
      <c r="AP242" s="182">
        <f>IFERROR(AP190/AP172,0)</f>
        <v/>
      </c>
      <c r="AQ242" s="182">
        <f>IFERROR(AQ190/AQ172,0)</f>
        <v/>
      </c>
      <c r="AR242" s="182">
        <f>IFERROR(AR190/AR172,0)</f>
        <v/>
      </c>
      <c r="AS242" s="182">
        <f>IFERROR(AS190/AS172,0)</f>
        <v/>
      </c>
      <c r="AT242" s="182">
        <f>IFERROR(AT190/AT172,0)</f>
        <v/>
      </c>
      <c r="AU242" s="182">
        <f>IFERROR(AU190/AU172,0)</f>
        <v/>
      </c>
      <c r="AV242" s="182">
        <f>IFERROR(AV190/AV172,0)</f>
        <v/>
      </c>
      <c r="AW242" s="182">
        <f>IFERROR(AW190/AW172,0)</f>
        <v/>
      </c>
      <c r="AX242" s="182">
        <f>IFERROR(AX190/AX172,0)</f>
        <v/>
      </c>
      <c r="AY242" s="182">
        <f>IFERROR(AY190/AY172,0)</f>
        <v/>
      </c>
    </row>
    <row r="243" ht="17.25" customFormat="1" customHeight="1" s="85" thickBot="1" thickTop="1">
      <c r="A243" s="96" t="n"/>
      <c r="B243" s="83">
        <f>B173</f>
        <v/>
      </c>
      <c r="C243" s="335" t="inlineStr">
        <is>
          <t>Commercial Loans/Lines of Credit Real Estate Secured</t>
        </is>
      </c>
      <c r="D243" s="324">
        <f>IFERROR(D191/D173,0)</f>
        <v/>
      </c>
      <c r="E243" s="182">
        <f>IFERROR(E191/E173,0)</f>
        <v/>
      </c>
      <c r="F243" s="182">
        <f>IFERROR(F191/F173,0)</f>
        <v/>
      </c>
      <c r="G243" s="182">
        <f>IFERROR(G191/G173,0)</f>
        <v/>
      </c>
      <c r="H243" s="182">
        <f>IFERROR(H191/H173,0)</f>
        <v/>
      </c>
      <c r="I243" s="182">
        <f>IFERROR(I191/I173,0)</f>
        <v/>
      </c>
      <c r="J243" s="182">
        <f>IFERROR(J191/J173,0)</f>
        <v/>
      </c>
      <c r="K243" s="182">
        <f>IFERROR(K191/K173,0)</f>
        <v/>
      </c>
      <c r="L243" s="182">
        <f>IFERROR(L191/L173,0)</f>
        <v/>
      </c>
      <c r="M243" s="182">
        <f>IFERROR(M191/M173,0)</f>
        <v/>
      </c>
      <c r="N243" s="182">
        <f>IFERROR(N191/N173,0)</f>
        <v/>
      </c>
      <c r="O243" s="182">
        <f>IFERROR(O191/O173,0)</f>
        <v/>
      </c>
      <c r="P243" s="182">
        <f>IFERROR(P191/P173,0)</f>
        <v/>
      </c>
      <c r="Q243" s="182">
        <f>IFERROR(Q191/Q173,0)</f>
        <v/>
      </c>
      <c r="R243" s="182">
        <f>IFERROR(R191/R173,0)</f>
        <v/>
      </c>
      <c r="S243" s="182">
        <f>IFERROR(S191/S173,0)</f>
        <v/>
      </c>
      <c r="T243" s="182">
        <f>IFERROR(T191/T173,0)</f>
        <v/>
      </c>
      <c r="U243" s="182">
        <f>IFERROR(U191/U173,0)</f>
        <v/>
      </c>
      <c r="V243" s="182">
        <f>IFERROR(V191/V173,0)</f>
        <v/>
      </c>
      <c r="W243" s="182">
        <f>IFERROR(W191/W173,0)</f>
        <v/>
      </c>
      <c r="X243" s="182">
        <f>IFERROR(X191/X173,0)</f>
        <v/>
      </c>
      <c r="Y243" s="182">
        <f>IFERROR(Y191/Y173,0)</f>
        <v/>
      </c>
      <c r="Z243" s="182">
        <f>IFERROR(Z191/Z173,0)</f>
        <v/>
      </c>
      <c r="AA243" s="182">
        <f>IFERROR(AA191/AA173,0)</f>
        <v/>
      </c>
      <c r="AB243" s="182">
        <f>IFERROR(AB191/AB173,0)</f>
        <v/>
      </c>
      <c r="AC243" s="182">
        <f>IFERROR(AC191/AC173,0)</f>
        <v/>
      </c>
      <c r="AD243" s="182">
        <f>IFERROR(AD191/AD173,0)</f>
        <v/>
      </c>
      <c r="AE243" s="182">
        <f>IFERROR(AE191/AE173,0)</f>
        <v/>
      </c>
      <c r="AF243" s="182">
        <f>IFERROR(AF191/AF173,0)</f>
        <v/>
      </c>
      <c r="AG243" s="182">
        <f>IFERROR(AG191/AG173,0)</f>
        <v/>
      </c>
      <c r="AH243" s="182">
        <f>IFERROR(AH191/AH173,0)</f>
        <v/>
      </c>
      <c r="AI243" s="182">
        <f>IFERROR(AI191/AI173,0)</f>
        <v/>
      </c>
      <c r="AJ243" s="182">
        <f>IFERROR(AJ191/AJ173,0)</f>
        <v/>
      </c>
      <c r="AK243" s="182">
        <f>IFERROR(AK191/AK173,0)</f>
        <v/>
      </c>
      <c r="AL243" s="182">
        <f>IFERROR(AL191/AL173,0)</f>
        <v/>
      </c>
      <c r="AM243" s="182">
        <f>IFERROR(AM191/AM173,0)</f>
        <v/>
      </c>
      <c r="AN243" s="182">
        <f>IFERROR(AN191/AN173,0)</f>
        <v/>
      </c>
      <c r="AO243" s="182">
        <f>IFERROR(AO191/AO173,0)</f>
        <v/>
      </c>
      <c r="AP243" s="182">
        <f>IFERROR(AP191/AP173,0)</f>
        <v/>
      </c>
      <c r="AQ243" s="182">
        <f>IFERROR(AQ191/AQ173,0)</f>
        <v/>
      </c>
      <c r="AR243" s="182">
        <f>IFERROR(AR191/AR173,0)</f>
        <v/>
      </c>
      <c r="AS243" s="182">
        <f>IFERROR(AS191/AS173,0)</f>
        <v/>
      </c>
      <c r="AT243" s="182">
        <f>IFERROR(AT191/AT173,0)</f>
        <v/>
      </c>
      <c r="AU243" s="182">
        <f>IFERROR(AU191/AU173,0)</f>
        <v/>
      </c>
      <c r="AV243" s="182">
        <f>IFERROR(AV191/AV173,0)</f>
        <v/>
      </c>
      <c r="AW243" s="182">
        <f>IFERROR(AW191/AW173,0)</f>
        <v/>
      </c>
      <c r="AX243" s="182">
        <f>IFERROR(AX191/AX173,0)</f>
        <v/>
      </c>
      <c r="AY243" s="182">
        <f>IFERROR(AY191/AY173,0)</f>
        <v/>
      </c>
    </row>
    <row r="244" ht="17.25" customFormat="1" customHeight="1" s="85" thickBot="1" thickTop="1">
      <c r="A244" s="96" t="n"/>
      <c r="B244" s="83">
        <f>B174</f>
        <v/>
      </c>
      <c r="C244" s="335" t="inlineStr">
        <is>
          <t>Commercial Loans/Lines of Credit Not Real Estate Secured</t>
        </is>
      </c>
      <c r="D244" s="325">
        <f>IFERROR(D192/D174,0)</f>
        <v/>
      </c>
      <c r="E244" s="183">
        <f>IFERROR(E192/E174,0)</f>
        <v/>
      </c>
      <c r="F244" s="183">
        <f>IFERROR(F192/F174,0)</f>
        <v/>
      </c>
      <c r="G244" s="183">
        <f>IFERROR(G192/G174,0)</f>
        <v/>
      </c>
      <c r="H244" s="183">
        <f>IFERROR(H192/H174,0)</f>
        <v/>
      </c>
      <c r="I244" s="183">
        <f>IFERROR(I192/I174,0)</f>
        <v/>
      </c>
      <c r="J244" s="183">
        <f>IFERROR(J192/J174,0)</f>
        <v/>
      </c>
      <c r="K244" s="183">
        <f>IFERROR(K192/K174,0)</f>
        <v/>
      </c>
      <c r="L244" s="183">
        <f>IFERROR(L192/L174,0)</f>
        <v/>
      </c>
      <c r="M244" s="183">
        <f>IFERROR(M192/M174,0)</f>
        <v/>
      </c>
      <c r="N244" s="183">
        <f>IFERROR(N192/N174,0)</f>
        <v/>
      </c>
      <c r="O244" s="183">
        <f>IFERROR(O192/O174,0)</f>
        <v/>
      </c>
      <c r="P244" s="183">
        <f>IFERROR(P192/P174,0)</f>
        <v/>
      </c>
      <c r="Q244" s="183">
        <f>IFERROR(Q192/Q174,0)</f>
        <v/>
      </c>
      <c r="R244" s="183">
        <f>IFERROR(R192/R174,0)</f>
        <v/>
      </c>
      <c r="S244" s="183">
        <f>IFERROR(S192/S174,0)</f>
        <v/>
      </c>
      <c r="T244" s="183">
        <f>IFERROR(T192/T174,0)</f>
        <v/>
      </c>
      <c r="U244" s="183">
        <f>IFERROR(U192/U174,0)</f>
        <v/>
      </c>
      <c r="V244" s="183">
        <f>IFERROR(V192/V174,0)</f>
        <v/>
      </c>
      <c r="W244" s="183">
        <f>IFERROR(W192/W174,0)</f>
        <v/>
      </c>
      <c r="X244" s="183">
        <f>IFERROR(X192/X174,0)</f>
        <v/>
      </c>
      <c r="Y244" s="183">
        <f>IFERROR(Y192/Y174,0)</f>
        <v/>
      </c>
      <c r="Z244" s="183">
        <f>IFERROR(Z192/Z174,0)</f>
        <v/>
      </c>
      <c r="AA244" s="183">
        <f>IFERROR(AA192/AA174,0)</f>
        <v/>
      </c>
      <c r="AB244" s="183">
        <f>IFERROR(AB192/AB174,0)</f>
        <v/>
      </c>
      <c r="AC244" s="183">
        <f>IFERROR(AC192/AC174,0)</f>
        <v/>
      </c>
      <c r="AD244" s="183">
        <f>IFERROR(AD192/AD174,0)</f>
        <v/>
      </c>
      <c r="AE244" s="183">
        <f>IFERROR(AE192/AE174,0)</f>
        <v/>
      </c>
      <c r="AF244" s="183">
        <f>IFERROR(AF192/AF174,0)</f>
        <v/>
      </c>
      <c r="AG244" s="183">
        <f>IFERROR(AG192/AG174,0)</f>
        <v/>
      </c>
      <c r="AH244" s="183">
        <f>IFERROR(AH192/AH174,0)</f>
        <v/>
      </c>
      <c r="AI244" s="183">
        <f>IFERROR(AI192/AI174,0)</f>
        <v/>
      </c>
      <c r="AJ244" s="183">
        <f>IFERROR(AJ192/AJ174,0)</f>
        <v/>
      </c>
      <c r="AK244" s="183">
        <f>IFERROR(AK192/AK174,0)</f>
        <v/>
      </c>
      <c r="AL244" s="183">
        <f>IFERROR(AL192/AL174,0)</f>
        <v/>
      </c>
      <c r="AM244" s="183">
        <f>IFERROR(AM192/AM174,0)</f>
        <v/>
      </c>
      <c r="AN244" s="183">
        <f>IFERROR(AN192/AN174,0)</f>
        <v/>
      </c>
      <c r="AO244" s="183">
        <f>IFERROR(AO192/AO174,0)</f>
        <v/>
      </c>
      <c r="AP244" s="183">
        <f>IFERROR(AP192/AP174,0)</f>
        <v/>
      </c>
      <c r="AQ244" s="183">
        <f>IFERROR(AQ192/AQ174,0)</f>
        <v/>
      </c>
      <c r="AR244" s="183">
        <f>IFERROR(AR192/AR174,0)</f>
        <v/>
      </c>
      <c r="AS244" s="183">
        <f>IFERROR(AS192/AS174,0)</f>
        <v/>
      </c>
      <c r="AT244" s="183">
        <f>IFERROR(AT192/AT174,0)</f>
        <v/>
      </c>
      <c r="AU244" s="183">
        <f>IFERROR(AU192/AU174,0)</f>
        <v/>
      </c>
      <c r="AV244" s="183">
        <f>IFERROR(AV192/AV174,0)</f>
        <v/>
      </c>
      <c r="AW244" s="183">
        <f>IFERROR(AW192/AW174,0)</f>
        <v/>
      </c>
      <c r="AX244" s="183">
        <f>IFERROR(AX192/AX174,0)</f>
        <v/>
      </c>
      <c r="AY244" s="183">
        <f>IFERROR(AY192/AY174,0)</f>
        <v/>
      </c>
    </row>
    <row r="245" ht="17.25" customFormat="1" customHeight="1" s="85" thickBot="1" thickTop="1">
      <c r="A245" s="96" t="n"/>
      <c r="B245" s="89" t="inlineStr">
        <is>
          <t>Total DQ %</t>
        </is>
      </c>
      <c r="C245" s="332" t="n"/>
      <c r="D245" s="183">
        <f>IFERROR(D193/D175,0)</f>
        <v/>
      </c>
      <c r="E245" s="183">
        <f>IFERROR(E193/E175,0)</f>
        <v/>
      </c>
      <c r="F245" s="183">
        <f>IFERROR(F193/F175,0)</f>
        <v/>
      </c>
      <c r="G245" s="183">
        <f>IFERROR(G193/G175,0)</f>
        <v/>
      </c>
      <c r="H245" s="183">
        <f>IFERROR(H193/H175,0)</f>
        <v/>
      </c>
      <c r="I245" s="183">
        <f>IFERROR(I193/I175,0)</f>
        <v/>
      </c>
      <c r="J245" s="183">
        <f>IFERROR(J193/J175,0)</f>
        <v/>
      </c>
      <c r="K245" s="183">
        <f>IFERROR(K193/K175,0)</f>
        <v/>
      </c>
      <c r="L245" s="183">
        <f>IFERROR(L193/L175,0)</f>
        <v/>
      </c>
      <c r="M245" s="183">
        <f>IFERROR(M193/M175,0)</f>
        <v/>
      </c>
      <c r="N245" s="183">
        <f>IFERROR(N193/N175,0)</f>
        <v/>
      </c>
      <c r="O245" s="183">
        <f>IFERROR(O193/O175,0)</f>
        <v/>
      </c>
      <c r="P245" s="183">
        <f>IFERROR(P193/P175,0)</f>
        <v/>
      </c>
      <c r="Q245" s="183">
        <f>IFERROR(Q193/Q175,0)</f>
        <v/>
      </c>
      <c r="R245" s="183">
        <f>IFERROR(R193/R175,0)</f>
        <v/>
      </c>
      <c r="S245" s="183">
        <f>IFERROR(S193/S175,0)</f>
        <v/>
      </c>
      <c r="T245" s="183">
        <f>IFERROR(T193/T175,0)</f>
        <v/>
      </c>
      <c r="U245" s="183">
        <f>IFERROR(U193/U175,0)</f>
        <v/>
      </c>
      <c r="V245" s="183">
        <f>IFERROR(V193/V175,0)</f>
        <v/>
      </c>
      <c r="W245" s="183">
        <f>IFERROR(W193/W175,0)</f>
        <v/>
      </c>
      <c r="X245" s="183">
        <f>IFERROR(X193/X175,0)</f>
        <v/>
      </c>
      <c r="Y245" s="183">
        <f>IFERROR(Y193/Y175,0)</f>
        <v/>
      </c>
      <c r="Z245" s="183">
        <f>IFERROR(Z193/Z175,0)</f>
        <v/>
      </c>
      <c r="AA245" s="183">
        <f>IFERROR(AA193/AA175,0)</f>
        <v/>
      </c>
      <c r="AB245" s="183">
        <f>IFERROR(AB193/AB175,0)</f>
        <v/>
      </c>
      <c r="AC245" s="183">
        <f>IFERROR(AC193/AC175,0)</f>
        <v/>
      </c>
      <c r="AD245" s="183">
        <f>IFERROR(AD193/AD175,0)</f>
        <v/>
      </c>
      <c r="AE245" s="183">
        <f>IFERROR(AE193/AE175,0)</f>
        <v/>
      </c>
      <c r="AF245" s="183">
        <f>IFERROR(AF193/AF175,0)</f>
        <v/>
      </c>
      <c r="AG245" s="183">
        <f>IFERROR(AG193/AG175,0)</f>
        <v/>
      </c>
      <c r="AH245" s="183">
        <f>IFERROR(AH193/AH175,0)</f>
        <v/>
      </c>
      <c r="AI245" s="183">
        <f>IFERROR(AI193/AI175,0)</f>
        <v/>
      </c>
      <c r="AJ245" s="183">
        <f>IFERROR(AJ193/AJ175,0)</f>
        <v/>
      </c>
      <c r="AK245" s="183">
        <f>IFERROR(AK193/AK175,0)</f>
        <v/>
      </c>
      <c r="AL245" s="183">
        <f>IFERROR(AL193/AL175,0)</f>
        <v/>
      </c>
      <c r="AM245" s="183">
        <f>IFERROR(AM193/AM175,0)</f>
        <v/>
      </c>
      <c r="AN245" s="183">
        <f>IFERROR(AN193/AN175,0)</f>
        <v/>
      </c>
      <c r="AO245" s="183">
        <f>IFERROR(AO193/AO175,0)</f>
        <v/>
      </c>
      <c r="AP245" s="183">
        <f>IFERROR(AP193/AP175,0)</f>
        <v/>
      </c>
      <c r="AQ245" s="183">
        <f>IFERROR(AQ193/AQ175,0)</f>
        <v/>
      </c>
      <c r="AR245" s="183">
        <f>IFERROR(AR193/AR175,0)</f>
        <v/>
      </c>
      <c r="AS245" s="183">
        <f>IFERROR(AS193/AS175,0)</f>
        <v/>
      </c>
      <c r="AT245" s="183">
        <f>IFERROR(AT193/AT175,0)</f>
        <v/>
      </c>
      <c r="AU245" s="183">
        <f>IFERROR(AU193/AU175,0)</f>
        <v/>
      </c>
      <c r="AV245" s="183">
        <f>IFERROR(AV193/AV175,0)</f>
        <v/>
      </c>
      <c r="AW245" s="183">
        <f>IFERROR(AW193/AW175,0)</f>
        <v/>
      </c>
      <c r="AX245" s="183">
        <f>IFERROR(AX193/AX175,0)</f>
        <v/>
      </c>
      <c r="AY245" s="183">
        <f>IFERROR(AY193/AY175,0)</f>
        <v/>
      </c>
    </row>
  </sheetData>
  <hyperlinks>
    <hyperlink xmlns:r="http://schemas.openxmlformats.org/officeDocument/2006/relationships" ref="BA139" r:id="rId1"/>
    <hyperlink xmlns:r="http://schemas.openxmlformats.org/officeDocument/2006/relationships" ref="BA140" r:id="rId2"/>
  </hyperlinks>
  <pageMargins left="0.7" right="0.7" top="0.75" bottom="0.75" header="0.3" footer="0.3"/>
  <pageSetup orientation="portrait"/>
</worksheet>
</file>

<file path=xl/worksheets/sheet21.xml><?xml version="1.0" encoding="utf-8"?>
<worksheet xmlns="http://schemas.openxmlformats.org/spreadsheetml/2006/main">
  <sheetPr>
    <outlinePr summaryBelow="1" summaryRight="1"/>
    <pageSetUpPr/>
  </sheetPr>
  <dimension ref="A2:B15"/>
  <sheetViews>
    <sheetView workbookViewId="0">
      <selection activeCell="A1" sqref="A1"/>
    </sheetView>
  </sheetViews>
  <sheetFormatPr baseColWidth="8" defaultRowHeight="15"/>
  <cols>
    <col width="47.7109375" bestFit="1" customWidth="1" style="685" min="1" max="1"/>
    <col width="19.5703125" bestFit="1" customWidth="1" style="685" min="2" max="2"/>
  </cols>
  <sheetData>
    <row r="2" ht="15.75" customHeight="1" s="685" thickBot="1">
      <c r="A2" t="inlineStr">
        <is>
          <t>Loan Pool</t>
        </is>
      </c>
      <c r="B2" t="inlineStr">
        <is>
          <t>ACL Lifetime Months (WAM)</t>
        </is>
      </c>
    </row>
    <row r="3" ht="16.5" customHeight="1" s="685" thickBot="1" thickTop="1">
      <c r="A3">
        <f>'Scale Calculation'!C9</f>
        <v/>
      </c>
      <c r="B3" s="343" t="n">
        <v>36</v>
      </c>
    </row>
    <row r="4" ht="16.5" customHeight="1" s="685" thickBot="1" thickTop="1">
      <c r="A4">
        <f>'Scale Calculation'!C10</f>
        <v/>
      </c>
      <c r="B4" s="343" t="n">
        <v>36</v>
      </c>
    </row>
    <row r="5" ht="16.5" customHeight="1" s="685" thickBot="1" thickTop="1">
      <c r="A5">
        <f>'Scale Calculation'!C11</f>
        <v/>
      </c>
      <c r="B5" s="343" t="n">
        <v>36</v>
      </c>
    </row>
    <row r="6" ht="16.5" customHeight="1" s="685" thickBot="1" thickTop="1">
      <c r="A6">
        <f>'Scale Calculation'!C12</f>
        <v/>
      </c>
      <c r="B6" s="343" t="n">
        <v>36</v>
      </c>
    </row>
    <row r="7" ht="16.5" customHeight="1" s="685" thickBot="1" thickTop="1">
      <c r="A7">
        <f>'Scale Calculation'!C13</f>
        <v/>
      </c>
      <c r="B7" s="343" t="n">
        <v>36</v>
      </c>
    </row>
    <row r="8" ht="16.5" customHeight="1" s="685" thickBot="1" thickTop="1">
      <c r="A8">
        <f>'Scale Calculation'!C14</f>
        <v/>
      </c>
      <c r="B8" s="343" t="n">
        <v>36</v>
      </c>
    </row>
    <row r="9" ht="16.5" customHeight="1" s="685" thickBot="1" thickTop="1">
      <c r="A9">
        <f>'Scale Calculation'!C15</f>
        <v/>
      </c>
      <c r="B9" s="343" t="n">
        <v>36</v>
      </c>
    </row>
    <row r="10" ht="16.5" customHeight="1" s="685" thickBot="1" thickTop="1">
      <c r="A10">
        <f>'Scale Calculation'!C16</f>
        <v/>
      </c>
      <c r="B10" s="343" t="n">
        <v>36</v>
      </c>
    </row>
    <row r="11" ht="16.5" customHeight="1" s="685" thickBot="1" thickTop="1">
      <c r="A11">
        <f>'Scale Calculation'!C17</f>
        <v/>
      </c>
      <c r="B11" s="343" t="n">
        <v>84</v>
      </c>
    </row>
    <row r="12" ht="16.5" customHeight="1" s="685" thickBot="1" thickTop="1">
      <c r="A12">
        <f>'Scale Calculation'!C18</f>
        <v/>
      </c>
      <c r="B12" s="343" t="n">
        <v>60</v>
      </c>
    </row>
    <row r="13" ht="16.5" customHeight="1" s="685" thickBot="1" thickTop="1">
      <c r="A13">
        <f>'Scale Calculation'!C19</f>
        <v/>
      </c>
      <c r="B13" s="343" t="n">
        <v>36</v>
      </c>
    </row>
    <row r="14" ht="16.5" customHeight="1" s="685" thickBot="1" thickTop="1">
      <c r="A14">
        <f>'Scale Calculation'!C20</f>
        <v/>
      </c>
      <c r="B14" s="343" t="n">
        <v>84</v>
      </c>
    </row>
    <row r="15" ht="16.5" customHeight="1" s="685" thickBot="1" thickTop="1">
      <c r="A15">
        <f>'Scale Calculation'!C21</f>
        <v/>
      </c>
      <c r="B15" s="343" t="n">
        <v>36</v>
      </c>
    </row>
    <row r="16" ht="15.75" customHeight="1" s="685" thickTop="1"/>
  </sheetData>
  <pageMargins left="0.7" right="0.7" top="0.75" bottom="0.75" header="0.3" footer="0.3"/>
  <pageSetup orientation="portrait"/>
</worksheet>
</file>

<file path=xl/worksheets/sheet22.xml><?xml version="1.0" encoding="utf-8"?>
<worksheet xmlns="http://schemas.openxmlformats.org/spreadsheetml/2006/main">
  <sheetPr>
    <outlinePr summaryBelow="1" summaryRight="1"/>
    <pageSetUpPr fitToPage="1"/>
  </sheetPr>
  <dimension ref="A2:P21"/>
  <sheetViews>
    <sheetView workbookViewId="0">
      <selection activeCell="A1" sqref="A1"/>
    </sheetView>
  </sheetViews>
  <sheetFormatPr baseColWidth="8" defaultRowHeight="15"/>
  <cols>
    <col width="11.85546875" customWidth="1" style="685" min="4" max="4"/>
    <col width="13.85546875" customWidth="1" style="685" min="5" max="5"/>
    <col width="13.7109375" customWidth="1" style="685" min="7" max="7"/>
    <col width="14.28515625" customWidth="1" style="685" min="9" max="9"/>
    <col width="11.85546875" customWidth="1" style="685" min="15" max="15"/>
    <col width="19.5703125" customWidth="1" style="685" min="16" max="16"/>
  </cols>
  <sheetData>
    <row r="1" ht="15.75" customHeight="1" s="685" thickBot="1"/>
    <row r="2" ht="189" customHeight="1" s="685" thickBot="1">
      <c r="B2" s="748" t="inlineStr">
        <is>
          <t>Disclaimer: This template demonstrates how the Scaled CECL Allowance Loss Estimator (SCALE) method may be used by institutions with assets of less than $1 billion to estimate the Allowances for Credit Losses (ACLs).  It was presented in the July 15, 2021 Ask the Fed: Current Expected Credit Losses (CECL): Scaled CECL Allowance for Losses Estimator (SCALE) Method and is intended to serve as an example of the potential implementation of the SCALE method.  You may access the webinar from the CECL Resource Center site under Webinars and Tools.  Institutions are encouraged to review the example while referring to the webinar in order to capture the narrative, discussions and directions provided specifically for these examples in the presentation.  Each institution's management remains solely responsible for selecting and implementing an appropriate method to calculate the ACLs given the unique facts and circumstances of their institution.  
The SCALE tool should be used with appropriate caution.  By using the SCALE tool, you assume the risk related to your use of the SCALE tool, including your use of any updates to the SCALE tool.  The Federal Reserve is providing the SCALE tool “as is” and the Federal Reserve expressly disclaims all warranties, express or implied, including any implied warranties of merchantability and fitness for a particular purpose.  In no event will the Federal Reserve be liable to you or to any third party for any direct, indirect, incidental, consequential, special or exemplary damages or lost profit related to an institution's use of the SCALE tool.  Users may not use or modify the SCALE tool and then present it as official government material.</t>
        </is>
      </c>
      <c r="C2" s="697" t="n"/>
      <c r="D2" s="697" t="n"/>
      <c r="E2" s="697" t="n"/>
      <c r="F2" s="697" t="n"/>
      <c r="G2" s="697" t="n"/>
      <c r="H2" s="697" t="n"/>
      <c r="I2" s="697" t="n"/>
      <c r="J2" s="697" t="n"/>
      <c r="K2" s="697" t="n"/>
      <c r="L2" s="697" t="n"/>
      <c r="M2" s="697" t="n"/>
      <c r="N2" s="697" t="n"/>
      <c r="O2" s="697" t="n"/>
      <c r="P2" s="695" t="n"/>
    </row>
    <row r="16">
      <c r="A16" s="32" t="n"/>
    </row>
    <row r="17">
      <c r="A17" s="32" t="n"/>
    </row>
    <row r="18">
      <c r="A18" s="32" t="n"/>
    </row>
    <row r="19">
      <c r="A19" s="32" t="n"/>
    </row>
    <row r="20">
      <c r="A20" s="32" t="n"/>
    </row>
    <row r="21">
      <c r="A21" s="32" t="n"/>
    </row>
  </sheetData>
  <mergeCells count="1">
    <mergeCell ref="B2:P2"/>
  </mergeCells>
  <pageMargins left="0.7" right="0.7" top="0.75" bottom="0.75" header="0.3" footer="0.3"/>
  <pageSetup orientation="landscape" scale="66" fitToHeight="0"/>
</worksheet>
</file>

<file path=xl/worksheets/sheet23.xml><?xml version="1.0" encoding="utf-8"?>
<worksheet xmlns="http://schemas.openxmlformats.org/spreadsheetml/2006/main">
  <sheetPr>
    <outlinePr summaryBelow="1" summaryRight="1"/>
    <pageSetUpPr fitToPage="1"/>
  </sheetPr>
  <dimension ref="B2:O38"/>
  <sheetViews>
    <sheetView workbookViewId="0">
      <selection activeCell="A1" sqref="A1"/>
    </sheetView>
  </sheetViews>
  <sheetFormatPr baseColWidth="8" defaultRowHeight="15"/>
  <cols>
    <col width="1.140625" customWidth="1" style="685" min="1" max="1"/>
    <col width="15.7109375" customWidth="1" style="685" min="2" max="3"/>
    <col width="2.85546875" customWidth="1" style="685" min="4" max="4"/>
    <col width="15.7109375" customWidth="1" style="685" min="5" max="6"/>
    <col width="2.85546875" customWidth="1" style="685" min="7" max="7"/>
    <col width="14.85546875" bestFit="1" customWidth="1" style="685" min="8" max="8"/>
    <col width="15.7109375" customWidth="1" style="685" min="9" max="9"/>
    <col width="20.42578125" customWidth="1" style="685" min="10" max="10"/>
    <col width="41" customWidth="1" style="685" min="11" max="11"/>
    <col width="3.7109375" customWidth="1" style="685" min="12" max="12"/>
    <col width="15.7109375" customWidth="1" style="685" min="13" max="13"/>
    <col width="3.7109375" customWidth="1" style="685" min="14" max="14"/>
    <col width="15.7109375" customWidth="1" style="685" min="15" max="15"/>
    <col width="13.140625" customWidth="1" style="685" min="17" max="17"/>
    <col width="2.140625" customWidth="1" style="685" min="18" max="18"/>
  </cols>
  <sheetData>
    <row r="2" ht="21" customHeight="1" s="685">
      <c r="B2" s="752" t="inlineStr">
        <is>
          <t>Adjustment to Proxy Expected Lifetime Loss Rate to Reflect Institution's Historical Performance</t>
        </is>
      </c>
    </row>
    <row r="4" ht="55.5" customHeight="1" s="685">
      <c r="B4" s="749" t="inlineStr">
        <is>
          <t>Disclaimer: The example below is for illustrative purposes only.  Institution's management is responsible for determining appropriate adjustments given the facts and circumstances of each individual institution.</t>
        </is>
      </c>
      <c r="C4" s="750" t="n"/>
      <c r="D4" s="750" t="n"/>
      <c r="E4" s="750" t="n"/>
      <c r="F4" s="750" t="n"/>
      <c r="G4" s="750" t="n"/>
      <c r="H4" s="750" t="n"/>
      <c r="I4" s="750" t="n"/>
      <c r="J4" s="751" t="n"/>
    </row>
    <row r="5" ht="9" customHeight="1" s="685">
      <c r="B5" s="60" t="n"/>
      <c r="C5" s="60" t="n"/>
      <c r="D5" s="60" t="n"/>
      <c r="E5" s="60" t="n"/>
      <c r="F5" s="60" t="n"/>
      <c r="G5" s="60" t="n"/>
      <c r="H5" s="60" t="n"/>
      <c r="I5" s="60" t="n"/>
      <c r="J5" s="60" t="n"/>
    </row>
    <row r="6" ht="9" customHeight="1" s="685" thickBot="1">
      <c r="B6" s="686" t="n"/>
      <c r="C6" s="686" t="n"/>
      <c r="D6" s="686" t="n"/>
      <c r="E6" s="686" t="n"/>
      <c r="F6" s="686" t="n"/>
      <c r="G6" s="686" t="n"/>
      <c r="H6" s="686" t="n"/>
      <c r="I6" s="686" t="n"/>
      <c r="J6" s="686" t="n"/>
    </row>
    <row r="7" ht="90.75" customHeight="1" s="685">
      <c r="B7" s="757" t="inlineStr">
        <is>
          <t xml:space="preserve">Instructions: Use this tab to calculate the adjustment to proxy expected lifetime loss rates to reflect an institution's historical performance.  Proxy expected lifetime loss rates derived from Schedule RI-C data must be adjusted to more accurately reflect an institution’s own historical loss experience.  One possible way to accomplish this is by adjusting for historical net charge-off performance (relative to peer) over an appropriate timeframe.  Other approaches, such as making segment-specific adjustments, may also be appropriate based on management's judgment.  </t>
        </is>
      </c>
      <c r="C7" s="675" t="n"/>
      <c r="D7" s="675" t="n"/>
      <c r="E7" s="675" t="n"/>
      <c r="F7" s="675" t="n"/>
      <c r="G7" s="675" t="n"/>
      <c r="H7" s="675" t="n"/>
      <c r="I7" s="675" t="n"/>
      <c r="J7" s="676" t="n"/>
    </row>
    <row r="8" ht="9" customHeight="1" s="685">
      <c r="B8" s="72" t="n"/>
      <c r="C8" s="73" t="n"/>
      <c r="D8" s="73" t="n"/>
      <c r="E8" s="73" t="n"/>
      <c r="F8" s="73" t="n"/>
      <c r="G8" s="73" t="n"/>
      <c r="H8" s="73" t="n"/>
      <c r="I8" s="73" t="n"/>
      <c r="J8" s="74" t="n"/>
    </row>
    <row r="9" ht="61.5" customHeight="1" s="685" thickBot="1">
      <c r="B9" s="759" t="inlineStr">
        <is>
          <t>Historical institution and peer net charge-off rates can be found on page 7 of the Uniform Bank Performance Report (UBPR).  Management is responsible for selecting the appropriate timeframe and peer group when making this adjustment.  The calculation presented below adjusts for institution vs. peer net losses to total loans through the most recent credit cycle.</t>
        </is>
      </c>
      <c r="C9" s="672" t="n"/>
      <c r="D9" s="672" t="n"/>
      <c r="E9" s="672" t="n"/>
      <c r="F9" s="672" t="n"/>
      <c r="G9" s="672" t="n"/>
      <c r="H9" s="672" t="n"/>
      <c r="I9" s="672" t="n"/>
      <c r="J9" s="673" t="n"/>
    </row>
    <row r="10" ht="9" customHeight="1" s="685" thickBot="1"/>
    <row r="11" ht="19.5" customHeight="1" s="685" thickBot="1">
      <c r="B11" s="756" t="inlineStr">
        <is>
          <t xml:space="preserve">Institutions are responsible for all inputs on this tab </t>
        </is>
      </c>
      <c r="C11" s="697" t="n"/>
      <c r="D11" s="697" t="n"/>
      <c r="E11" s="697" t="n"/>
      <c r="F11" s="697" t="n"/>
      <c r="G11" s="697" t="n"/>
      <c r="H11" s="697" t="n"/>
      <c r="I11" s="697" t="n"/>
      <c r="J11" s="695" t="n"/>
      <c r="K11" s="687" t="n"/>
      <c r="L11" s="687" t="n"/>
      <c r="M11" s="687" t="n"/>
      <c r="N11" s="687" t="n"/>
      <c r="O11" s="687" t="n"/>
    </row>
    <row r="12" ht="9" customHeight="1" s="685" thickBot="1">
      <c r="B12" s="753" t="n"/>
      <c r="C12" s="672" t="n"/>
    </row>
    <row r="13">
      <c r="B13" s="754" t="inlineStr">
        <is>
          <t>Institution</t>
        </is>
      </c>
      <c r="C13" s="676" t="n"/>
      <c r="E13" s="754" t="inlineStr">
        <is>
          <t>Peer</t>
        </is>
      </c>
      <c r="F13" s="676" t="n"/>
    </row>
    <row r="14">
      <c r="B14" s="760" t="inlineStr">
        <is>
          <t>Net Loss to Average Total LNLS</t>
        </is>
      </c>
      <c r="C14" s="661" t="n"/>
      <c r="E14" s="760" t="inlineStr">
        <is>
          <t>Net Loss to Average Total LNLS</t>
        </is>
      </c>
      <c r="F14" s="661" t="n"/>
    </row>
    <row r="15" ht="15.75" customHeight="1" s="685" thickBot="1">
      <c r="B15" s="758" t="inlineStr">
        <is>
          <t>[from page 7 of UBPR]</t>
        </is>
      </c>
      <c r="C15" s="673" t="n"/>
      <c r="E15" s="758" t="inlineStr">
        <is>
          <t>[from page 7 of UBPR]</t>
        </is>
      </c>
      <c r="F15" s="673" t="n"/>
    </row>
    <row r="16" ht="15.75" customHeight="1" s="685" thickBot="1">
      <c r="B16" s="61" t="inlineStr">
        <is>
          <t>Year</t>
        </is>
      </c>
      <c r="C16" s="62" t="inlineStr">
        <is>
          <t>Ratio</t>
        </is>
      </c>
      <c r="E16" s="61" t="inlineStr">
        <is>
          <t>Year</t>
        </is>
      </c>
      <c r="F16" s="62" t="inlineStr">
        <is>
          <t>Ratio</t>
        </is>
      </c>
    </row>
    <row r="17">
      <c r="B17" s="19" t="n">
        <v>2007</v>
      </c>
      <c r="C17" s="24" t="n">
        <v>0</v>
      </c>
      <c r="E17" s="19" t="n">
        <v>2007</v>
      </c>
      <c r="F17" s="24" t="n">
        <v>0</v>
      </c>
    </row>
    <row r="18">
      <c r="B18" s="20" t="n">
        <v>2008</v>
      </c>
      <c r="C18" s="25" t="n">
        <v>0</v>
      </c>
      <c r="E18" s="20" t="n">
        <v>2008</v>
      </c>
      <c r="F18" s="25" t="n">
        <v>0</v>
      </c>
    </row>
    <row r="19">
      <c r="B19" s="20" t="n">
        <v>2009</v>
      </c>
      <c r="C19" s="25" t="n">
        <v>0</v>
      </c>
      <c r="E19" s="20" t="n">
        <v>2009</v>
      </c>
      <c r="F19" s="25" t="n">
        <v>0</v>
      </c>
    </row>
    <row r="20">
      <c r="B20" s="20" t="n">
        <v>2010</v>
      </c>
      <c r="C20" s="25" t="n">
        <v>0</v>
      </c>
      <c r="E20" s="20" t="n">
        <v>2010</v>
      </c>
      <c r="F20" s="25" t="n">
        <v>0</v>
      </c>
    </row>
    <row r="21">
      <c r="B21" s="20" t="n">
        <v>2011</v>
      </c>
      <c r="C21" s="25" t="n">
        <v>0</v>
      </c>
      <c r="E21" s="20" t="n">
        <v>2011</v>
      </c>
      <c r="F21" s="25" t="n">
        <v>0</v>
      </c>
    </row>
    <row r="22">
      <c r="B22" s="20" t="n">
        <v>2012</v>
      </c>
      <c r="C22" s="25" t="n">
        <v>0</v>
      </c>
      <c r="E22" s="20" t="n">
        <v>2012</v>
      </c>
      <c r="F22" s="25" t="n">
        <v>0</v>
      </c>
    </row>
    <row r="23">
      <c r="B23" s="20" t="n">
        <v>2013</v>
      </c>
      <c r="C23" s="25" t="n">
        <v>0</v>
      </c>
      <c r="E23" s="20" t="n">
        <v>2013</v>
      </c>
      <c r="F23" s="25" t="n">
        <v>0</v>
      </c>
    </row>
    <row r="24">
      <c r="B24" s="20" t="n">
        <v>2014</v>
      </c>
      <c r="C24" s="25" t="n">
        <v>0</v>
      </c>
      <c r="E24" s="20" t="n">
        <v>2014</v>
      </c>
      <c r="F24" s="25" t="n">
        <v>0</v>
      </c>
    </row>
    <row r="25">
      <c r="B25" s="20" t="n">
        <v>2015</v>
      </c>
      <c r="C25" s="25" t="n">
        <v>0</v>
      </c>
      <c r="E25" s="20" t="n">
        <v>2015</v>
      </c>
      <c r="F25" s="25" t="n">
        <v>0</v>
      </c>
    </row>
    <row r="26">
      <c r="B26" s="20" t="n">
        <v>2016</v>
      </c>
      <c r="C26" s="25" t="n">
        <v>0</v>
      </c>
      <c r="E26" s="20" t="n">
        <v>2016</v>
      </c>
      <c r="F26" s="25" t="n">
        <v>0</v>
      </c>
    </row>
    <row r="27">
      <c r="B27" s="20" t="n">
        <v>2017</v>
      </c>
      <c r="C27" s="25" t="n">
        <v>0</v>
      </c>
      <c r="E27" s="20" t="n">
        <v>2017</v>
      </c>
      <c r="F27" s="25" t="n">
        <v>0</v>
      </c>
    </row>
    <row r="28">
      <c r="B28" s="20" t="n">
        <v>2018</v>
      </c>
      <c r="C28" s="25" t="n">
        <v>0</v>
      </c>
      <c r="E28" s="20" t="n">
        <v>2018</v>
      </c>
      <c r="F28" s="25" t="n">
        <v>0</v>
      </c>
    </row>
    <row r="29">
      <c r="B29" s="20" t="n">
        <v>2019</v>
      </c>
      <c r="C29" s="25" t="n">
        <v>0</v>
      </c>
      <c r="E29" s="20" t="n">
        <v>2019</v>
      </c>
      <c r="F29" s="25" t="n">
        <v>0</v>
      </c>
    </row>
    <row r="30" ht="16.5" customHeight="1" s="685" thickBot="1">
      <c r="B30" s="21" t="n">
        <v>2020</v>
      </c>
      <c r="C30" s="26" t="n">
        <v>0</v>
      </c>
      <c r="E30" s="21" t="n">
        <v>2020</v>
      </c>
      <c r="F30" s="26" t="n">
        <v>0</v>
      </c>
      <c r="I30" s="56" t="inlineStr">
        <is>
          <t>Calculated</t>
        </is>
      </c>
    </row>
    <row r="31">
      <c r="I31" s="28" t="inlineStr">
        <is>
          <t>Adjustment</t>
        </is>
      </c>
    </row>
    <row r="32">
      <c r="B32" s="3" t="inlineStr">
        <is>
          <t>Average</t>
        </is>
      </c>
      <c r="C32" s="50">
        <f>AVERAGE(C17:C30)</f>
        <v/>
      </c>
      <c r="D32" s="36" t="n"/>
      <c r="E32" s="35" t="inlineStr">
        <is>
          <t>Average</t>
        </is>
      </c>
      <c r="F32" s="43">
        <f>AVERAGE(F17:F30)</f>
        <v/>
      </c>
      <c r="G32" s="36" t="n"/>
      <c r="H32" s="36" t="n"/>
      <c r="I32" s="51">
        <f>C32-F32</f>
        <v/>
      </c>
      <c r="J32" s="36" t="n"/>
      <c r="K32" s="36" t="n"/>
    </row>
    <row r="33">
      <c r="F33" s="22" t="n"/>
    </row>
    <row r="35" ht="15.75" customHeight="1" s="685" thickBot="1">
      <c r="B35" s="4" t="n"/>
    </row>
    <row r="36">
      <c r="B36" s="755" t="inlineStr">
        <is>
          <t>Cell Key:</t>
        </is>
      </c>
      <c r="C36" s="675" t="n"/>
      <c r="D36" s="675" t="n"/>
      <c r="E36" s="675" t="n"/>
      <c r="F36" s="675" t="n"/>
      <c r="G36" s="675" t="n"/>
      <c r="H36" s="676" t="n"/>
    </row>
    <row r="37">
      <c r="B37" s="16" t="inlineStr">
        <is>
          <t>Indicates the cell is a formula or a reference.  Do not edit these cells.</t>
        </is>
      </c>
      <c r="C37" s="14" t="n"/>
      <c r="D37" s="14" t="n"/>
      <c r="E37" s="14" t="n"/>
      <c r="F37" s="14" t="n"/>
      <c r="G37" s="14" t="n"/>
      <c r="H37" s="48" t="inlineStr">
        <is>
          <t>$XXX.XX</t>
        </is>
      </c>
    </row>
    <row r="38" ht="15.75" customHeight="1" s="685" thickBot="1">
      <c r="B38" s="17" t="inlineStr">
        <is>
          <t>Indicates the cell is an input field.  Enter bank data into these cells.</t>
        </is>
      </c>
      <c r="C38" s="15" t="n"/>
      <c r="D38" s="15" t="n"/>
      <c r="E38" s="15" t="n"/>
      <c r="F38" s="15" t="n"/>
      <c r="G38" s="15" t="n"/>
      <c r="H38" s="18" t="inlineStr">
        <is>
          <t>$XXX.XX</t>
        </is>
      </c>
    </row>
  </sheetData>
  <mergeCells count="13">
    <mergeCell ref="B13:C13"/>
    <mergeCell ref="B36:H36"/>
    <mergeCell ref="B11:J11"/>
    <mergeCell ref="B7:J7"/>
    <mergeCell ref="B15:C15"/>
    <mergeCell ref="E15:F15"/>
    <mergeCell ref="B9:J9"/>
    <mergeCell ref="B14:C14"/>
    <mergeCell ref="E13:F13"/>
    <mergeCell ref="E14:F14"/>
    <mergeCell ref="B4:J4"/>
    <mergeCell ref="B2:J2"/>
    <mergeCell ref="B12:C12"/>
  </mergeCells>
  <printOptions horizontalCentered="1" verticalCentered="1"/>
  <pageMargins left="0.25" right="0.25" top="0.75" bottom="0.75" header="0.3" footer="0.3"/>
  <pageSetup orientation="portrait" scale="85"/>
</worksheet>
</file>

<file path=xl/worksheets/sheet24.xml><?xml version="1.0" encoding="utf-8"?>
<worksheet xmlns="http://schemas.openxmlformats.org/spreadsheetml/2006/main">
  <sheetPr>
    <outlinePr summaryBelow="1" summaryRight="1"/>
    <pageSetUpPr fitToPage="1"/>
  </sheetPr>
  <dimension ref="B1:R34"/>
  <sheetViews>
    <sheetView workbookViewId="0">
      <selection activeCell="A1" sqref="A1"/>
    </sheetView>
  </sheetViews>
  <sheetFormatPr baseColWidth="8" defaultRowHeight="15"/>
  <cols>
    <col width="1.140625" customWidth="1" style="685" min="1" max="1"/>
    <col width="21.28515625" customWidth="1" style="685" min="2" max="2"/>
    <col width="17.28515625" customWidth="1" style="685" min="3" max="3"/>
    <col width="3.42578125" customWidth="1" style="685" min="4" max="4"/>
    <col width="15.7109375" customWidth="1" style="685" min="5" max="11"/>
    <col width="2.85546875" customWidth="1" style="685" min="12" max="12"/>
    <col width="15.7109375" customWidth="1" style="685" min="13" max="13"/>
    <col width="2.140625" customWidth="1" style="685" min="14" max="14"/>
    <col width="15.7109375" customWidth="1" style="685" min="15" max="15"/>
    <col width="11" customWidth="1" style="685" min="17" max="17"/>
  </cols>
  <sheetData>
    <row r="1" ht="21" customHeight="1" s="685">
      <c r="B1" s="686" t="inlineStr">
        <is>
          <t>Loans Assessed for Expected Credit Losses on Individual  Basis</t>
        </is>
      </c>
    </row>
    <row r="2" ht="9" customHeight="1" s="685" thickBot="1">
      <c r="B2" s="53" t="n"/>
    </row>
    <row r="3" ht="23.65" customHeight="1" s="685" thickBot="1">
      <c r="B3" s="761" t="inlineStr">
        <is>
          <t>Instructions:  Use this tab to enter information for loans assessed for expected losses on an individual basis.</t>
        </is>
      </c>
      <c r="C3" s="697" t="n"/>
      <c r="D3" s="697" t="n"/>
      <c r="E3" s="697" t="n"/>
      <c r="F3" s="697" t="n"/>
      <c r="G3" s="697" t="n"/>
      <c r="H3" s="697" t="n"/>
      <c r="I3" s="697" t="n"/>
      <c r="J3" s="697" t="n"/>
      <c r="K3" s="697" t="n"/>
      <c r="L3" s="697" t="n"/>
      <c r="M3" s="697" t="n"/>
      <c r="N3" s="697" t="n"/>
      <c r="O3" s="695" t="n"/>
    </row>
    <row r="4" ht="9" customHeight="1" s="685" thickBot="1">
      <c r="B4" s="687" t="n"/>
      <c r="C4" s="687" t="n"/>
      <c r="D4" s="687" t="n"/>
      <c r="E4" s="687" t="n"/>
      <c r="F4" s="687" t="n"/>
      <c r="G4" s="687" t="n"/>
      <c r="H4" s="687" t="n"/>
      <c r="I4" s="687" t="n"/>
      <c r="J4" s="687" t="n"/>
      <c r="K4" s="687" t="n"/>
      <c r="L4" s="687" t="n"/>
      <c r="M4" s="687" t="n"/>
      <c r="N4" s="687" t="n"/>
      <c r="O4" s="687" t="n"/>
    </row>
    <row r="5" ht="19.5" customHeight="1" s="685" thickBot="1">
      <c r="B5" s="762" t="inlineStr">
        <is>
          <t xml:space="preserve">Institutions are responsible for all inputs on this tab </t>
        </is>
      </c>
      <c r="C5" s="697" t="n"/>
      <c r="D5" s="697" t="n"/>
      <c r="E5" s="697" t="n"/>
      <c r="F5" s="697" t="n"/>
      <c r="G5" s="697" t="n"/>
      <c r="H5" s="697" t="n"/>
      <c r="I5" s="697" t="n"/>
      <c r="J5" s="697" t="n"/>
      <c r="K5" s="697" t="n"/>
      <c r="L5" s="697" t="n"/>
      <c r="M5" s="697" t="n"/>
      <c r="N5" s="697" t="n"/>
      <c r="O5" s="695" t="n"/>
    </row>
    <row r="6" ht="9" customHeight="1" s="685" thickBot="1">
      <c r="B6" s="687" t="n"/>
      <c r="C6" s="687" t="n"/>
      <c r="D6" s="687" t="n"/>
      <c r="E6" s="687" t="n"/>
      <c r="F6" s="687" t="n"/>
      <c r="G6" s="687" t="n"/>
      <c r="H6" s="687" t="n"/>
      <c r="I6" s="687" t="n"/>
      <c r="J6" s="687" t="n"/>
      <c r="K6" s="687" t="n"/>
      <c r="L6" s="687" t="n"/>
      <c r="M6" s="687" t="n"/>
      <c r="N6" s="687" t="n"/>
      <c r="O6" s="687" t="n"/>
    </row>
    <row r="7" ht="16.5" customHeight="1" s="685" thickBot="1">
      <c r="B7" s="1" t="n"/>
      <c r="C7" s="1" t="n"/>
      <c r="D7" s="1" t="n"/>
      <c r="E7" s="763" t="inlineStr">
        <is>
          <t>Loan Balance by Portfolio Segment</t>
        </is>
      </c>
      <c r="F7" s="697" t="n"/>
      <c r="G7" s="697" t="n"/>
      <c r="H7" s="697" t="n"/>
      <c r="I7" s="697" t="n"/>
      <c r="J7" s="697" t="n"/>
      <c r="K7" s="695" t="n"/>
      <c r="L7" s="1" t="n"/>
      <c r="M7" s="1" t="n"/>
      <c r="N7" s="1" t="n"/>
      <c r="O7" s="56" t="inlineStr">
        <is>
          <t>Calculated</t>
        </is>
      </c>
    </row>
    <row r="8" ht="45.75" customHeight="1" s="685" thickBot="1">
      <c r="B8" s="7" t="inlineStr">
        <is>
          <t>Borrower/Relationship Name</t>
        </is>
      </c>
      <c r="C8" s="5" t="inlineStr">
        <is>
          <t>Note Number(s)</t>
        </is>
      </c>
      <c r="D8" s="10" t="n"/>
      <c r="E8" s="7" t="inlineStr">
        <is>
          <t>Real Estate - Construction</t>
        </is>
      </c>
      <c r="F8" s="7" t="inlineStr">
        <is>
          <t>Real Estate - Commercial</t>
        </is>
      </c>
      <c r="G8" s="7" t="inlineStr">
        <is>
          <t>Real Estate - Residential</t>
        </is>
      </c>
      <c r="H8" s="7" t="inlineStr">
        <is>
          <t>Commercial</t>
        </is>
      </c>
      <c r="I8" s="7" t="inlineStr">
        <is>
          <t>Credit Cards</t>
        </is>
      </c>
      <c r="J8" s="7" t="inlineStr">
        <is>
          <t xml:space="preserve">Other Consumer </t>
        </is>
      </c>
      <c r="K8" s="7" t="inlineStr">
        <is>
          <t>Additional Segments (1)</t>
        </is>
      </c>
      <c r="L8" s="8" t="n"/>
      <c r="M8" s="7" t="inlineStr">
        <is>
          <t xml:space="preserve">Amount Expected to be Collected </t>
        </is>
      </c>
      <c r="N8" s="10" t="n"/>
      <c r="O8" s="7" t="inlineStr">
        <is>
          <t>CECL ACL</t>
        </is>
      </c>
    </row>
    <row r="9">
      <c r="B9" s="12" t="inlineStr">
        <is>
          <t>Customer A</t>
        </is>
      </c>
      <c r="C9" s="33" t="inlineStr">
        <is>
          <t>#####</t>
        </is>
      </c>
      <c r="E9" s="77" t="n"/>
      <c r="F9" s="77" t="n"/>
      <c r="G9" s="77" t="n"/>
      <c r="H9" s="77" t="n"/>
      <c r="I9" s="77" t="n"/>
      <c r="J9" s="77" t="n"/>
      <c r="K9" s="77" t="n"/>
      <c r="L9" s="30" t="n"/>
      <c r="M9" s="77" t="n"/>
      <c r="N9" s="30" t="n"/>
      <c r="O9" s="45">
        <f>IF(M9&lt;SUM(E9:K9),SUM(E9:K9)-M9,0)</f>
        <v/>
      </c>
    </row>
    <row r="10">
      <c r="B10" s="12" t="inlineStr">
        <is>
          <t>Customer B</t>
        </is>
      </c>
      <c r="C10" s="33" t="inlineStr">
        <is>
          <t>#####</t>
        </is>
      </c>
      <c r="E10" s="77" t="n"/>
      <c r="F10" s="77" t="n"/>
      <c r="G10" s="77" t="n"/>
      <c r="H10" s="77" t="n"/>
      <c r="I10" s="77" t="n"/>
      <c r="J10" s="77" t="n"/>
      <c r="K10" s="77" t="n"/>
      <c r="L10" s="30" t="n"/>
      <c r="M10" s="34" t="n"/>
      <c r="N10" s="30" t="n"/>
      <c r="O10" s="45">
        <f>IF(M10&lt;SUM(E10:K10),SUM(E10:K10)-M10,0)</f>
        <v/>
      </c>
    </row>
    <row r="11">
      <c r="B11" s="12" t="inlineStr">
        <is>
          <t>Customer C</t>
        </is>
      </c>
      <c r="C11" s="33" t="inlineStr">
        <is>
          <t>#####</t>
        </is>
      </c>
      <c r="E11" s="77" t="n"/>
      <c r="F11" s="77" t="n"/>
      <c r="G11" s="77" t="n"/>
      <c r="H11" s="77" t="n"/>
      <c r="I11" s="77" t="n"/>
      <c r="J11" s="77" t="n"/>
      <c r="K11" s="77" t="n"/>
      <c r="L11" s="30" t="n"/>
      <c r="M11" s="34" t="n"/>
      <c r="N11" s="30" t="n"/>
      <c r="O11" s="45">
        <f>IF(M11&lt;SUM(E11:K11),SUM(E11:K11)-M11,0)</f>
        <v/>
      </c>
    </row>
    <row r="12">
      <c r="B12" s="12" t="inlineStr">
        <is>
          <t>Customer D</t>
        </is>
      </c>
      <c r="C12" s="33" t="inlineStr">
        <is>
          <t>#####</t>
        </is>
      </c>
      <c r="E12" s="77" t="n"/>
      <c r="F12" s="77" t="n"/>
      <c r="G12" s="77" t="n"/>
      <c r="H12" s="77" t="n"/>
      <c r="I12" s="77" t="n"/>
      <c r="J12" s="77" t="n"/>
      <c r="K12" s="77" t="n"/>
      <c r="L12" s="30" t="n"/>
      <c r="M12" s="34" t="n"/>
      <c r="N12" s="30" t="n"/>
      <c r="O12" s="45">
        <f>IF(M12&lt;SUM(E12:K12),SUM(E12:K12)-M12,0)</f>
        <v/>
      </c>
    </row>
    <row r="13">
      <c r="B13" s="12" t="inlineStr">
        <is>
          <t>Customer E</t>
        </is>
      </c>
      <c r="C13" s="33" t="inlineStr">
        <is>
          <t>#####</t>
        </is>
      </c>
      <c r="E13" s="77" t="n"/>
      <c r="F13" s="77" t="n"/>
      <c r="G13" s="77" t="n"/>
      <c r="H13" s="77" t="n"/>
      <c r="I13" s="77" t="n"/>
      <c r="J13" s="77" t="n"/>
      <c r="K13" s="77" t="n"/>
      <c r="L13" s="30" t="n"/>
      <c r="M13" s="34" t="n"/>
      <c r="N13" s="30" t="n"/>
      <c r="O13" s="45">
        <f>IF(M13&lt;SUM(E13:K13),SUM(E13:K13)-M13,0)</f>
        <v/>
      </c>
    </row>
    <row r="14">
      <c r="B14" s="12" t="inlineStr">
        <is>
          <t>Customer F</t>
        </is>
      </c>
      <c r="C14" s="33" t="inlineStr">
        <is>
          <t>#####</t>
        </is>
      </c>
      <c r="E14" s="77" t="n"/>
      <c r="F14" s="77" t="n"/>
      <c r="G14" s="77" t="n"/>
      <c r="H14" s="77" t="n"/>
      <c r="I14" s="77" t="n"/>
      <c r="J14" s="77" t="n"/>
      <c r="K14" s="77" t="n"/>
      <c r="L14" s="30" t="n"/>
      <c r="M14" s="34" t="n"/>
      <c r="N14" s="30" t="n"/>
      <c r="O14" s="45">
        <f>IF(M14&lt;SUM(E14:K14),SUM(E14:K14)-M14,0)</f>
        <v/>
      </c>
    </row>
    <row r="15">
      <c r="B15" s="13" t="inlineStr">
        <is>
          <t>Customer G</t>
        </is>
      </c>
      <c r="C15" s="33" t="inlineStr">
        <is>
          <t>#####</t>
        </is>
      </c>
      <c r="E15" s="77" t="n"/>
      <c r="F15" s="77" t="n"/>
      <c r="G15" s="77" t="n"/>
      <c r="H15" s="77" t="n"/>
      <c r="I15" s="77" t="n"/>
      <c r="J15" s="77" t="n"/>
      <c r="K15" s="77" t="n"/>
      <c r="L15" s="30" t="n"/>
      <c r="M15" s="34" t="n"/>
      <c r="N15" s="30" t="n"/>
      <c r="O15" s="45">
        <f>IF(M15&lt;SUM(E15:K15),SUM(E15:K15)-M15,0)</f>
        <v/>
      </c>
    </row>
    <row r="16">
      <c r="B16" s="12" t="inlineStr">
        <is>
          <t>Customer H</t>
        </is>
      </c>
      <c r="C16" s="33" t="inlineStr">
        <is>
          <t>#####</t>
        </is>
      </c>
      <c r="E16" s="77" t="n"/>
      <c r="F16" s="77" t="n"/>
      <c r="G16" s="77" t="n"/>
      <c r="H16" s="77" t="n"/>
      <c r="I16" s="77" t="n"/>
      <c r="J16" s="77" t="n"/>
      <c r="K16" s="77" t="n"/>
      <c r="L16" s="30" t="n"/>
      <c r="M16" s="34" t="n"/>
      <c r="N16" s="30" t="n"/>
      <c r="O16" s="45">
        <f>IF(M16&lt;SUM(E16:K16),SUM(E16:K16)-M16,0)</f>
        <v/>
      </c>
    </row>
    <row r="17">
      <c r="B17" s="12" t="inlineStr">
        <is>
          <t>Customer I</t>
        </is>
      </c>
      <c r="C17" s="33" t="inlineStr">
        <is>
          <t>#####</t>
        </is>
      </c>
      <c r="E17" s="77" t="n"/>
      <c r="F17" s="77" t="n"/>
      <c r="G17" s="77" t="n"/>
      <c r="H17" s="77" t="n"/>
      <c r="I17" s="77" t="n"/>
      <c r="J17" s="77" t="n"/>
      <c r="K17" s="77" t="n"/>
      <c r="L17" s="30" t="n"/>
      <c r="M17" s="34" t="n"/>
      <c r="N17" s="30" t="n"/>
      <c r="O17" s="45">
        <f>IF(M17&lt;SUM(E17:K17),SUM(E17:K17)-M17,0)</f>
        <v/>
      </c>
    </row>
    <row r="18">
      <c r="B18" s="12" t="inlineStr">
        <is>
          <t>Customer J</t>
        </is>
      </c>
      <c r="C18" s="33" t="inlineStr">
        <is>
          <t>#####</t>
        </is>
      </c>
      <c r="E18" s="77" t="n"/>
      <c r="F18" s="77" t="n"/>
      <c r="G18" s="77" t="n"/>
      <c r="H18" s="77" t="n"/>
      <c r="I18" s="77" t="n"/>
      <c r="J18" s="77" t="n"/>
      <c r="K18" s="77" t="n"/>
      <c r="L18" s="30" t="n"/>
      <c r="M18" s="34" t="n"/>
      <c r="N18" s="30" t="n"/>
      <c r="O18" s="45">
        <f>IF(M18&lt;SUM(E18:K18),SUM(E18:K18)-M18,0)</f>
        <v/>
      </c>
    </row>
    <row r="19">
      <c r="B19" s="12" t="inlineStr">
        <is>
          <t>Customer K</t>
        </is>
      </c>
      <c r="C19" s="33" t="inlineStr">
        <is>
          <t>#####</t>
        </is>
      </c>
      <c r="E19" s="77" t="n"/>
      <c r="F19" s="77" t="n"/>
      <c r="G19" s="77" t="n"/>
      <c r="H19" s="77" t="n"/>
      <c r="I19" s="77" t="n"/>
      <c r="J19" s="77" t="n"/>
      <c r="K19" s="77" t="n"/>
      <c r="L19" s="30" t="n"/>
      <c r="M19" s="34" t="n"/>
      <c r="N19" s="30" t="n"/>
      <c r="O19" s="45">
        <f>IF(M19&lt;SUM(E19:K19),SUM(E19:K19)-M19,0)</f>
        <v/>
      </c>
    </row>
    <row r="20">
      <c r="B20" s="13" t="n"/>
      <c r="C20" s="13" t="n"/>
      <c r="E20" s="77" t="n"/>
      <c r="F20" s="77" t="n"/>
      <c r="G20" s="77" t="n"/>
      <c r="H20" s="77" t="n"/>
      <c r="I20" s="77" t="n"/>
      <c r="J20" s="77" t="n"/>
      <c r="K20" s="77" t="n"/>
      <c r="L20" s="30" t="n"/>
      <c r="M20" s="34" t="n"/>
      <c r="N20" s="30" t="n"/>
      <c r="O20" s="45">
        <f>IF(M20&lt;SUM(E20:K20),SUM(E20:K20)-M20,0)</f>
        <v/>
      </c>
    </row>
    <row r="21">
      <c r="B21" s="13" t="n"/>
      <c r="C21" s="13" t="n"/>
      <c r="E21" s="77" t="n"/>
      <c r="F21" s="77" t="n"/>
      <c r="G21" s="77" t="n"/>
      <c r="H21" s="77" t="n"/>
      <c r="I21" s="77" t="n"/>
      <c r="J21" s="77" t="n"/>
      <c r="K21" s="77" t="n"/>
      <c r="L21" s="30" t="n"/>
      <c r="M21" s="34" t="n"/>
      <c r="N21" s="30" t="n"/>
      <c r="O21" s="45">
        <f>IF(M21&lt;SUM(E21:K21),SUM(E21:K21)-M21,0)</f>
        <v/>
      </c>
    </row>
    <row r="22">
      <c r="B22" s="13" t="inlineStr">
        <is>
          <t>Cash Secured</t>
        </is>
      </c>
      <c r="C22" s="31" t="inlineStr">
        <is>
          <t>Various</t>
        </is>
      </c>
      <c r="E22" s="77" t="n"/>
      <c r="F22" s="77" t="n"/>
      <c r="G22" s="77" t="n"/>
      <c r="H22" s="77" t="n"/>
      <c r="I22" s="77" t="n"/>
      <c r="J22" s="77" t="n"/>
      <c r="K22" s="77" t="n"/>
      <c r="L22" s="30" t="n"/>
      <c r="M22" s="34" t="n"/>
      <c r="N22" s="30" t="n"/>
      <c r="O22" s="45">
        <f>IF(M22&lt;SUM(E22:K22),SUM(E22:K22)-M22,0)</f>
        <v/>
      </c>
    </row>
    <row r="23">
      <c r="B23" s="13" t="n"/>
      <c r="C23" s="13" t="n"/>
      <c r="E23" s="77" t="n"/>
      <c r="F23" s="77" t="n"/>
      <c r="G23" s="77" t="n"/>
      <c r="H23" s="77" t="n"/>
      <c r="I23" s="77" t="n"/>
      <c r="J23" s="77" t="n"/>
      <c r="K23" s="77" t="n"/>
      <c r="L23" s="30" t="n"/>
      <c r="M23" s="34" t="n"/>
      <c r="N23" s="30" t="n"/>
      <c r="O23" s="45">
        <f>IF(M23&lt;SUM(E23:K23),SUM(E23:K23)-M23,0)</f>
        <v/>
      </c>
    </row>
    <row r="24">
      <c r="B24" s="31" t="n"/>
      <c r="C24" s="13" t="n"/>
      <c r="E24" s="77" t="n"/>
      <c r="F24" s="77" t="n"/>
      <c r="G24" s="77" t="n"/>
      <c r="H24" s="77" t="n"/>
      <c r="I24" s="77" t="n"/>
      <c r="J24" s="77" t="n"/>
      <c r="K24" s="77" t="n"/>
      <c r="L24" s="30" t="n"/>
      <c r="M24" s="34" t="n"/>
      <c r="N24" s="30" t="n"/>
      <c r="O24" s="45">
        <f>IF(M24&lt;SUM(E24:K24),SUM(E24:K24)-M24,0)</f>
        <v/>
      </c>
    </row>
    <row r="25">
      <c r="B25" s="27" t="inlineStr">
        <is>
          <t>[Add rows as needed]</t>
        </is>
      </c>
      <c r="E25" s="2" t="n"/>
      <c r="F25" s="2" t="n"/>
      <c r="G25" s="2" t="n"/>
      <c r="H25" s="2" t="n"/>
      <c r="I25" s="2" t="n"/>
      <c r="J25" s="2" t="n"/>
      <c r="K25" s="2" t="n"/>
      <c r="L25" s="2" t="n"/>
      <c r="M25" s="2" t="n"/>
      <c r="N25" s="2" t="n"/>
      <c r="O25" s="37" t="n"/>
    </row>
    <row r="26" ht="15.75" customHeight="1" s="685" thickBot="1">
      <c r="C26" s="1" t="inlineStr">
        <is>
          <t>Totals:</t>
        </is>
      </c>
      <c r="E26" s="46">
        <f>SUM(E9:E25)</f>
        <v/>
      </c>
      <c r="F26" s="46">
        <f>SUM(F9:F25)</f>
        <v/>
      </c>
      <c r="G26" s="46">
        <f>SUM(G9:G25)</f>
        <v/>
      </c>
      <c r="H26" s="46">
        <f>SUM(H9:H25)</f>
        <v/>
      </c>
      <c r="I26" s="46">
        <f>SUM(I9:I25)</f>
        <v/>
      </c>
      <c r="J26" s="46">
        <f>SUM(J9:J25)</f>
        <v/>
      </c>
      <c r="K26" s="46">
        <f>SUM(K9:K25)</f>
        <v/>
      </c>
      <c r="L26" s="37" t="n"/>
      <c r="M26" s="37" t="n"/>
      <c r="N26" s="37" t="n"/>
      <c r="O26" s="46">
        <f>SUM(O9:O25)</f>
        <v/>
      </c>
    </row>
    <row r="27" ht="15.75" customHeight="1" s="685" thickTop="1">
      <c r="O27" s="36" t="n"/>
    </row>
    <row r="28" ht="15" customHeight="1" s="685">
      <c r="B28" s="71" t="inlineStr">
        <is>
          <t>(1) Segmenting the portfolio by Call Report category may be sufficient, but more granular segments may be desired/necessary based on each individual institution's portfolio and credit risk management practices.</t>
        </is>
      </c>
      <c r="C28" s="70" t="n"/>
      <c r="D28" s="70" t="n"/>
      <c r="E28" s="70" t="n"/>
      <c r="F28" s="70" t="n"/>
      <c r="G28" s="70" t="n"/>
      <c r="H28" s="70" t="n"/>
      <c r="I28" s="70" t="n"/>
      <c r="J28" s="70" t="n"/>
      <c r="K28" s="70" t="n"/>
      <c r="L28" s="70" t="n"/>
      <c r="M28" s="70" t="n"/>
      <c r="N28" s="70" t="n"/>
      <c r="O28" s="70" t="n"/>
      <c r="P28" s="70" t="n"/>
      <c r="Q28" s="70" t="n"/>
      <c r="R28" s="70" t="n"/>
    </row>
    <row r="29" ht="15.75" customHeight="1" s="685" thickBot="1">
      <c r="B29" s="4" t="n"/>
    </row>
    <row r="30">
      <c r="B30" s="755" t="inlineStr">
        <is>
          <t>Cell Key:</t>
        </is>
      </c>
      <c r="C30" s="675" t="n"/>
      <c r="D30" s="675" t="n"/>
      <c r="E30" s="676" t="n"/>
    </row>
    <row r="31">
      <c r="B31" s="16" t="inlineStr">
        <is>
          <t>Indicates the cell is a formula or a reference.  Do not edit these cells.</t>
        </is>
      </c>
      <c r="C31" s="14" t="n"/>
      <c r="D31" s="14" t="n"/>
      <c r="E31" s="49" t="inlineStr">
        <is>
          <t>$XXX.XX</t>
        </is>
      </c>
    </row>
    <row r="32" ht="15.75" customHeight="1" s="685" thickBot="1">
      <c r="B32" s="17" t="inlineStr">
        <is>
          <t>Indicates the cell is an input field.  Enter institution data into these cells.</t>
        </is>
      </c>
      <c r="C32" s="15" t="n"/>
      <c r="D32" s="15" t="n"/>
      <c r="E32" s="18" t="inlineStr">
        <is>
          <t>$XXX.XX</t>
        </is>
      </c>
    </row>
    <row r="33">
      <c r="B33" s="4" t="n"/>
    </row>
    <row r="34">
      <c r="B34" s="4" t="n"/>
    </row>
  </sheetData>
  <mergeCells count="5">
    <mergeCell ref="B1:O1"/>
    <mergeCell ref="B30:E30"/>
    <mergeCell ref="B3:O3"/>
    <mergeCell ref="B5:O5"/>
    <mergeCell ref="E7:K7"/>
  </mergeCells>
  <pageMargins left="0.7" right="0.7" top="0.75" bottom="0.75" header="0.3" footer="0.3"/>
  <pageSetup orientation="landscape" scale="65"/>
</worksheet>
</file>

<file path=xl/worksheets/sheet25.xml><?xml version="1.0" encoding="utf-8"?>
<worksheet xmlns="http://schemas.openxmlformats.org/spreadsheetml/2006/main">
  <sheetPr>
    <outlinePr summaryBelow="1" summaryRight="1"/>
    <pageSetUpPr fitToPage="1"/>
  </sheetPr>
  <dimension ref="B1:R44"/>
  <sheetViews>
    <sheetView workbookViewId="0">
      <selection activeCell="A1" sqref="A1"/>
    </sheetView>
  </sheetViews>
  <sheetFormatPr baseColWidth="8" defaultRowHeight="15"/>
  <cols>
    <col width="1.140625" customWidth="1" style="685" min="1" max="1"/>
    <col width="15.7109375" customWidth="1" style="685" min="2" max="2"/>
    <col width="21.85546875" customWidth="1" style="685" min="3" max="3"/>
    <col width="2.85546875" customWidth="1" style="685" min="4" max="4"/>
    <col width="18.85546875" customWidth="1" style="685" min="5" max="5"/>
    <col width="15.7109375" customWidth="1" style="685" min="6" max="6"/>
    <col width="2.85546875" customWidth="1" style="685" min="7" max="7"/>
    <col width="14.85546875" bestFit="1" customWidth="1" style="685" min="8" max="8"/>
    <col width="15.7109375" customWidth="1" style="685" min="9" max="9"/>
    <col width="8" customWidth="1" style="685" min="10" max="10"/>
    <col width="41" customWidth="1" style="685" min="11" max="11"/>
    <col width="3.7109375" customWidth="1" style="685" min="12" max="12"/>
    <col width="15.7109375" customWidth="1" style="685" min="13" max="13"/>
    <col width="3.7109375" customWidth="1" style="685" min="14" max="14"/>
    <col width="15.7109375" customWidth="1" style="685" min="15" max="15"/>
    <col width="13.140625" customWidth="1" style="685" min="17" max="17"/>
    <col width="2.140625" customWidth="1" style="685" min="18" max="18"/>
  </cols>
  <sheetData>
    <row r="1" ht="21" customHeight="1" s="685">
      <c r="B1" s="686" t="inlineStr">
        <is>
          <t>Adjustments for Qualitative Factors</t>
        </is>
      </c>
    </row>
    <row r="2" ht="6.75" customHeight="1" s="685" thickBot="1"/>
    <row r="3" ht="94.5" customHeight="1" s="685" thickBot="1">
      <c r="B3" s="777" t="inlineStr">
        <is>
          <t xml:space="preserve">Disclaimer: The example below is for illustrative purposes only.  Institution's management is responsible for determining appropriate qualitative adjustments given the facts and circumstances of the institution.  Management should consider the need to qualitatively adjust proxy expected lifetime loss rates for information not already captured in the loss estimation process.  These qualitative factor adjustments may increase or decrease management’s estimate of expected credit losses.  </t>
        </is>
      </c>
      <c r="C3" s="697" t="n"/>
      <c r="D3" s="697" t="n"/>
      <c r="E3" s="697" t="n"/>
      <c r="F3" s="697" t="n"/>
      <c r="G3" s="697" t="n"/>
      <c r="H3" s="697" t="n"/>
      <c r="I3" s="697" t="n"/>
      <c r="J3" s="695" t="n"/>
    </row>
    <row r="4" ht="15.75" customHeight="1" s="685" thickBot="1"/>
    <row r="5" ht="47.45" customHeight="1" s="685">
      <c r="B5" s="776" t="inlineStr">
        <is>
          <t>Instructions: Use this tab to enter Qualitative Adjustments that capture information not already incorporated in the proxy expected lifetime loss rates.  Management should consider all qualitative factors that are relevant to the institution as of the reporting date, which may include, but are not limited to:</t>
        </is>
      </c>
      <c r="C5" s="675" t="n"/>
      <c r="D5" s="675" t="n"/>
      <c r="E5" s="675" t="n"/>
      <c r="F5" s="675" t="n"/>
      <c r="G5" s="675" t="n"/>
      <c r="H5" s="675" t="n"/>
      <c r="I5" s="675" t="n"/>
      <c r="J5" s="676" t="n"/>
    </row>
    <row r="6" ht="5.45" customHeight="1" s="685">
      <c r="B6" s="64" t="n"/>
      <c r="C6" s="63" t="n"/>
      <c r="D6" s="63" t="n"/>
      <c r="E6" s="63" t="n"/>
      <c r="F6" s="63" t="n"/>
      <c r="G6" s="63" t="n"/>
      <c r="H6" s="63" t="n"/>
      <c r="I6" s="63" t="n"/>
      <c r="J6" s="65" t="n"/>
    </row>
    <row r="7" ht="14.45" customHeight="1" s="685">
      <c r="B7" s="775" t="inlineStr">
        <is>
          <t>• The nature and volume of the institution’s financial assets;</t>
        </is>
      </c>
      <c r="J7" s="661" t="n"/>
    </row>
    <row r="8" ht="14.45" customHeight="1" s="685">
      <c r="B8" s="775" t="inlineStr">
        <is>
          <t>• The existence, growth, and effect of any concentrations of credit;</t>
        </is>
      </c>
      <c r="J8" s="661" t="n"/>
    </row>
    <row r="9" ht="28.15" customHeight="1" s="685">
      <c r="B9" s="775" t="inlineStr">
        <is>
          <t>• The volume and severity of past due financial assets, the volume of nonaccrual assets, and the volume and severity of adversely classified or graded assets;</t>
        </is>
      </c>
      <c r="J9" s="661" t="n"/>
    </row>
    <row r="10" ht="14.45" customHeight="1" s="685">
      <c r="B10" s="775" t="inlineStr">
        <is>
          <t>• The value of the underlying collateral for loans that are not collateral-dependent;</t>
        </is>
      </c>
      <c r="J10" s="661" t="n"/>
    </row>
    <row r="11" ht="28.9" customHeight="1" s="685">
      <c r="B11" s="775" t="inlineStr">
        <is>
          <t>• The institution’s lending policies and procedures, including changes in underwriting standards and practices for collections, write-offs, and recoveries;</t>
        </is>
      </c>
      <c r="J11" s="661" t="n"/>
    </row>
    <row r="12" ht="14.45" customHeight="1" s="685">
      <c r="B12" s="775" t="inlineStr">
        <is>
          <t>• The quality of the institution’s credit review function;</t>
        </is>
      </c>
      <c r="J12" s="661" t="n"/>
    </row>
    <row r="13" ht="28.9" customHeight="1" s="685">
      <c r="B13" s="775" t="inlineStr">
        <is>
          <t>• The experience, ability, and depth of the institution’s lending, investment, collection, and other relevant management and staff;</t>
        </is>
      </c>
      <c r="J13" s="661" t="n"/>
    </row>
    <row r="14" ht="28.9" customHeight="1" s="685">
      <c r="B14" s="775" t="inlineStr">
        <is>
          <t>• The effect of other external factors such as the regulatory, legal and technological environments; competition; and events such as natural disasters;</t>
        </is>
      </c>
      <c r="J14" s="661" t="n"/>
    </row>
    <row r="15" ht="28.15" customHeight="1" s="685">
      <c r="B15" s="775" t="inlineStr">
        <is>
          <t>• Actual and expected changes in international, national, regional, and local economic and business conditions and developments in which the institution operates that affect the collectibility of financial assets.</t>
        </is>
      </c>
      <c r="J15" s="661" t="n"/>
    </row>
    <row r="16" ht="14.45" customHeight="1" s="685">
      <c r="B16" s="66" t="n"/>
      <c r="C16" s="687" t="n"/>
      <c r="D16" s="687" t="n"/>
      <c r="E16" s="687" t="n"/>
      <c r="F16" s="687" t="n"/>
      <c r="G16" s="687" t="n"/>
      <c r="H16" s="687" t="n"/>
      <c r="I16" s="687" t="n"/>
      <c r="J16" s="67" t="n"/>
    </row>
    <row r="17" ht="28.9" customHeight="1" s="685" thickBot="1">
      <c r="B17" s="765" t="inlineStr">
        <is>
          <t>For reference, the Interagency Policy Statement on the Allowance for Credit Losses contains a more detailed discussion of the application of Qualitative Factors, including those listed above.</t>
        </is>
      </c>
      <c r="C17" s="672" t="n"/>
      <c r="D17" s="672" t="n"/>
      <c r="E17" s="672" t="n"/>
      <c r="F17" s="672" t="n"/>
      <c r="G17" s="672" t="n"/>
      <c r="H17" s="672" t="n"/>
      <c r="I17" s="672" t="n"/>
      <c r="J17" s="673" t="n"/>
    </row>
    <row r="18" ht="9" customHeight="1" s="685" thickBot="1"/>
    <row r="19" ht="19.5" customHeight="1" s="685" thickBot="1">
      <c r="B19" s="778" t="inlineStr">
        <is>
          <t xml:space="preserve">Institutions are responsible for all inputs on this tab </t>
        </is>
      </c>
      <c r="C19" s="697" t="n"/>
      <c r="D19" s="697" t="n"/>
      <c r="E19" s="697" t="n"/>
      <c r="F19" s="697" t="n"/>
      <c r="G19" s="697" t="n"/>
      <c r="H19" s="697" t="n"/>
      <c r="I19" s="697" t="n"/>
      <c r="J19" s="695" t="n"/>
      <c r="K19" s="687" t="n"/>
      <c r="L19" s="687" t="n"/>
      <c r="M19" s="687" t="n"/>
      <c r="N19" s="687" t="n"/>
      <c r="O19" s="687" t="n"/>
    </row>
    <row r="20" ht="9" customHeight="1" s="685" thickBot="1">
      <c r="B20" s="57" t="n"/>
      <c r="C20" s="57" t="n"/>
      <c r="D20" s="57" t="n"/>
      <c r="E20" s="57" t="n"/>
      <c r="F20" s="57" t="n"/>
      <c r="G20" s="57" t="n"/>
      <c r="H20" s="57" t="n"/>
      <c r="I20" s="57" t="n"/>
      <c r="J20" s="57" t="n"/>
    </row>
    <row r="21" ht="16.5" customHeight="1" s="685" thickBot="1">
      <c r="B21" s="770" t="inlineStr">
        <is>
          <t>Loan Segment</t>
        </is>
      </c>
      <c r="C21" s="697" t="n"/>
      <c r="D21" s="771" t="n"/>
      <c r="E21" s="78" t="inlineStr">
        <is>
          <t>Adjustment</t>
        </is>
      </c>
      <c r="F21" s="774" t="inlineStr">
        <is>
          <t>Comments</t>
        </is>
      </c>
      <c r="G21" s="697" t="n"/>
      <c r="H21" s="697" t="n"/>
      <c r="I21" s="697" t="n"/>
      <c r="J21" s="771" t="n"/>
    </row>
    <row r="22" ht="15.75" customHeight="1" s="685">
      <c r="B22" s="769" t="inlineStr">
        <is>
          <t>Real Estate - Construction</t>
        </is>
      </c>
      <c r="C22" s="683" t="n"/>
      <c r="D22" s="768" t="n"/>
      <c r="E22" s="79" t="n">
        <v>0</v>
      </c>
      <c r="F22" s="767" t="inlineStr">
        <is>
          <t>[Enter summary comments and source of supporting analysis/narrative]</t>
        </is>
      </c>
      <c r="G22" s="683" t="n"/>
      <c r="H22" s="683" t="n"/>
      <c r="I22" s="683" t="n"/>
      <c r="J22" s="768" t="n"/>
    </row>
    <row r="23" ht="15.75" customHeight="1" s="685">
      <c r="B23" s="764" t="inlineStr">
        <is>
          <t>Real Estate - Commercial</t>
        </is>
      </c>
      <c r="C23" s="750" t="n"/>
      <c r="D23" s="751" t="n"/>
      <c r="E23" s="79" t="n">
        <v>0</v>
      </c>
      <c r="F23" s="766" t="n"/>
      <c r="G23" s="750" t="n"/>
      <c r="H23" s="750" t="n"/>
      <c r="I23" s="750" t="n"/>
      <c r="J23" s="751" t="n"/>
    </row>
    <row r="24" ht="15.75" customHeight="1" s="685">
      <c r="B24" s="764" t="inlineStr">
        <is>
          <t>Real Estate - Residential</t>
        </is>
      </c>
      <c r="C24" s="750" t="n"/>
      <c r="D24" s="751" t="n"/>
      <c r="E24" s="79" t="n">
        <v>0</v>
      </c>
      <c r="F24" s="766" t="n"/>
      <c r="G24" s="750" t="n"/>
      <c r="H24" s="750" t="n"/>
      <c r="I24" s="750" t="n"/>
      <c r="J24" s="751" t="n"/>
    </row>
    <row r="25" ht="15.75" customHeight="1" s="685">
      <c r="B25" s="764" t="inlineStr">
        <is>
          <t>Commercial</t>
        </is>
      </c>
      <c r="C25" s="750" t="n"/>
      <c r="D25" s="751" t="n"/>
      <c r="E25" s="79" t="n">
        <v>0</v>
      </c>
      <c r="F25" s="766" t="n"/>
      <c r="G25" s="750" t="n"/>
      <c r="H25" s="750" t="n"/>
      <c r="I25" s="750" t="n"/>
      <c r="J25" s="751" t="n"/>
    </row>
    <row r="26" ht="15.75" customHeight="1" s="685">
      <c r="B26" s="764" t="inlineStr">
        <is>
          <t>Credit Cards</t>
        </is>
      </c>
      <c r="C26" s="750" t="n"/>
      <c r="D26" s="751" t="n"/>
      <c r="E26" s="79" t="n">
        <v>0</v>
      </c>
      <c r="F26" s="766" t="n"/>
      <c r="G26" s="750" t="n"/>
      <c r="H26" s="750" t="n"/>
      <c r="I26" s="750" t="n"/>
      <c r="J26" s="751" t="n"/>
    </row>
    <row r="27" ht="15.75" customHeight="1" s="685">
      <c r="B27" s="764" t="inlineStr">
        <is>
          <t xml:space="preserve">Other Consumer </t>
        </is>
      </c>
      <c r="C27" s="750" t="n"/>
      <c r="D27" s="751" t="n"/>
      <c r="E27" s="79" t="n">
        <v>0</v>
      </c>
      <c r="F27" s="766" t="n"/>
      <c r="G27" s="750" t="n"/>
      <c r="H27" s="750" t="n"/>
      <c r="I27" s="750" t="n"/>
      <c r="J27" s="751" t="n"/>
    </row>
    <row r="28" ht="15.75" customHeight="1" s="685">
      <c r="B28" s="764" t="inlineStr">
        <is>
          <t xml:space="preserve">Other Consumer </t>
        </is>
      </c>
      <c r="C28" s="750" t="n"/>
      <c r="D28" s="751" t="n"/>
      <c r="E28" s="79" t="n">
        <v>0</v>
      </c>
      <c r="F28" s="766" t="n"/>
      <c r="G28" s="750" t="n"/>
      <c r="H28" s="750" t="n"/>
      <c r="I28" s="750" t="n"/>
      <c r="J28" s="751" t="n"/>
    </row>
    <row r="29" ht="15.75" customHeight="1" s="685">
      <c r="B29" s="764" t="inlineStr">
        <is>
          <t xml:space="preserve">Other Consumer </t>
        </is>
      </c>
      <c r="C29" s="750" t="n"/>
      <c r="D29" s="751" t="n"/>
      <c r="E29" s="79" t="n">
        <v>0</v>
      </c>
      <c r="F29" s="766" t="n"/>
      <c r="G29" s="750" t="n"/>
      <c r="H29" s="750" t="n"/>
      <c r="I29" s="750" t="n"/>
      <c r="J29" s="751" t="n"/>
    </row>
    <row r="30" ht="15.75" customHeight="1" s="685">
      <c r="B30" s="764" t="inlineStr">
        <is>
          <t xml:space="preserve">Other Consumer </t>
        </is>
      </c>
      <c r="C30" s="750" t="n"/>
      <c r="D30" s="751" t="n"/>
      <c r="E30" s="79" t="n">
        <v>0</v>
      </c>
      <c r="F30" s="766" t="n"/>
      <c r="G30" s="750" t="n"/>
      <c r="H30" s="750" t="n"/>
      <c r="I30" s="750" t="n"/>
      <c r="J30" s="751" t="n"/>
    </row>
    <row r="31" ht="15.75" customHeight="1" s="685">
      <c r="B31" s="764" t="inlineStr">
        <is>
          <t xml:space="preserve">Other Consumer </t>
        </is>
      </c>
      <c r="C31" s="750" t="n"/>
      <c r="D31" s="751" t="n"/>
      <c r="E31" s="79" t="n">
        <v>0</v>
      </c>
      <c r="F31" s="766" t="n"/>
      <c r="G31" s="750" t="n"/>
      <c r="H31" s="750" t="n"/>
      <c r="I31" s="750" t="n"/>
      <c r="J31" s="751" t="n"/>
    </row>
    <row r="32" ht="15.75" customHeight="1" s="685">
      <c r="B32" s="764" t="inlineStr">
        <is>
          <t xml:space="preserve">Other Consumer </t>
        </is>
      </c>
      <c r="C32" s="750" t="n"/>
      <c r="D32" s="751" t="n"/>
      <c r="E32" s="79" t="n">
        <v>0</v>
      </c>
      <c r="F32" s="766" t="n"/>
      <c r="G32" s="750" t="n"/>
      <c r="H32" s="750" t="n"/>
      <c r="I32" s="750" t="n"/>
      <c r="J32" s="751" t="n"/>
    </row>
    <row r="33" ht="15.75" customHeight="1" s="685">
      <c r="B33" s="764" t="inlineStr">
        <is>
          <t xml:space="preserve">Other Consumer </t>
        </is>
      </c>
      <c r="C33" s="750" t="n"/>
      <c r="D33" s="751" t="n"/>
      <c r="E33" s="79" t="n">
        <v>0</v>
      </c>
      <c r="F33" s="766" t="n"/>
      <c r="G33" s="750" t="n"/>
      <c r="H33" s="750" t="n"/>
      <c r="I33" s="750" t="n"/>
      <c r="J33" s="751" t="n"/>
    </row>
    <row r="34" ht="15.75" customHeight="1" s="685">
      <c r="B34" s="764" t="inlineStr">
        <is>
          <t xml:space="preserve">Other Consumer </t>
        </is>
      </c>
      <c r="C34" s="750" t="n"/>
      <c r="D34" s="751" t="n"/>
      <c r="E34" s="79" t="n">
        <v>0</v>
      </c>
      <c r="F34" s="766" t="n"/>
      <c r="G34" s="750" t="n"/>
      <c r="H34" s="750" t="n"/>
      <c r="I34" s="750" t="n"/>
      <c r="J34" s="751" t="n"/>
    </row>
    <row r="35" ht="18" customHeight="1" s="685">
      <c r="B35" s="764" t="inlineStr">
        <is>
          <t>Additional Segments (1)</t>
        </is>
      </c>
      <c r="C35" s="750" t="n"/>
      <c r="D35" s="751" t="n"/>
      <c r="E35" s="79" t="n">
        <v>0</v>
      </c>
      <c r="F35" s="766" t="n"/>
      <c r="G35" s="750" t="n"/>
      <c r="H35" s="750" t="n"/>
      <c r="I35" s="750" t="n"/>
      <c r="J35" s="751" t="n"/>
    </row>
    <row r="36" ht="15.75" customHeight="1" s="685">
      <c r="B36" s="57" t="n"/>
      <c r="C36" s="57" t="n"/>
      <c r="D36" s="57" t="n"/>
      <c r="E36" s="57" t="n"/>
      <c r="F36" s="57" t="n"/>
      <c r="G36" s="57" t="n"/>
      <c r="H36" s="57" t="n"/>
      <c r="I36" s="57" t="n"/>
      <c r="J36" s="57" t="n"/>
    </row>
    <row r="37" ht="16.5" customHeight="1" s="685" thickBot="1">
      <c r="B37" s="53" t="inlineStr">
        <is>
          <t>Additional Narrative:</t>
        </is>
      </c>
      <c r="C37" s="57" t="n"/>
      <c r="D37" s="57" t="n"/>
      <c r="E37" s="57" t="n"/>
      <c r="F37" s="57" t="n"/>
      <c r="G37" s="57" t="n"/>
      <c r="H37" s="57" t="n"/>
      <c r="I37" s="57" t="n"/>
      <c r="J37" s="57" t="n"/>
    </row>
    <row r="38" ht="81" customHeight="1" s="685" thickBot="1">
      <c r="B38" s="773" t="inlineStr">
        <is>
          <t xml:space="preserve">[Enter additional explanatory narrative if warranted] </t>
        </is>
      </c>
      <c r="C38" s="697" t="n"/>
      <c r="D38" s="697" t="n"/>
      <c r="E38" s="697" t="n"/>
      <c r="F38" s="697" t="n"/>
      <c r="G38" s="697" t="n"/>
      <c r="H38" s="697" t="n"/>
      <c r="I38" s="697" t="n"/>
      <c r="J38" s="695" t="n"/>
    </row>
    <row r="40" ht="28.9" customHeight="1" s="685">
      <c r="B40" s="772" t="inlineStr">
        <is>
          <t>(1) Segmenting the portfolio by Call Report category may be sufficient, but more granular segments may be desired/necessary based on each individual institution's portfolio and credit risk management practices.</t>
        </is>
      </c>
      <c r="K40" s="687" t="n"/>
      <c r="L40" s="687" t="n"/>
      <c r="M40" s="687" t="n"/>
      <c r="N40" s="687" t="n"/>
      <c r="O40" s="687" t="n"/>
      <c r="P40" s="687" t="n"/>
      <c r="Q40" s="687" t="n"/>
      <c r="R40" s="687" t="n"/>
    </row>
    <row r="41" ht="15.75" customHeight="1" s="685" thickBot="1"/>
    <row r="42">
      <c r="B42" s="755" t="inlineStr">
        <is>
          <t>Cell Key:</t>
        </is>
      </c>
      <c r="C42" s="675" t="n"/>
      <c r="D42" s="675" t="n"/>
      <c r="E42" s="675" t="n"/>
      <c r="F42" s="675" t="n"/>
      <c r="G42" s="675" t="n"/>
      <c r="H42" s="676" t="n"/>
    </row>
    <row r="43">
      <c r="B43" s="16" t="inlineStr">
        <is>
          <t>Indicates the cell is a formula or a reference.  Do not edit these cells.</t>
        </is>
      </c>
      <c r="C43" s="14" t="n"/>
      <c r="D43" s="14" t="n"/>
      <c r="E43" s="14" t="n"/>
      <c r="F43" s="14" t="n"/>
      <c r="G43" s="14" t="n"/>
      <c r="H43" s="48" t="inlineStr">
        <is>
          <t>$XXX.XX</t>
        </is>
      </c>
    </row>
    <row r="44" ht="15.75" customHeight="1" s="685" thickBot="1">
      <c r="B44" s="17" t="inlineStr">
        <is>
          <t>Indicates the cell is an input field.  Enter bank data into these cells.</t>
        </is>
      </c>
      <c r="C44" s="15" t="n"/>
      <c r="D44" s="15" t="n"/>
      <c r="E44" s="15" t="n"/>
      <c r="F44" s="15" t="n"/>
      <c r="G44" s="15" t="n"/>
      <c r="H44" s="18" t="inlineStr">
        <is>
          <t>$XXX.XX</t>
        </is>
      </c>
    </row>
  </sheetData>
  <mergeCells count="47">
    <mergeCell ref="B11:J11"/>
    <mergeCell ref="F29:J29"/>
    <mergeCell ref="B23:D23"/>
    <mergeCell ref="F34:J34"/>
    <mergeCell ref="B14:J14"/>
    <mergeCell ref="B17:J17"/>
    <mergeCell ref="F25:J25"/>
    <mergeCell ref="B1:J1"/>
    <mergeCell ref="B8:J8"/>
    <mergeCell ref="B29:D29"/>
    <mergeCell ref="B13:J13"/>
    <mergeCell ref="B38:J38"/>
    <mergeCell ref="B34:D34"/>
    <mergeCell ref="B28:D28"/>
    <mergeCell ref="F30:J30"/>
    <mergeCell ref="B19:J19"/>
    <mergeCell ref="F21:J21"/>
    <mergeCell ref="B10:J10"/>
    <mergeCell ref="F24:J24"/>
    <mergeCell ref="B40:J40"/>
    <mergeCell ref="B9:J9"/>
    <mergeCell ref="F33:J33"/>
    <mergeCell ref="B30:D30"/>
    <mergeCell ref="F35:J35"/>
    <mergeCell ref="F32:J32"/>
    <mergeCell ref="B24:D24"/>
    <mergeCell ref="F26:J26"/>
    <mergeCell ref="B15:J15"/>
    <mergeCell ref="B33:D33"/>
    <mergeCell ref="B5:J5"/>
    <mergeCell ref="F23:J23"/>
    <mergeCell ref="B35:D35"/>
    <mergeCell ref="B32:D32"/>
    <mergeCell ref="B26:D26"/>
    <mergeCell ref="F28:J28"/>
    <mergeCell ref="F31:J31"/>
    <mergeCell ref="B42:H42"/>
    <mergeCell ref="F22:J22"/>
    <mergeCell ref="B25:D25"/>
    <mergeCell ref="F27:J27"/>
    <mergeCell ref="B7:J7"/>
    <mergeCell ref="B3:J3"/>
    <mergeCell ref="B31:D31"/>
    <mergeCell ref="B22:D22"/>
    <mergeCell ref="B27:D27"/>
    <mergeCell ref="B21:D21"/>
    <mergeCell ref="B12:J12"/>
  </mergeCells>
  <printOptions horizontalCentered="1" verticalCentered="1"/>
  <pageMargins left="0.25" right="0.25" top="0.75" bottom="0.75" header="0.3" footer="0.3"/>
  <pageSetup orientation="portrait" scale="82"/>
</worksheet>
</file>

<file path=xl/worksheets/sheet26.xml><?xml version="1.0" encoding="utf-8"?>
<worksheet xmlns="http://schemas.openxmlformats.org/spreadsheetml/2006/main">
  <sheetPr>
    <outlinePr summaryBelow="1" summaryRight="1"/>
    <pageSetUpPr fitToPage="1"/>
  </sheetPr>
  <dimension ref="B1:W35"/>
  <sheetViews>
    <sheetView workbookViewId="0">
      <selection activeCell="A1" sqref="A1"/>
    </sheetView>
  </sheetViews>
  <sheetFormatPr baseColWidth="8" defaultRowHeight="15"/>
  <cols>
    <col width="1" customWidth="1" style="685" min="1" max="1"/>
    <col width="54.7109375" bestFit="1" customWidth="1" style="685" min="2" max="2"/>
    <col width="5" customWidth="1" style="685" min="3" max="3"/>
    <col width="19.140625" bestFit="1" customWidth="1" style="685" min="4" max="4"/>
    <col width="5" customWidth="1" style="685" min="5" max="5"/>
    <col width="13.85546875" customWidth="1" style="685" min="6" max="6"/>
    <col width="5" customWidth="1" style="685" min="7" max="7"/>
    <col width="14.5703125" customWidth="1" style="685" min="8" max="8"/>
    <col width="5.140625" customWidth="1" style="685" min="9" max="9"/>
    <col width="19.140625" customWidth="1" style="685" min="10" max="10"/>
    <col width="5.42578125" customWidth="1" style="685" min="11" max="11"/>
    <col width="14" customWidth="1" style="685" min="12" max="12"/>
    <col width="5" customWidth="1" style="685" min="13" max="13"/>
    <col width="13.85546875" customWidth="1" style="685" min="14" max="14"/>
    <col width="5" customWidth="1" style="685" min="15" max="15"/>
    <col width="17.28515625" customWidth="1" style="685" min="16" max="16"/>
    <col width="5.42578125" customWidth="1" style="685" min="17" max="17"/>
    <col width="14" customWidth="1" style="685" min="18" max="18"/>
    <col width="8.140625" bestFit="1" customWidth="1" style="685" min="19" max="19"/>
    <col width="5" customWidth="1" style="685" min="20" max="20"/>
    <col width="17.28515625" customWidth="1" style="685" min="21" max="21"/>
    <col width="3.7109375" customWidth="1" style="685" min="22" max="22"/>
    <col width="15.7109375" customWidth="1" style="685" min="23" max="23"/>
    <col width="13.140625" customWidth="1" style="685" min="25" max="25"/>
    <col width="2.140625" customWidth="1" style="685" min="26" max="26"/>
  </cols>
  <sheetData>
    <row r="1" ht="21" customHeight="1" s="685">
      <c r="B1" s="199" t="inlineStr">
        <is>
          <t>CECL Allowances for Credit Losses (ACL) Calculation</t>
        </is>
      </c>
      <c r="C1" s="199" t="n"/>
      <c r="D1" s="199" t="n"/>
      <c r="E1" s="199" t="n"/>
      <c r="F1" s="199" t="n"/>
      <c r="G1" s="199" t="n"/>
      <c r="H1" s="199" t="n"/>
      <c r="I1" s="199" t="n"/>
      <c r="J1" s="199" t="n"/>
      <c r="K1" s="199" t="n"/>
      <c r="L1" s="199" t="n"/>
      <c r="M1" s="199" t="n"/>
      <c r="N1" s="199" t="n"/>
      <c r="O1" s="199" t="n"/>
      <c r="P1" s="199" t="n"/>
      <c r="Q1" s="199" t="n"/>
      <c r="R1" s="199" t="n"/>
      <c r="S1" s="199" t="n"/>
      <c r="T1" s="199" t="n"/>
      <c r="U1" s="199" t="n"/>
    </row>
    <row r="2" ht="21" customHeight="1" s="685">
      <c r="B2" s="199" t="inlineStr">
        <is>
          <t>Prepared For</t>
        </is>
      </c>
      <c r="C2" s="199" t="n"/>
      <c r="D2" s="217">
        <f>'Historical Data'!B2</f>
        <v/>
      </c>
      <c r="E2" s="199" t="n"/>
      <c r="F2" s="199" t="n"/>
      <c r="G2" s="199" t="n"/>
      <c r="H2" s="199" t="n"/>
      <c r="I2" s="199" t="n"/>
      <c r="J2" s="199" t="n"/>
      <c r="K2" s="199" t="n"/>
      <c r="L2" s="199" t="n"/>
      <c r="M2" s="199" t="n"/>
      <c r="N2" s="199" t="n"/>
      <c r="O2" s="199" t="n"/>
      <c r="P2" s="199" t="n"/>
      <c r="Q2" s="199" t="n"/>
      <c r="R2" s="199" t="n"/>
      <c r="S2" s="199" t="n"/>
      <c r="T2" s="199" t="n"/>
      <c r="U2" s="199" t="n"/>
    </row>
    <row r="3" ht="21" customHeight="1" s="685">
      <c r="B3" s="199" t="inlineStr">
        <is>
          <t xml:space="preserve">Quarter Ended </t>
        </is>
      </c>
      <c r="C3" s="199" t="n"/>
      <c r="D3" s="217">
        <f>'Calc tab'!AE6</f>
        <v/>
      </c>
      <c r="E3" s="199" t="n"/>
      <c r="F3" s="199" t="n"/>
      <c r="G3" s="199" t="n"/>
      <c r="H3" s="199" t="n"/>
      <c r="I3" s="199" t="n"/>
      <c r="J3" s="199" t="n"/>
      <c r="K3" s="199" t="n"/>
      <c r="L3" s="199" t="n"/>
      <c r="M3" s="199" t="n"/>
      <c r="N3" s="199" t="n"/>
      <c r="O3" s="199" t="n"/>
      <c r="P3" s="199" t="n"/>
      <c r="Q3" s="199" t="n"/>
      <c r="R3" s="199" t="n"/>
      <c r="S3" s="199" t="n"/>
      <c r="T3" s="199" t="n"/>
      <c r="U3" s="199" t="n"/>
    </row>
    <row r="4" ht="21" customHeight="1" s="685">
      <c r="B4" s="199" t="inlineStr">
        <is>
          <t>Charter Number</t>
        </is>
      </c>
      <c r="C4" s="199" t="n"/>
      <c r="D4" s="686">
        <f>'Historical Data'!B3</f>
        <v/>
      </c>
      <c r="E4" s="199" t="n"/>
      <c r="F4" s="199" t="n"/>
      <c r="G4" s="199" t="n"/>
      <c r="H4" s="199" t="n"/>
      <c r="I4" s="199" t="n"/>
      <c r="J4" s="199" t="n"/>
      <c r="K4" s="199" t="n"/>
      <c r="L4" s="199" t="n"/>
      <c r="M4" s="199" t="n"/>
      <c r="N4" s="199" t="n"/>
      <c r="O4" s="199" t="n"/>
      <c r="P4" s="199" t="n"/>
      <c r="Q4" s="199" t="n"/>
      <c r="R4" s="199" t="n"/>
      <c r="S4" s="199" t="n"/>
      <c r="T4" s="199" t="n"/>
      <c r="U4" s="199" t="n"/>
    </row>
    <row r="5" ht="9.75" customHeight="1" s="685" thickBot="1">
      <c r="B5" s="60" t="n"/>
      <c r="C5" s="60" t="n"/>
      <c r="D5" s="60" t="n"/>
      <c r="E5" s="60" t="n"/>
      <c r="F5" s="60" t="n"/>
      <c r="G5" s="60" t="n"/>
      <c r="H5" s="60" t="n"/>
      <c r="I5" s="60" t="n"/>
      <c r="J5" s="60" t="n"/>
      <c r="K5" s="60" t="n"/>
      <c r="L5" s="60" t="n"/>
      <c r="M5" s="60" t="n"/>
      <c r="N5" s="60" t="n"/>
      <c r="O5" s="60" t="n"/>
      <c r="P5" s="60" t="n"/>
      <c r="Q5" s="60" t="n"/>
      <c r="R5" s="60" t="n"/>
      <c r="S5" s="60" t="n"/>
      <c r="T5" s="60" t="n"/>
      <c r="U5" s="60" t="n"/>
    </row>
    <row r="6" ht="153.75" customHeight="1" s="685" thickBot="1">
      <c r="B6" s="779" t="inlineStr">
        <is>
          <t xml:space="preserve">Disclaimer: This example is for illustrative purposes only.  The methodology described in this example may or may not be appropriate for any particular financial institution.  Each institution's management is responsible for determining whether this approach is appropriate given the unique facts and circumstances of their institution.  An institution is permitted to utilize a different method for estimating its Allowance for Credit Losses (ACLs) and management is not precluded from selecting a different method when it determines the method will result in a better estimate of an institution’s ACLs.  The selected method(s) should be appropriate for the financial assets being evaluated, consistent with the institution’s size and complexity and should be well documented, with clear explanations of the supporting analyses and rationale. 
Utilizing the approach outlined in this example does not by itself ensure compliance with U.S. Generally Accepted Accounting Principles (GAAP) or any other requirement.  While ASC 326 allows entities to use judgment in determining the relevant information and estimation methods that are appropriate in their circumstances, an institution's management is responsible for ensuring that the ACLs conform with GAAP and adequately covers credit risk.  </t>
        </is>
      </c>
      <c r="C6" s="697" t="n"/>
      <c r="D6" s="697" t="n"/>
      <c r="E6" s="697" t="n"/>
      <c r="F6" s="697" t="n"/>
      <c r="G6" s="697" t="n"/>
      <c r="H6" s="697" t="n"/>
      <c r="I6" s="697" t="n"/>
      <c r="J6" s="697" t="n"/>
      <c r="K6" s="697" t="n"/>
      <c r="L6" s="697" t="n"/>
      <c r="M6" s="697" t="n"/>
      <c r="N6" s="697" t="n"/>
      <c r="O6" s="697" t="n"/>
      <c r="P6" s="697" t="n"/>
      <c r="Q6" s="697" t="n"/>
      <c r="R6" s="697" t="n"/>
      <c r="S6" s="697" t="n"/>
      <c r="T6" s="697" t="n"/>
      <c r="U6" s="695" t="n"/>
    </row>
    <row r="7" ht="9" customHeight="1" s="685" thickBot="1">
      <c r="B7" s="58" t="n"/>
      <c r="C7" s="58" t="n"/>
      <c r="D7" s="58" t="n"/>
      <c r="E7" s="58" t="n"/>
      <c r="F7" s="58" t="n"/>
      <c r="G7" s="58" t="n"/>
      <c r="H7" s="58" t="n"/>
      <c r="I7" s="58" t="n"/>
      <c r="J7" s="58" t="n"/>
      <c r="K7" s="58" t="n"/>
      <c r="L7" s="58" t="n"/>
      <c r="M7" s="58" t="n"/>
      <c r="N7" s="58" t="n"/>
      <c r="O7" s="58" t="n"/>
      <c r="P7" s="58" t="n"/>
      <c r="Q7" s="58" t="n"/>
      <c r="R7" s="58" t="n"/>
      <c r="S7" s="58" t="n"/>
      <c r="T7" s="58" t="n"/>
      <c r="U7" s="58" t="n"/>
    </row>
    <row r="8" ht="64.5" customHeight="1" s="685" thickBot="1">
      <c r="B8" s="780" t="inlineStr">
        <is>
          <t xml:space="preserve">Instructions:  Use this tab to calculate the CECL ACLs for loans.  Institutions are responsible for entering CECL ACLs lifetime loss rate information, which may be derived from internal or external data.  One possible source of external data can be derived from Schedule RI-C, Part II, of the Call Report.  This approach calculates proxy expected lifetime loss rate by dividing the aggregate Allowance Balance by the aggregate Amortized Cost for each reported loan category.  Institutions should use judgment when determining which peer group to incorporate from RI-C, Part II and when determining how their institution differs from the peer group.  </t>
        </is>
      </c>
      <c r="C8" s="697" t="n"/>
      <c r="D8" s="697" t="n"/>
      <c r="E8" s="697" t="n"/>
      <c r="F8" s="697" t="n"/>
      <c r="G8" s="697" t="n"/>
      <c r="H8" s="697" t="n"/>
      <c r="I8" s="697" t="n"/>
      <c r="J8" s="697" t="n"/>
      <c r="K8" s="697" t="n"/>
      <c r="L8" s="697" t="n"/>
      <c r="M8" s="697" t="n"/>
      <c r="N8" s="697" t="n"/>
      <c r="O8" s="697" t="n"/>
      <c r="P8" s="697" t="n"/>
      <c r="Q8" s="697" t="n"/>
      <c r="R8" s="697" t="n"/>
      <c r="S8" s="697" t="n"/>
      <c r="T8" s="697" t="n"/>
      <c r="U8" s="695" t="n"/>
    </row>
    <row r="9" ht="9" customHeight="1" s="685"/>
    <row r="10" ht="48" customHeight="1" s="685">
      <c r="D10" s="191" t="n"/>
      <c r="E10" s="68" t="n"/>
      <c r="F10" s="69" t="n"/>
      <c r="G10" s="68" t="n"/>
      <c r="H10" s="68" t="n"/>
      <c r="I10" s="200" t="n"/>
      <c r="J10" s="200" t="n"/>
      <c r="K10" s="200" t="n"/>
    </row>
    <row r="11" ht="18.75" customHeight="1" s="685">
      <c r="D11" s="55" t="n"/>
      <c r="E11" s="54" t="n"/>
      <c r="F11" s="54" t="n"/>
      <c r="G11" s="54" t="n"/>
      <c r="H11" s="54" t="n"/>
      <c r="I11" s="54" t="n"/>
      <c r="J11" s="55" t="n"/>
    </row>
    <row r="12" ht="16.5" customHeight="1" s="685" thickBot="1">
      <c r="F12" s="56" t="inlineStr">
        <is>
          <t>From Tab 2</t>
        </is>
      </c>
      <c r="G12" s="57" t="n"/>
      <c r="H12" s="56" t="inlineStr">
        <is>
          <t>Calculated</t>
        </is>
      </c>
      <c r="L12" s="56" t="n"/>
      <c r="N12" s="56" t="inlineStr">
        <is>
          <t>Calculated</t>
        </is>
      </c>
      <c r="P12" s="56" t="inlineStr">
        <is>
          <t>Calculated</t>
        </is>
      </c>
      <c r="R12" s="56" t="inlineStr">
        <is>
          <t>From Tab 3</t>
        </is>
      </c>
      <c r="U12" s="56" t="inlineStr">
        <is>
          <t>Calculated</t>
        </is>
      </c>
    </row>
    <row r="13" ht="60.75" customHeight="1" s="685" thickBot="1">
      <c r="B13" s="5" t="inlineStr">
        <is>
          <t>Portfolio Segment (1)</t>
        </is>
      </c>
      <c r="C13" s="6" t="n"/>
      <c r="D13" s="7" t="inlineStr">
        <is>
          <t>End of Period Loan Balance</t>
        </is>
      </c>
      <c r="E13" s="8" t="n"/>
      <c r="F13" s="9" t="inlineStr">
        <is>
          <t>Loans Assessed on Individual Basis</t>
        </is>
      </c>
      <c r="H13" s="9" t="inlineStr">
        <is>
          <t xml:space="preserve">Loans Assessed on Pooled Basis </t>
        </is>
      </c>
      <c r="I13" s="10" t="n"/>
      <c r="J13" s="7" t="inlineStr">
        <is>
          <t>CECL ACL Lifetime Loss Rate</t>
        </is>
      </c>
      <c r="L13" s="7" t="inlineStr">
        <is>
          <t>Management Adjustment</t>
        </is>
      </c>
      <c r="N13" s="7" t="inlineStr">
        <is>
          <t>Life of Loan Loss Rate</t>
        </is>
      </c>
      <c r="P13" s="7" t="inlineStr">
        <is>
          <t>CECL ACL</t>
        </is>
      </c>
      <c r="R13" s="7" t="inlineStr">
        <is>
          <t>Adj. for Qualitative Factors</t>
        </is>
      </c>
      <c r="U13" s="7" t="inlineStr">
        <is>
          <t>CECL ACL</t>
        </is>
      </c>
    </row>
    <row r="14">
      <c r="B14" s="213" t="inlineStr">
        <is>
          <t>Unsecured Credit Card Loans</t>
        </is>
      </c>
      <c r="D14" s="100">
        <f>'Calc tab'!AE7</f>
        <v/>
      </c>
      <c r="E14" s="3" t="inlineStr">
        <is>
          <t>-</t>
        </is>
      </c>
      <c r="F14" s="41">
        <f>SUMIF(' Impaired Loans ASC 310-10'!$D$27:$D$412,B14,' Impaired Loans ASC 310-10'!$Q$27:$Q$412)</f>
        <v/>
      </c>
      <c r="G14" s="35" t="inlineStr">
        <is>
          <t>=</t>
        </is>
      </c>
      <c r="H14" s="41">
        <f>D14-F14</f>
        <v/>
      </c>
      <c r="I14" s="3" t="n"/>
      <c r="J14" s="29">
        <f>'Calc tab'!AI58</f>
        <v/>
      </c>
      <c r="K14" s="23" t="inlineStr">
        <is>
          <t>+/-</t>
        </is>
      </c>
      <c r="L14" s="43">
        <f>'Historical Data'!AY145</f>
        <v/>
      </c>
      <c r="M14" s="40" t="inlineStr">
        <is>
          <t>=</t>
        </is>
      </c>
      <c r="N14" s="43">
        <f>J14+L14</f>
        <v/>
      </c>
      <c r="O14" s="36" t="n"/>
      <c r="P14" s="41">
        <f>H14*N14</f>
        <v/>
      </c>
      <c r="Q14" s="23" t="inlineStr">
        <is>
          <t>+/-</t>
        </is>
      </c>
      <c r="R14" s="43">
        <f>'Env Factor by Pool'!I17</f>
        <v/>
      </c>
      <c r="S14" s="23" t="n"/>
      <c r="T14" s="36" t="n"/>
      <c r="U14" s="41">
        <f>P14+(P14*R14)</f>
        <v/>
      </c>
    </row>
    <row r="15">
      <c r="B15" s="214" t="inlineStr">
        <is>
          <t>Payday Alternative Loans</t>
        </is>
      </c>
      <c r="D15" s="100">
        <f>'Calc tab'!AE8</f>
        <v/>
      </c>
      <c r="E15" s="3" t="inlineStr">
        <is>
          <t>-</t>
        </is>
      </c>
      <c r="F15" s="41">
        <f>SUMIF(' Impaired Loans ASC 310-10'!$D$27:$D$412,B15,' Impaired Loans ASC 310-10'!$Q$27:$Q$412)</f>
        <v/>
      </c>
      <c r="G15" s="35" t="inlineStr">
        <is>
          <t>=</t>
        </is>
      </c>
      <c r="H15" s="41">
        <f>D15-F15</f>
        <v/>
      </c>
      <c r="I15" s="3" t="n"/>
      <c r="J15" s="29">
        <f>'Calc tab'!AI59</f>
        <v/>
      </c>
      <c r="K15" s="23" t="inlineStr">
        <is>
          <t>+/-</t>
        </is>
      </c>
      <c r="L15" s="43">
        <f>'Historical Data'!AY146</f>
        <v/>
      </c>
      <c r="M15" s="40" t="inlineStr">
        <is>
          <t>=</t>
        </is>
      </c>
      <c r="N15" s="43">
        <f>J15+L15</f>
        <v/>
      </c>
      <c r="O15" s="36" t="n"/>
      <c r="P15" s="41">
        <f>H15*N15</f>
        <v/>
      </c>
      <c r="Q15" s="23" t="inlineStr">
        <is>
          <t>+/-</t>
        </is>
      </c>
      <c r="R15" s="43">
        <f>'Env Factor by Pool'!I25</f>
        <v/>
      </c>
      <c r="S15" s="23" t="n"/>
      <c r="T15" s="36" t="n"/>
      <c r="U15" s="41">
        <f>P15+(P15*R15)</f>
        <v/>
      </c>
    </row>
    <row r="16">
      <c r="B16" s="214" t="inlineStr">
        <is>
          <t>Non-Federally Guaranteed Student Loans</t>
        </is>
      </c>
      <c r="D16" s="100">
        <f>'Calc tab'!AE9</f>
        <v/>
      </c>
      <c r="E16" s="3" t="inlineStr">
        <is>
          <t>-</t>
        </is>
      </c>
      <c r="F16" s="41">
        <f>SUMIF(' Impaired Loans ASC 310-10'!$D$27:$D$412,B16,' Impaired Loans ASC 310-10'!$Q$27:$Q$412)</f>
        <v/>
      </c>
      <c r="G16" s="35" t="inlineStr">
        <is>
          <t>=</t>
        </is>
      </c>
      <c r="H16" s="41">
        <f>D16-F16</f>
        <v/>
      </c>
      <c r="I16" s="3" t="n"/>
      <c r="J16" s="29">
        <f>'Calc tab'!AI60</f>
        <v/>
      </c>
      <c r="K16" s="23" t="inlineStr">
        <is>
          <t>+/-</t>
        </is>
      </c>
      <c r="L16" s="43">
        <f>'Historical Data'!AY147</f>
        <v/>
      </c>
      <c r="M16" s="40" t="inlineStr">
        <is>
          <t>=</t>
        </is>
      </c>
      <c r="N16" s="43">
        <f>J16+L16</f>
        <v/>
      </c>
      <c r="O16" s="36" t="n"/>
      <c r="P16" s="41">
        <f>H16*N16</f>
        <v/>
      </c>
      <c r="Q16" s="23" t="inlineStr">
        <is>
          <t>+/-</t>
        </is>
      </c>
      <c r="R16" s="43">
        <f>'Env Factor by Pool'!I33</f>
        <v/>
      </c>
      <c r="S16" s="23" t="n"/>
      <c r="T16" s="36" t="n"/>
      <c r="U16" s="41">
        <f>P16+(P16*R16)</f>
        <v/>
      </c>
    </row>
    <row r="17">
      <c r="B17" s="214" t="inlineStr">
        <is>
          <t>New Vehicle Loans</t>
        </is>
      </c>
      <c r="D17" s="100">
        <f>'Calc tab'!AE11</f>
        <v/>
      </c>
      <c r="E17" s="3" t="inlineStr">
        <is>
          <t>-</t>
        </is>
      </c>
      <c r="F17" s="41">
        <f>SUMIF(' Impaired Loans ASC 310-10'!$D$27:$D$412,B17,' Impaired Loans ASC 310-10'!$Q$27:$Q$412)</f>
        <v/>
      </c>
      <c r="G17" s="35" t="inlineStr">
        <is>
          <t>=</t>
        </is>
      </c>
      <c r="H17" s="41">
        <f>D17-F17</f>
        <v/>
      </c>
      <c r="I17" s="3" t="n"/>
      <c r="J17" s="29">
        <f>'Calc tab'!AI62</f>
        <v/>
      </c>
      <c r="K17" s="23" t="inlineStr">
        <is>
          <t>+/-</t>
        </is>
      </c>
      <c r="L17" s="43">
        <f>'Historical Data'!AY149</f>
        <v/>
      </c>
      <c r="M17" s="40" t="inlineStr">
        <is>
          <t>=</t>
        </is>
      </c>
      <c r="N17" s="43">
        <f>J17+L17</f>
        <v/>
      </c>
      <c r="O17" s="36" t="n"/>
      <c r="P17" s="41">
        <f>H17*N17</f>
        <v/>
      </c>
      <c r="Q17" s="23" t="inlineStr">
        <is>
          <t>+/-</t>
        </is>
      </c>
      <c r="R17" s="43">
        <f>'Env Factor by Pool'!I49</f>
        <v/>
      </c>
      <c r="S17" s="23" t="n"/>
      <c r="T17" s="36" t="n"/>
      <c r="U17" s="41">
        <f>P17+(P17*R17)</f>
        <v/>
      </c>
    </row>
    <row r="18">
      <c r="B18" s="214" t="inlineStr">
        <is>
          <t>Used Vehicle Loans</t>
        </is>
      </c>
      <c r="D18" s="100">
        <f>'Calc tab'!AE12</f>
        <v/>
      </c>
      <c r="E18" s="3" t="inlineStr">
        <is>
          <t>-</t>
        </is>
      </c>
      <c r="F18" s="41">
        <f>SUMIF(' Impaired Loans ASC 310-10'!$D$27:$D$412,B18,' Impaired Loans ASC 310-10'!$Q$27:$Q$412)</f>
        <v/>
      </c>
      <c r="G18" s="35" t="inlineStr">
        <is>
          <t>=</t>
        </is>
      </c>
      <c r="H18" s="41">
        <f>D18-F18</f>
        <v/>
      </c>
      <c r="I18" s="3" t="n"/>
      <c r="J18" s="29">
        <f>'Calc tab'!AI63</f>
        <v/>
      </c>
      <c r="K18" s="23" t="inlineStr">
        <is>
          <t>+/-</t>
        </is>
      </c>
      <c r="L18" s="43">
        <f>'Historical Data'!AY150</f>
        <v/>
      </c>
      <c r="M18" s="40" t="inlineStr">
        <is>
          <t>=</t>
        </is>
      </c>
      <c r="N18" s="43">
        <f>J18+L18</f>
        <v/>
      </c>
      <c r="O18" s="36" t="n"/>
      <c r="P18" s="41">
        <f>H18*N18</f>
        <v/>
      </c>
      <c r="Q18" s="23" t="inlineStr">
        <is>
          <t>+/-</t>
        </is>
      </c>
      <c r="R18" s="43">
        <f>'Env Factor by Pool'!I57</f>
        <v/>
      </c>
      <c r="S18" s="23" t="n"/>
      <c r="T18" s="36" t="n"/>
      <c r="U18" s="41">
        <f>P18+(P18*R18)</f>
        <v/>
      </c>
    </row>
    <row r="19">
      <c r="B19" s="214" t="inlineStr">
        <is>
          <t>Total 1st Mortgage Real Estate Loans/Lines of Credit</t>
        </is>
      </c>
      <c r="D19" s="100">
        <f>'Calc tab'!AE15</f>
        <v/>
      </c>
      <c r="E19" s="3" t="inlineStr">
        <is>
          <t>-</t>
        </is>
      </c>
      <c r="F19" s="41">
        <f>SUMIF(' Impaired Loans ASC 310-10'!$D$27:$D$412,B19,' Impaired Loans ASC 310-10'!$Q$27:$Q$412)</f>
        <v/>
      </c>
      <c r="G19" s="35" t="inlineStr">
        <is>
          <t>=</t>
        </is>
      </c>
      <c r="H19" s="41">
        <f>D19-F19</f>
        <v/>
      </c>
      <c r="I19" s="3" t="n"/>
      <c r="J19" s="29">
        <f>'Calc tab'!AI66</f>
        <v/>
      </c>
      <c r="K19" s="23" t="inlineStr">
        <is>
          <t>+/-</t>
        </is>
      </c>
      <c r="L19" s="43">
        <f>'Historical Data'!AY153</f>
        <v/>
      </c>
      <c r="M19" s="40" t="inlineStr">
        <is>
          <t>=</t>
        </is>
      </c>
      <c r="N19" s="43">
        <f>J19+L19</f>
        <v/>
      </c>
      <c r="O19" s="36" t="n"/>
      <c r="P19" s="41">
        <f>H19*N19</f>
        <v/>
      </c>
      <c r="Q19" s="23" t="inlineStr">
        <is>
          <t>+/-</t>
        </is>
      </c>
      <c r="R19" s="43">
        <f>'Env Factor by Pool'!I81</f>
        <v/>
      </c>
      <c r="S19" s="23" t="n"/>
      <c r="T19" s="36" t="n"/>
      <c r="U19" s="41">
        <f>P19+(P19*R19)</f>
        <v/>
      </c>
    </row>
    <row r="20">
      <c r="B20" s="214" t="inlineStr">
        <is>
          <t>Total Other Real Estate Loans/Lines of Credit</t>
        </is>
      </c>
      <c r="D20" s="100">
        <f>'Calc tab'!AE16</f>
        <v/>
      </c>
      <c r="E20" s="3" t="inlineStr">
        <is>
          <t>-</t>
        </is>
      </c>
      <c r="F20" s="41">
        <f>SUMIF(' Impaired Loans ASC 310-10'!$D$27:$D$412,B20,' Impaired Loans ASC 310-10'!$Q$27:$Q$412)</f>
        <v/>
      </c>
      <c r="G20" s="35" t="inlineStr">
        <is>
          <t>=</t>
        </is>
      </c>
      <c r="H20" s="41">
        <f>D20-F20</f>
        <v/>
      </c>
      <c r="I20" s="3" t="n"/>
      <c r="J20" s="29">
        <f>'Calc tab'!AI67</f>
        <v/>
      </c>
      <c r="K20" s="23" t="inlineStr">
        <is>
          <t>+/-</t>
        </is>
      </c>
      <c r="L20" s="43">
        <f>'Historical Data'!AY154</f>
        <v/>
      </c>
      <c r="M20" s="40" t="inlineStr">
        <is>
          <t>=</t>
        </is>
      </c>
      <c r="N20" s="43">
        <f>J20+L20</f>
        <v/>
      </c>
      <c r="O20" s="36" t="n"/>
      <c r="P20" s="41">
        <f>H20*N20</f>
        <v/>
      </c>
      <c r="Q20" s="23" t="inlineStr">
        <is>
          <t>+/-</t>
        </is>
      </c>
      <c r="R20" s="43">
        <f>'Env Factor by Pool'!I89</f>
        <v/>
      </c>
      <c r="S20" s="23" t="n"/>
      <c r="T20" s="36" t="n"/>
      <c r="U20" s="41">
        <f>P20+(P20*R20)</f>
        <v/>
      </c>
    </row>
    <row r="21">
      <c r="B21" s="214" t="inlineStr">
        <is>
          <t>Leases Receivable</t>
        </is>
      </c>
      <c r="D21" s="100">
        <f>'Calc tab'!AE13</f>
        <v/>
      </c>
      <c r="E21" s="3" t="inlineStr">
        <is>
          <t>-</t>
        </is>
      </c>
      <c r="F21" s="41">
        <f>SUMIF(' Impaired Loans ASC 310-10'!$D$27:$D$412,B21,' Impaired Loans ASC 310-10'!$Q$27:$Q$412)</f>
        <v/>
      </c>
      <c r="G21" s="35" t="inlineStr">
        <is>
          <t>=</t>
        </is>
      </c>
      <c r="H21" s="41">
        <f>D21-F21</f>
        <v/>
      </c>
      <c r="I21" s="3" t="n"/>
      <c r="J21" s="29">
        <f>'Calc tab'!AI64</f>
        <v/>
      </c>
      <c r="K21" s="23" t="inlineStr">
        <is>
          <t>+/-</t>
        </is>
      </c>
      <c r="L21" s="43">
        <f>'Historical Data'!AY151</f>
        <v/>
      </c>
      <c r="M21" s="40" t="inlineStr">
        <is>
          <t>=</t>
        </is>
      </c>
      <c r="N21" s="43">
        <f>J21+L21</f>
        <v/>
      </c>
      <c r="O21" s="36" t="n"/>
      <c r="P21" s="41">
        <f>H21*N21</f>
        <v/>
      </c>
      <c r="Q21" s="23" t="inlineStr">
        <is>
          <t>+/-</t>
        </is>
      </c>
      <c r="R21" s="43">
        <f>'Env Factor by Pool'!I65</f>
        <v/>
      </c>
      <c r="S21" s="23" t="n"/>
      <c r="T21" s="36" t="n"/>
      <c r="U21" s="41">
        <f>P21+(P21*R21)</f>
        <v/>
      </c>
    </row>
    <row r="22" ht="16.5" customHeight="1" s="685" thickBot="1">
      <c r="B22" s="215" t="inlineStr">
        <is>
          <t>All Other Loans</t>
        </is>
      </c>
      <c r="D22" s="100">
        <f>'Calc tab'!AE17</f>
        <v/>
      </c>
      <c r="E22" s="3" t="inlineStr">
        <is>
          <t>-</t>
        </is>
      </c>
      <c r="F22" s="41">
        <f>SUMIF(' Impaired Loans ASC 310-10'!$D$27:$D$412,B22,' Impaired Loans ASC 310-10'!$Q$27:$Q$412)</f>
        <v/>
      </c>
      <c r="G22" s="35" t="inlineStr">
        <is>
          <t>=</t>
        </is>
      </c>
      <c r="H22" s="41">
        <f>D22-F22</f>
        <v/>
      </c>
      <c r="I22" s="3" t="n"/>
      <c r="J22" s="29">
        <f>'Calc tab'!AI68</f>
        <v/>
      </c>
      <c r="K22" s="23" t="inlineStr">
        <is>
          <t>+/-</t>
        </is>
      </c>
      <c r="L22" s="43">
        <f>'Historical Data'!AY155</f>
        <v/>
      </c>
      <c r="M22" s="40" t="inlineStr">
        <is>
          <t>=</t>
        </is>
      </c>
      <c r="N22" s="43">
        <f>J22+L22</f>
        <v/>
      </c>
      <c r="O22" s="36" t="n"/>
      <c r="P22" s="41">
        <f>H22*N22</f>
        <v/>
      </c>
      <c r="Q22" s="23" t="inlineStr">
        <is>
          <t>+/-</t>
        </is>
      </c>
      <c r="R22" s="43">
        <f>'Env Factor by Pool'!I97</f>
        <v/>
      </c>
      <c r="S22" s="23" t="n"/>
      <c r="T22" s="36" t="n"/>
      <c r="U22" s="41">
        <f>P22+(P22*R22)</f>
        <v/>
      </c>
    </row>
    <row r="23">
      <c r="D23" s="11" t="n"/>
      <c r="F23" s="36" t="n"/>
      <c r="G23" s="36" t="n"/>
      <c r="H23" s="36" t="n"/>
    </row>
    <row r="24" ht="15.75" customHeight="1" s="685" thickBot="1">
      <c r="B24" s="1" t="inlineStr">
        <is>
          <t>Total</t>
        </is>
      </c>
      <c r="C24" s="36" t="n"/>
      <c r="D24" s="42">
        <f>SUM(D14:D22)</f>
        <v/>
      </c>
      <c r="E24" s="36" t="n"/>
      <c r="F24" s="37" t="n"/>
      <c r="G24" s="36" t="n"/>
      <c r="H24" s="42">
        <f>SUM(H14:H22)</f>
        <v/>
      </c>
      <c r="I24" s="36" t="n"/>
      <c r="J24" s="36" t="n"/>
      <c r="K24" s="36" t="n"/>
      <c r="L24" s="36" t="n"/>
      <c r="M24" s="36" t="n"/>
      <c r="N24" s="36" t="n"/>
      <c r="O24" s="36" t="n"/>
      <c r="P24" s="41">
        <f>SUM(P14:P22)</f>
        <v/>
      </c>
      <c r="Q24" s="36" t="n"/>
      <c r="R24" s="36" t="n"/>
      <c r="S24" s="36" t="n"/>
      <c r="T24" s="36" t="n"/>
      <c r="U24" s="41">
        <f>SUM(U14:U22)</f>
        <v/>
      </c>
      <c r="V24" s="36" t="n"/>
      <c r="W24" s="38" t="n"/>
    </row>
    <row r="25" ht="15.75" customHeight="1" s="685" thickTop="1">
      <c r="C25" s="36" t="n"/>
      <c r="D25" s="36" t="n"/>
      <c r="E25" s="36" t="n"/>
      <c r="F25" s="36" t="n"/>
      <c r="G25" s="36" t="n"/>
      <c r="H25" s="36" t="n"/>
      <c r="I25" s="36" t="n"/>
      <c r="J25" s="37" t="n"/>
      <c r="K25" s="36" t="n"/>
      <c r="L25" s="36" t="n"/>
      <c r="M25" s="36" t="n"/>
      <c r="N25" s="36" t="n"/>
      <c r="O25" s="36" t="n"/>
      <c r="P25" s="36" t="n"/>
      <c r="Q25" s="36" t="n"/>
      <c r="R25" s="36" t="n"/>
      <c r="S25" s="36" t="n"/>
      <c r="T25" s="36" t="n"/>
      <c r="U25" s="36" t="n"/>
      <c r="V25" s="36" t="n"/>
      <c r="W25" s="36" t="n"/>
    </row>
    <row r="26" ht="15.75" customHeight="1" s="685">
      <c r="C26" s="36" t="n"/>
      <c r="D26" s="36" t="n"/>
      <c r="E26" s="36" t="n"/>
      <c r="I26" s="36" t="n"/>
      <c r="O26" s="36" t="n"/>
      <c r="P26" s="75" t="inlineStr">
        <is>
          <t xml:space="preserve">Management Adjustment for Historical Loss Experience </t>
        </is>
      </c>
      <c r="Q26" s="56" t="n"/>
      <c r="R26" s="36" t="n"/>
      <c r="S26" s="43">
        <f>'Historical Data'!AY159</f>
        <v/>
      </c>
      <c r="T26" s="36" t="n"/>
      <c r="U26" s="44">
        <f>H24*S26</f>
        <v/>
      </c>
      <c r="V26" s="36" t="n"/>
      <c r="W26" s="36" t="n"/>
    </row>
    <row r="27">
      <c r="C27" s="36" t="n"/>
      <c r="D27" s="36" t="n"/>
      <c r="E27" s="36" t="n"/>
      <c r="F27" s="36" t="n"/>
      <c r="G27" s="36" t="n"/>
      <c r="H27" s="36" t="n"/>
      <c r="I27" s="36" t="n"/>
      <c r="K27" s="76" t="n"/>
      <c r="L27" s="36" t="n"/>
      <c r="M27" s="36" t="n"/>
      <c r="N27" s="36" t="n"/>
      <c r="O27" s="36" t="n"/>
      <c r="P27" s="76" t="n"/>
      <c r="Q27" s="76" t="n"/>
      <c r="R27" s="36" t="n"/>
      <c r="T27" s="36" t="n"/>
      <c r="U27" s="36" t="n"/>
      <c r="V27" s="36" t="n"/>
      <c r="W27" s="36" t="n"/>
    </row>
    <row r="28" ht="15.75" customHeight="1" s="685">
      <c r="C28" s="36" t="n"/>
      <c r="D28" s="36" t="n"/>
      <c r="E28" s="36" t="n"/>
      <c r="F28" s="36" t="n"/>
      <c r="G28" s="36" t="n"/>
      <c r="H28" s="36" t="n"/>
      <c r="I28" s="36" t="n"/>
      <c r="L28" s="36" t="n"/>
      <c r="M28" s="209" t="n"/>
      <c r="O28" s="36" t="n"/>
      <c r="P28" s="75" t="inlineStr">
        <is>
          <t>Expected Losses on Loans Assessed on Individual Basis</t>
        </is>
      </c>
      <c r="Q28" s="75" t="n"/>
      <c r="R28" s="36" t="n"/>
      <c r="T28" s="36" t="n"/>
      <c r="U28" s="45">
        <f>' Impaired Loans ASC 310-10'!P24</f>
        <v/>
      </c>
      <c r="V28" s="36" t="n"/>
      <c r="W28" s="36" t="n"/>
    </row>
    <row r="29">
      <c r="C29" s="36" t="n"/>
      <c r="D29" s="36" t="n"/>
      <c r="E29" s="36" t="n"/>
      <c r="F29" s="36" t="n"/>
      <c r="G29" s="36" t="n"/>
      <c r="H29" s="36" t="n"/>
      <c r="I29" s="36" t="n"/>
      <c r="L29" s="36" t="n"/>
      <c r="M29" s="36" t="n"/>
      <c r="N29" s="36" t="n"/>
      <c r="O29" s="36" t="n"/>
      <c r="P29" s="76" t="n"/>
      <c r="Q29" s="76" t="n"/>
      <c r="R29" s="36" t="n"/>
      <c r="T29" s="36" t="n"/>
      <c r="U29" s="36" t="n"/>
      <c r="V29" s="36" t="n"/>
      <c r="W29" s="39" t="n"/>
    </row>
    <row r="30">
      <c r="C30" s="36" t="n"/>
      <c r="D30" s="36" t="n"/>
      <c r="E30" s="36" t="n"/>
      <c r="F30" s="36" t="n"/>
      <c r="G30" s="36" t="n"/>
      <c r="H30" s="36" t="n"/>
      <c r="I30" s="36" t="n"/>
      <c r="L30" s="36" t="n"/>
      <c r="M30" s="36" t="n"/>
      <c r="N30" s="36" t="n"/>
      <c r="O30" s="36" t="n"/>
      <c r="P30" s="75" t="inlineStr">
        <is>
          <t>Total Expected Losses on Loans</t>
        </is>
      </c>
      <c r="Q30" s="75" t="n"/>
      <c r="R30" s="36" t="n"/>
      <c r="T30" s="36" t="n"/>
      <c r="U30" s="269">
        <f>U24+U26+U28</f>
        <v/>
      </c>
      <c r="V30" s="36" t="n"/>
      <c r="W30" s="39" t="n"/>
    </row>
    <row r="31">
      <c r="C31" s="36" t="n"/>
      <c r="D31" s="36" t="n"/>
      <c r="E31" s="36" t="n"/>
      <c r="F31" s="36" t="n"/>
      <c r="G31" s="36" t="n"/>
      <c r="H31" s="36" t="n"/>
      <c r="I31" s="36" t="n"/>
      <c r="L31" s="36" t="n"/>
      <c r="M31" s="36" t="n"/>
      <c r="N31" s="36" t="n"/>
      <c r="O31" s="36" t="n"/>
      <c r="P31" s="75" t="inlineStr">
        <is>
          <t>Current ACL Balance</t>
        </is>
      </c>
      <c r="Q31" s="75" t="n"/>
      <c r="R31" s="36" t="n"/>
      <c r="T31" s="36" t="n"/>
      <c r="U31" s="270">
        <f>'Historical Data'!AY177</f>
        <v/>
      </c>
      <c r="V31" s="36" t="n"/>
      <c r="W31" s="39" t="n"/>
    </row>
    <row r="32">
      <c r="C32" s="36" t="n"/>
      <c r="D32" s="36" t="n"/>
      <c r="E32" s="36" t="n"/>
      <c r="F32" s="36" t="n"/>
      <c r="G32" s="36" t="n"/>
      <c r="H32" s="36" t="n"/>
      <c r="I32" s="36" t="n"/>
      <c r="L32" s="36" t="n"/>
      <c r="M32" s="36" t="n"/>
      <c r="N32" s="36" t="n"/>
      <c r="O32" s="36" t="n"/>
      <c r="P32" s="75" t="inlineStr">
        <is>
          <t xml:space="preserve">Adjustment </t>
        </is>
      </c>
      <c r="Q32" s="75" t="n"/>
      <c r="R32" s="36" t="n"/>
      <c r="T32" s="36" t="n"/>
      <c r="U32" s="270">
        <f>U30-U31</f>
        <v/>
      </c>
      <c r="V32" s="36" t="n"/>
      <c r="W32" s="39" t="n"/>
    </row>
    <row r="33">
      <c r="C33" s="36" t="n"/>
      <c r="D33" s="36" t="n"/>
      <c r="E33" s="36" t="n"/>
      <c r="F33" s="36" t="n"/>
      <c r="G33" s="36" t="n"/>
      <c r="H33" s="36" t="n"/>
      <c r="I33" s="36" t="n"/>
      <c r="L33" s="36" t="n"/>
      <c r="M33" s="36" t="n"/>
      <c r="N33" s="36" t="n"/>
      <c r="O33" s="36" t="n"/>
      <c r="P33" s="76" t="n"/>
      <c r="Q33" s="76" t="n"/>
      <c r="R33" s="36" t="n"/>
      <c r="T33" s="36" t="n"/>
      <c r="U33" s="36" t="n"/>
      <c r="V33" s="36" t="n"/>
      <c r="W33" s="36" t="n"/>
    </row>
    <row r="34">
      <c r="C34" s="36" t="n"/>
      <c r="D34" s="36" t="n"/>
      <c r="E34" s="36" t="n"/>
      <c r="F34" s="36" t="n"/>
      <c r="G34" s="36" t="n"/>
      <c r="H34" s="36" t="n"/>
      <c r="I34" s="36" t="n"/>
      <c r="L34" s="36" t="n"/>
      <c r="M34" s="36" t="n"/>
      <c r="N34" s="36" t="n"/>
      <c r="O34" s="36" t="n"/>
      <c r="P34" s="75" t="inlineStr">
        <is>
          <t>ACL/Total Loans</t>
        </is>
      </c>
      <c r="Q34" s="75" t="n"/>
      <c r="R34" s="36" t="n"/>
      <c r="T34" s="36" t="n"/>
      <c r="U34" s="47">
        <f>IF(U30=0,0,U30/D24)</f>
        <v/>
      </c>
      <c r="V34" s="36" t="n"/>
      <c r="W34" s="36" t="n"/>
    </row>
    <row r="35">
      <c r="C35" s="36" t="n"/>
      <c r="D35" s="36" t="n"/>
      <c r="E35" s="36" t="n"/>
      <c r="F35" s="36" t="n"/>
      <c r="G35" s="36" t="n"/>
      <c r="H35" s="36" t="n"/>
      <c r="I35" s="36" t="n"/>
      <c r="J35" s="37" t="n"/>
      <c r="K35" s="36" t="n"/>
      <c r="L35" s="36" t="n"/>
      <c r="M35" s="36" t="n"/>
      <c r="N35" s="36" t="n"/>
      <c r="O35" s="36" t="n"/>
      <c r="P35" s="36" t="n"/>
      <c r="Q35" s="36" t="n"/>
      <c r="R35" s="36" t="n"/>
      <c r="S35" s="36" t="n"/>
      <c r="T35" s="36" t="n"/>
      <c r="U35" s="36" t="n"/>
      <c r="V35" s="36" t="n"/>
      <c r="W35" s="36" t="n"/>
    </row>
  </sheetData>
  <mergeCells count="2">
    <mergeCell ref="B6:U6"/>
    <mergeCell ref="B8:U8"/>
  </mergeCells>
  <conditionalFormatting sqref="N14:N22">
    <cfRule type="cellIs" priority="6" operator="lessThan" dxfId="0">
      <formula>0</formula>
    </cfRule>
  </conditionalFormatting>
  <conditionalFormatting sqref="P14:S22">
    <cfRule type="cellIs" priority="1" operator="lessThan" dxfId="0">
      <formula>0</formula>
    </cfRule>
  </conditionalFormatting>
  <conditionalFormatting sqref="U14:U22">
    <cfRule type="cellIs" priority="5" operator="lessThan" dxfId="0">
      <formula>0</formula>
    </cfRule>
  </conditionalFormatting>
  <printOptions horizontalCentered="1" verticalCentered="1"/>
  <pageMargins left="0.25" right="0.25" top="0.75" bottom="0.75" header="0.3" footer="0.3"/>
  <pageSetup orientation="landscape" scale="6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Oseland, Paul</dc:creator>
  <dcterms:created xmlns:dcterms="http://purl.org/dc/terms/" xmlns:xsi="http://www.w3.org/2001/XMLSchema-instance" xsi:type="dcterms:W3CDTF">2019-07-30T15:30:12Z</dcterms:created>
  <dcterms:modified xmlns:dcterms="http://purl.org/dc/terms/" xmlns:xsi="http://www.w3.org/2001/XMLSchema-instance" xsi:type="dcterms:W3CDTF">2026-09-01T15:18:26Z</dcterms:modified>
  <cp:lastModifiedBy>Brian Evans</cp:lastModifiedBy>
  <cp:lastPrinted>2025-10-14T14:44:47Z</cp:lastPrinted>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fe056709-82db-4772-ae86-6b135e3baefd</vt:lpwstr>
  </property>
  <property name="ContentTypeId" fmtid="{D5CDD505-2E9C-101B-9397-08002B2CF9AE}" pid="3">
    <vt:lpwstr xmlns:vt="http://schemas.openxmlformats.org/officeDocument/2006/docPropsVTypes">0x010100FF015A26B7270947963C5981F0023187</vt:lpwstr>
  </property>
  <property name="_dlc_DocIdItemGuid" fmtid="{D5CDD505-2E9C-101B-9397-08002B2CF9AE}" pid="4">
    <vt:lpwstr xmlns:vt="http://schemas.openxmlformats.org/officeDocument/2006/docPropsVTypes">a1da2a84-8b4e-4e4c-ae1c-178c15b14df5</vt:lpwstr>
  </property>
</Properties>
</file>